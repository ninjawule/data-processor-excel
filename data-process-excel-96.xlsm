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12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drawings/drawing14.xml" ContentType="application/vnd.openxmlformats-officedocument.drawing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5.xml" ContentType="application/vnd.openxmlformats-officedocument.drawing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drawings/drawing16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drawings/drawing18.xml" ContentType="application/vnd.openxmlformats-officedocument.drawing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drawings/drawing19.xml" ContentType="application/vnd.openxmlformats-officedocument.drawing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drawings/drawing20.xml" ContentType="application/vnd.openxmlformats-officedocument.drawing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21.xml" ContentType="application/vnd.openxmlformats-officedocument.drawing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drawings/drawing22.xml" ContentType="application/vnd.openxmlformats-officedocument.drawing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drawings/drawing2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319" codeName="{51196F13-6AD0-C1B8-E2B4-A1F9AE17003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julienwan/Desktop/"/>
    </mc:Choice>
  </mc:AlternateContent>
  <xr:revisionPtr revIDLastSave="0" documentId="13_ncr:1_{5A519E0A-57FF-E648-AB84-9D876BA42189}" xr6:coauthVersionLast="31" xr6:coauthVersionMax="31" xr10:uidLastSave="{00000000-0000-0000-0000-000000000000}"/>
  <bookViews>
    <workbookView xWindow="0" yWindow="440" windowWidth="38400" windowHeight="21160" xr2:uid="{00000000-000D-0000-FFFF-FFFF00000000}"/>
  </bookViews>
  <sheets>
    <sheet name="Config" sheetId="7" r:id="rId1"/>
    <sheet name="Data" sheetId="2" r:id="rId2"/>
    <sheet name="Results" sheetId="245" r:id="rId3"/>
    <sheet name="1077std-BHI" sheetId="246" r:id="rId4"/>
    <sheet name="1077std-V1" sheetId="247" r:id="rId5"/>
    <sheet name="1077std-V0,5" sheetId="248" r:id="rId6"/>
    <sheet name="1077std-V0,25" sheetId="249" r:id="rId7"/>
    <sheet name="1077std-V0,125" sheetId="250" r:id="rId8"/>
    <sheet name="1077std-V0,06" sheetId="251" r:id="rId9"/>
    <sheet name="1077std-V0,03" sheetId="252" r:id="rId10"/>
    <sheet name="1077V24-BHI" sheetId="253" r:id="rId11"/>
    <sheet name="1077V24-V1" sheetId="254" r:id="rId12"/>
    <sheet name="1077V24-V0,5" sheetId="255" r:id="rId13"/>
    <sheet name="1077V24-V0,25" sheetId="256" r:id="rId14"/>
    <sheet name="1077V24-V0,125" sheetId="257" r:id="rId15"/>
    <sheet name="1077V24-V0,06" sheetId="258" r:id="rId16"/>
    <sheet name="1077V24-V0,03" sheetId="259" r:id="rId17"/>
    <sheet name="1077V16-BHI" sheetId="260" r:id="rId18"/>
    <sheet name="1077V16-V1" sheetId="261" r:id="rId19"/>
    <sheet name="1077V16-V0,5" sheetId="262" r:id="rId20"/>
    <sheet name="1077V16-V0,25" sheetId="263" r:id="rId21"/>
    <sheet name="1077V16-V0,125" sheetId="264" r:id="rId22"/>
    <sheet name="1077V16-V0,06" sheetId="265" r:id="rId23"/>
    <sheet name="1077V16-V0,03" sheetId="266" r:id="rId24"/>
  </sheets>
  <functionGroups builtInGroupCount="19"/>
  <definedNames>
    <definedName name="conditions">Config!$C$15:$D$42</definedName>
    <definedName name="data_first_line">Config!$D$6</definedName>
    <definedName name="data_last_line">Config!$D$7</definedName>
    <definedName name="data_sheet_name">Config!$D$5</definedName>
    <definedName name="experimental_plan_definition">Config!$H$34:$T$42</definedName>
    <definedName name="number_of_cycles">Config!$D$8</definedName>
    <definedName name="t_growth_mini">Config!$D$12</definedName>
    <definedName name="white_border_definition">Config!$H$5:$T$13</definedName>
    <definedName name="white_inner_application">Config!$H$20:$T$28</definedName>
    <definedName name="white_stats">Config!$V$6:$AB$13</definedName>
  </definedNames>
  <calcPr calcId="179017"/>
</workbook>
</file>

<file path=xl/calcChain.xml><?xml version="1.0" encoding="utf-8"?>
<calcChain xmlns="http://schemas.openxmlformats.org/spreadsheetml/2006/main">
  <c r="AF96" i="266" l="1"/>
  <c r="AE96" i="266"/>
  <c r="AD96" i="266"/>
  <c r="AC96" i="266"/>
  <c r="AB96" i="266"/>
  <c r="AA96" i="266"/>
  <c r="Z96" i="266"/>
  <c r="Y96" i="266"/>
  <c r="X96" i="266"/>
  <c r="W96" i="266"/>
  <c r="U96" i="266"/>
  <c r="T96" i="266"/>
  <c r="S96" i="266"/>
  <c r="R96" i="266"/>
  <c r="Q96" i="266"/>
  <c r="P96" i="266"/>
  <c r="O96" i="266"/>
  <c r="N96" i="266"/>
  <c r="M96" i="266"/>
  <c r="L96" i="266"/>
  <c r="K96" i="266"/>
  <c r="J96" i="266"/>
  <c r="I96" i="266"/>
  <c r="H96" i="266"/>
  <c r="G96" i="266"/>
  <c r="F96" i="266"/>
  <c r="E96" i="266"/>
  <c r="D96" i="266"/>
  <c r="K99" i="266" s="1"/>
  <c r="C96" i="266"/>
  <c r="B96" i="266"/>
  <c r="H99" i="266" s="1"/>
  <c r="AF95" i="266"/>
  <c r="AE95" i="266"/>
  <c r="AD95" i="266"/>
  <c r="AC95" i="266"/>
  <c r="AB95" i="266"/>
  <c r="AA95" i="266"/>
  <c r="Z95" i="266"/>
  <c r="Y95" i="266"/>
  <c r="X95" i="266"/>
  <c r="W95" i="266"/>
  <c r="U95" i="266"/>
  <c r="T95" i="266"/>
  <c r="S95" i="266"/>
  <c r="R95" i="266"/>
  <c r="Q95" i="266"/>
  <c r="P95" i="266"/>
  <c r="O95" i="266"/>
  <c r="N95" i="266"/>
  <c r="M95" i="266"/>
  <c r="L95" i="266"/>
  <c r="K95" i="266"/>
  <c r="J95" i="266"/>
  <c r="I95" i="266"/>
  <c r="H95" i="266"/>
  <c r="G95" i="266"/>
  <c r="F95" i="266"/>
  <c r="E95" i="266"/>
  <c r="D95" i="266"/>
  <c r="C95" i="266"/>
  <c r="J98" i="266" s="1"/>
  <c r="B95" i="266"/>
  <c r="O98" i="266" s="1"/>
  <c r="AF94" i="266"/>
  <c r="AE94" i="266"/>
  <c r="AD94" i="266"/>
  <c r="AC94" i="266"/>
  <c r="AB94" i="266"/>
  <c r="AA94" i="266"/>
  <c r="Z94" i="266"/>
  <c r="Y94" i="266"/>
  <c r="X94" i="266"/>
  <c r="W94" i="266"/>
  <c r="U94" i="266"/>
  <c r="T94" i="266"/>
  <c r="S94" i="266"/>
  <c r="R94" i="266"/>
  <c r="Q94" i="266"/>
  <c r="P94" i="266"/>
  <c r="O94" i="266"/>
  <c r="N94" i="266"/>
  <c r="M94" i="266"/>
  <c r="L94" i="266"/>
  <c r="K94" i="266"/>
  <c r="J94" i="266"/>
  <c r="I94" i="266"/>
  <c r="H94" i="266"/>
  <c r="G94" i="266"/>
  <c r="F94" i="266"/>
  <c r="E94" i="266"/>
  <c r="D94" i="266"/>
  <c r="C94" i="266"/>
  <c r="B94" i="266"/>
  <c r="N97" i="266" s="1"/>
  <c r="V93" i="266"/>
  <c r="V92" i="266"/>
  <c r="V91" i="266"/>
  <c r="V90" i="266"/>
  <c r="V89" i="266"/>
  <c r="V88" i="266"/>
  <c r="V87" i="266"/>
  <c r="V86" i="266"/>
  <c r="V85" i="266"/>
  <c r="V84" i="266"/>
  <c r="V83" i="266"/>
  <c r="V82" i="266"/>
  <c r="V81" i="266"/>
  <c r="V80" i="266"/>
  <c r="V79" i="266"/>
  <c r="V78" i="266"/>
  <c r="V77" i="266"/>
  <c r="V76" i="266"/>
  <c r="V75" i="266"/>
  <c r="V74" i="266"/>
  <c r="V73" i="266"/>
  <c r="V72" i="266"/>
  <c r="V71" i="266"/>
  <c r="V70" i="266"/>
  <c r="V69" i="266"/>
  <c r="V68" i="266"/>
  <c r="V67" i="266"/>
  <c r="V66" i="266"/>
  <c r="V65" i="266"/>
  <c r="V64" i="266"/>
  <c r="V63" i="266"/>
  <c r="V62" i="266"/>
  <c r="V61" i="266"/>
  <c r="V60" i="266"/>
  <c r="V59" i="266"/>
  <c r="V58" i="266"/>
  <c r="V57" i="266"/>
  <c r="V96" i="266" s="1"/>
  <c r="V56" i="266"/>
  <c r="V95" i="266" s="1"/>
  <c r="V55" i="266"/>
  <c r="V94" i="266" s="1"/>
  <c r="AF96" i="265"/>
  <c r="AE96" i="265"/>
  <c r="AD96" i="265"/>
  <c r="AC96" i="265"/>
  <c r="AB96" i="265"/>
  <c r="AA96" i="265"/>
  <c r="Z96" i="265"/>
  <c r="Y96" i="265"/>
  <c r="X96" i="265"/>
  <c r="W96" i="265"/>
  <c r="U96" i="265"/>
  <c r="T96" i="265"/>
  <c r="S96" i="265"/>
  <c r="R96" i="265"/>
  <c r="Q96" i="265"/>
  <c r="P96" i="265"/>
  <c r="O96" i="265"/>
  <c r="N96" i="265"/>
  <c r="M96" i="265"/>
  <c r="L96" i="265"/>
  <c r="K96" i="265"/>
  <c r="J96" i="265"/>
  <c r="I96" i="265"/>
  <c r="H96" i="265"/>
  <c r="G96" i="265"/>
  <c r="F96" i="265"/>
  <c r="E96" i="265"/>
  <c r="D96" i="265"/>
  <c r="C96" i="265"/>
  <c r="B96" i="265"/>
  <c r="AF95" i="265"/>
  <c r="AE95" i="265"/>
  <c r="AD95" i="265"/>
  <c r="AC95" i="265"/>
  <c r="AB95" i="265"/>
  <c r="AA95" i="265"/>
  <c r="Z95" i="265"/>
  <c r="Y95" i="265"/>
  <c r="X95" i="265"/>
  <c r="W95" i="265"/>
  <c r="U95" i="265"/>
  <c r="T95" i="265"/>
  <c r="S95" i="265"/>
  <c r="R95" i="265"/>
  <c r="Q95" i="265"/>
  <c r="P95" i="265"/>
  <c r="O95" i="265"/>
  <c r="N95" i="265"/>
  <c r="M95" i="265"/>
  <c r="L95" i="265"/>
  <c r="K95" i="265"/>
  <c r="J95" i="265"/>
  <c r="I95" i="265"/>
  <c r="H95" i="265"/>
  <c r="G95" i="265"/>
  <c r="F95" i="265"/>
  <c r="E95" i="265"/>
  <c r="D95" i="265"/>
  <c r="C95" i="265"/>
  <c r="B95" i="265"/>
  <c r="AF94" i="265"/>
  <c r="AE94" i="265"/>
  <c r="AD94" i="265"/>
  <c r="AC94" i="265"/>
  <c r="AB94" i="265"/>
  <c r="AA94" i="265"/>
  <c r="Z94" i="265"/>
  <c r="Y94" i="265"/>
  <c r="X94" i="265"/>
  <c r="W94" i="265"/>
  <c r="U94" i="265"/>
  <c r="T94" i="265"/>
  <c r="S94" i="265"/>
  <c r="R94" i="265"/>
  <c r="Q94" i="265"/>
  <c r="P94" i="265"/>
  <c r="O94" i="265"/>
  <c r="N94" i="265"/>
  <c r="M94" i="265"/>
  <c r="L94" i="265"/>
  <c r="K94" i="265"/>
  <c r="J94" i="265"/>
  <c r="I94" i="265"/>
  <c r="H94" i="265"/>
  <c r="G94" i="265"/>
  <c r="F94" i="265"/>
  <c r="E94" i="265"/>
  <c r="D94" i="265"/>
  <c r="C94" i="265"/>
  <c r="B94" i="265"/>
  <c r="V93" i="265"/>
  <c r="V92" i="265"/>
  <c r="V91" i="265"/>
  <c r="V90" i="265"/>
  <c r="V89" i="265"/>
  <c r="V88" i="265"/>
  <c r="V87" i="265"/>
  <c r="V86" i="265"/>
  <c r="V85" i="265"/>
  <c r="V84" i="265"/>
  <c r="V83" i="265"/>
  <c r="V82" i="265"/>
  <c r="V81" i="265"/>
  <c r="V80" i="265"/>
  <c r="V79" i="265"/>
  <c r="V78" i="265"/>
  <c r="V77" i="265"/>
  <c r="V76" i="265"/>
  <c r="V75" i="265"/>
  <c r="V74" i="265"/>
  <c r="V73" i="265"/>
  <c r="V72" i="265"/>
  <c r="V71" i="265"/>
  <c r="V70" i="265"/>
  <c r="V69" i="265"/>
  <c r="V68" i="265"/>
  <c r="V67" i="265"/>
  <c r="V66" i="265"/>
  <c r="V65" i="265"/>
  <c r="V64" i="265"/>
  <c r="V63" i="265"/>
  <c r="V62" i="265"/>
  <c r="V61" i="265"/>
  <c r="V60" i="265"/>
  <c r="V96" i="265" s="1"/>
  <c r="V59" i="265"/>
  <c r="V58" i="265"/>
  <c r="V57" i="265"/>
  <c r="V56" i="265"/>
  <c r="V55" i="265"/>
  <c r="V43" i="264" a="1"/>
  <c r="AF96" i="264"/>
  <c r="AE96" i="264"/>
  <c r="AD96" i="264"/>
  <c r="AC96" i="264"/>
  <c r="AB96" i="264"/>
  <c r="AA96" i="264"/>
  <c r="Z96" i="264"/>
  <c r="Y96" i="264"/>
  <c r="X96" i="264"/>
  <c r="W96" i="264"/>
  <c r="U96" i="264"/>
  <c r="T96" i="264"/>
  <c r="S96" i="264"/>
  <c r="R96" i="264"/>
  <c r="Q96" i="264"/>
  <c r="P96" i="264"/>
  <c r="O96" i="264"/>
  <c r="N96" i="264"/>
  <c r="M96" i="264"/>
  <c r="L96" i="264"/>
  <c r="K96" i="264"/>
  <c r="J96" i="264"/>
  <c r="I96" i="264"/>
  <c r="H96" i="264"/>
  <c r="G96" i="264"/>
  <c r="F96" i="264"/>
  <c r="E96" i="264"/>
  <c r="D96" i="264"/>
  <c r="C96" i="264"/>
  <c r="P99" i="264" s="1"/>
  <c r="B96" i="264"/>
  <c r="AF95" i="264"/>
  <c r="AE95" i="264"/>
  <c r="AD95" i="264"/>
  <c r="AC95" i="264"/>
  <c r="AB95" i="264"/>
  <c r="AA95" i="264"/>
  <c r="Z95" i="264"/>
  <c r="Y95" i="264"/>
  <c r="X95" i="264"/>
  <c r="W95" i="264"/>
  <c r="U95" i="264"/>
  <c r="T95" i="264"/>
  <c r="S95" i="264"/>
  <c r="R95" i="264"/>
  <c r="Q95" i="264"/>
  <c r="P95" i="264"/>
  <c r="O95" i="264"/>
  <c r="N95" i="264"/>
  <c r="M95" i="264"/>
  <c r="L95" i="264"/>
  <c r="K95" i="264"/>
  <c r="J95" i="264"/>
  <c r="I95" i="264"/>
  <c r="H95" i="264"/>
  <c r="G95" i="264"/>
  <c r="F95" i="264"/>
  <c r="E95" i="264"/>
  <c r="D95" i="264"/>
  <c r="C95" i="264"/>
  <c r="B95" i="264"/>
  <c r="AF94" i="264"/>
  <c r="AE94" i="264"/>
  <c r="AD94" i="264"/>
  <c r="AC94" i="264"/>
  <c r="AB94" i="264"/>
  <c r="AA94" i="264"/>
  <c r="Z94" i="264"/>
  <c r="Y94" i="264"/>
  <c r="X94" i="264"/>
  <c r="W94" i="264"/>
  <c r="U94" i="264"/>
  <c r="T94" i="264"/>
  <c r="S94" i="264"/>
  <c r="R94" i="264"/>
  <c r="Q94" i="264"/>
  <c r="P94" i="264"/>
  <c r="O94" i="264"/>
  <c r="N94" i="264"/>
  <c r="M94" i="264"/>
  <c r="L94" i="264"/>
  <c r="K94" i="264"/>
  <c r="J94" i="264"/>
  <c r="I94" i="264"/>
  <c r="H94" i="264"/>
  <c r="G94" i="264"/>
  <c r="F94" i="264"/>
  <c r="E94" i="264"/>
  <c r="D94" i="264"/>
  <c r="C94" i="264"/>
  <c r="B94" i="264"/>
  <c r="V93" i="264"/>
  <c r="V92" i="264"/>
  <c r="V91" i="264"/>
  <c r="V90" i="264"/>
  <c r="V89" i="264"/>
  <c r="V88" i="264"/>
  <c r="V87" i="264"/>
  <c r="V86" i="264"/>
  <c r="V85" i="264"/>
  <c r="V84" i="264"/>
  <c r="V83" i="264"/>
  <c r="V82" i="264"/>
  <c r="V81" i="264"/>
  <c r="V80" i="264"/>
  <c r="V79" i="264"/>
  <c r="V78" i="264"/>
  <c r="V77" i="264"/>
  <c r="V76" i="264"/>
  <c r="V75" i="264"/>
  <c r="V74" i="264"/>
  <c r="V73" i="264"/>
  <c r="V72" i="264"/>
  <c r="V71" i="264"/>
  <c r="V70" i="264"/>
  <c r="V69" i="264"/>
  <c r="V68" i="264"/>
  <c r="V67" i="264"/>
  <c r="V66" i="264"/>
  <c r="V65" i="264"/>
  <c r="V64" i="264"/>
  <c r="V63" i="264"/>
  <c r="V62" i="264"/>
  <c r="V61" i="264"/>
  <c r="V60" i="264"/>
  <c r="V59" i="264"/>
  <c r="V58" i="264"/>
  <c r="V57" i="264"/>
  <c r="V56" i="264"/>
  <c r="V55" i="264"/>
  <c r="AC99" i="263"/>
  <c r="AF96" i="263"/>
  <c r="AE96" i="263"/>
  <c r="AD96" i="263"/>
  <c r="AC96" i="263"/>
  <c r="AB96" i="263"/>
  <c r="AA96" i="263"/>
  <c r="Z96" i="263"/>
  <c r="Y96" i="263"/>
  <c r="X96" i="263"/>
  <c r="W96" i="263"/>
  <c r="V96" i="263"/>
  <c r="U96" i="263"/>
  <c r="T96" i="263"/>
  <c r="S96" i="263"/>
  <c r="R96" i="263"/>
  <c r="Q96" i="263"/>
  <c r="P96" i="263"/>
  <c r="O96" i="263"/>
  <c r="N96" i="263"/>
  <c r="M96" i="263"/>
  <c r="L96" i="263"/>
  <c r="K96" i="263"/>
  <c r="J96" i="263"/>
  <c r="I96" i="263"/>
  <c r="H96" i="263"/>
  <c r="G96" i="263"/>
  <c r="F96" i="263"/>
  <c r="E96" i="263"/>
  <c r="D96" i="263"/>
  <c r="C96" i="263"/>
  <c r="B96" i="263"/>
  <c r="AF95" i="263"/>
  <c r="AE95" i="263"/>
  <c r="AD95" i="263"/>
  <c r="AC95" i="263"/>
  <c r="AB95" i="263"/>
  <c r="AA95" i="263"/>
  <c r="Z95" i="263"/>
  <c r="Y95" i="263"/>
  <c r="X95" i="263"/>
  <c r="W95" i="263"/>
  <c r="U95" i="263"/>
  <c r="T95" i="263"/>
  <c r="S95" i="263"/>
  <c r="R95" i="263"/>
  <c r="Q95" i="263"/>
  <c r="P95" i="263"/>
  <c r="O95" i="263"/>
  <c r="N95" i="263"/>
  <c r="M95" i="263"/>
  <c r="L95" i="263"/>
  <c r="K95" i="263"/>
  <c r="J95" i="263"/>
  <c r="I95" i="263"/>
  <c r="H95" i="263"/>
  <c r="G95" i="263"/>
  <c r="F95" i="263"/>
  <c r="E95" i="263"/>
  <c r="D95" i="263"/>
  <c r="C95" i="263"/>
  <c r="B95" i="263"/>
  <c r="AF94" i="263"/>
  <c r="AE94" i="263"/>
  <c r="AD94" i="263"/>
  <c r="AC94" i="263"/>
  <c r="AB94" i="263"/>
  <c r="AA94" i="263"/>
  <c r="Z94" i="263"/>
  <c r="Y94" i="263"/>
  <c r="X94" i="263"/>
  <c r="W94" i="263"/>
  <c r="U94" i="263"/>
  <c r="T94" i="263"/>
  <c r="S94" i="263"/>
  <c r="R94" i="263"/>
  <c r="Q94" i="263"/>
  <c r="P94" i="263"/>
  <c r="O94" i="263"/>
  <c r="N94" i="263"/>
  <c r="M94" i="263"/>
  <c r="L94" i="263"/>
  <c r="K94" i="263"/>
  <c r="J94" i="263"/>
  <c r="I94" i="263"/>
  <c r="H94" i="263"/>
  <c r="G94" i="263"/>
  <c r="F94" i="263"/>
  <c r="E94" i="263"/>
  <c r="D94" i="263"/>
  <c r="C94" i="263"/>
  <c r="B94" i="263"/>
  <c r="N97" i="263" s="1"/>
  <c r="V93" i="263"/>
  <c r="V92" i="263"/>
  <c r="V91" i="263"/>
  <c r="V90" i="263"/>
  <c r="V89" i="263"/>
  <c r="V88" i="263"/>
  <c r="V87" i="263"/>
  <c r="V86" i="263"/>
  <c r="V85" i="263"/>
  <c r="V84" i="263"/>
  <c r="V83" i="263"/>
  <c r="V82" i="263"/>
  <c r="V81" i="263"/>
  <c r="V80" i="263"/>
  <c r="V79" i="263"/>
  <c r="V78" i="263"/>
  <c r="V77" i="263"/>
  <c r="V76" i="263"/>
  <c r="V75" i="263"/>
  <c r="V74" i="263"/>
  <c r="V73" i="263"/>
  <c r="V72" i="263"/>
  <c r="V71" i="263"/>
  <c r="V70" i="263"/>
  <c r="V69" i="263"/>
  <c r="V68" i="263"/>
  <c r="V67" i="263"/>
  <c r="V66" i="263"/>
  <c r="V65" i="263"/>
  <c r="V64" i="263"/>
  <c r="V63" i="263"/>
  <c r="V62" i="263"/>
  <c r="V61" i="263"/>
  <c r="V60" i="263"/>
  <c r="V59" i="263"/>
  <c r="V58" i="263"/>
  <c r="V57" i="263"/>
  <c r="V56" i="263"/>
  <c r="V95" i="263" s="1"/>
  <c r="V55" i="263"/>
  <c r="AF96" i="262"/>
  <c r="AE96" i="262"/>
  <c r="AD96" i="262"/>
  <c r="AC96" i="262"/>
  <c r="AB96" i="262"/>
  <c r="AA96" i="262"/>
  <c r="Z96" i="262"/>
  <c r="Y96" i="262"/>
  <c r="X96" i="262"/>
  <c r="W96" i="262"/>
  <c r="U96" i="262"/>
  <c r="T96" i="262"/>
  <c r="S96" i="262"/>
  <c r="R96" i="262"/>
  <c r="Q96" i="262"/>
  <c r="P96" i="262"/>
  <c r="O96" i="262"/>
  <c r="N96" i="262"/>
  <c r="M96" i="262"/>
  <c r="L96" i="262"/>
  <c r="K96" i="262"/>
  <c r="J96" i="262"/>
  <c r="I96" i="262"/>
  <c r="H96" i="262"/>
  <c r="G96" i="262"/>
  <c r="F96" i="262"/>
  <c r="E96" i="262"/>
  <c r="D96" i="262"/>
  <c r="C96" i="262"/>
  <c r="B96" i="262"/>
  <c r="AF95" i="262"/>
  <c r="AE95" i="262"/>
  <c r="AD95" i="262"/>
  <c r="AC95" i="262"/>
  <c r="AB95" i="262"/>
  <c r="AA95" i="262"/>
  <c r="Z95" i="262"/>
  <c r="Y95" i="262"/>
  <c r="X95" i="262"/>
  <c r="W95" i="262"/>
  <c r="U95" i="262"/>
  <c r="T95" i="262"/>
  <c r="S95" i="262"/>
  <c r="R95" i="262"/>
  <c r="Q95" i="262"/>
  <c r="P95" i="262"/>
  <c r="O95" i="262"/>
  <c r="N95" i="262"/>
  <c r="M95" i="262"/>
  <c r="L95" i="262"/>
  <c r="K95" i="262"/>
  <c r="J95" i="262"/>
  <c r="I95" i="262"/>
  <c r="H95" i="262"/>
  <c r="G95" i="262"/>
  <c r="F95" i="262"/>
  <c r="E95" i="262"/>
  <c r="D95" i="262"/>
  <c r="C95" i="262"/>
  <c r="B95" i="262"/>
  <c r="O98" i="262" s="1"/>
  <c r="AF94" i="262"/>
  <c r="AE94" i="262"/>
  <c r="AD94" i="262"/>
  <c r="AC94" i="262"/>
  <c r="AB94" i="262"/>
  <c r="AA94" i="262"/>
  <c r="Z94" i="262"/>
  <c r="Y94" i="262"/>
  <c r="X94" i="262"/>
  <c r="W94" i="262"/>
  <c r="U94" i="262"/>
  <c r="T94" i="262"/>
  <c r="S94" i="262"/>
  <c r="R94" i="262"/>
  <c r="Q94" i="262"/>
  <c r="P94" i="262"/>
  <c r="O94" i="262"/>
  <c r="N94" i="262"/>
  <c r="M94" i="262"/>
  <c r="L94" i="262"/>
  <c r="K94" i="262"/>
  <c r="J94" i="262"/>
  <c r="I94" i="262"/>
  <c r="H94" i="262"/>
  <c r="G94" i="262"/>
  <c r="F94" i="262"/>
  <c r="E94" i="262"/>
  <c r="D94" i="262"/>
  <c r="C94" i="262"/>
  <c r="B94" i="262"/>
  <c r="V93" i="262"/>
  <c r="V92" i="262"/>
  <c r="V91" i="262"/>
  <c r="V90" i="262"/>
  <c r="V89" i="262"/>
  <c r="V88" i="262"/>
  <c r="V87" i="262"/>
  <c r="V86" i="262"/>
  <c r="V85" i="262"/>
  <c r="V84" i="262"/>
  <c r="V83" i="262"/>
  <c r="V82" i="262"/>
  <c r="V81" i="262"/>
  <c r="V80" i="262"/>
  <c r="V79" i="262"/>
  <c r="V78" i="262"/>
  <c r="V77" i="262"/>
  <c r="V76" i="262"/>
  <c r="V75" i="262"/>
  <c r="V74" i="262"/>
  <c r="V73" i="262"/>
  <c r="V72" i="262"/>
  <c r="V71" i="262"/>
  <c r="V70" i="262"/>
  <c r="V69" i="262"/>
  <c r="V68" i="262"/>
  <c r="V67" i="262"/>
  <c r="V66" i="262"/>
  <c r="V65" i="262"/>
  <c r="V64" i="262"/>
  <c r="V63" i="262"/>
  <c r="V62" i="262"/>
  <c r="V96" i="262" s="1"/>
  <c r="V61" i="262"/>
  <c r="V60" i="262"/>
  <c r="V59" i="262"/>
  <c r="V58" i="262"/>
  <c r="V57" i="262"/>
  <c r="V56" i="262"/>
  <c r="V55" i="262"/>
  <c r="AF96" i="261"/>
  <c r="AE96" i="261"/>
  <c r="AD96" i="261"/>
  <c r="AC96" i="261"/>
  <c r="AB96" i="261"/>
  <c r="AA96" i="261"/>
  <c r="Z96" i="261"/>
  <c r="Y96" i="261"/>
  <c r="X96" i="261"/>
  <c r="W96" i="261"/>
  <c r="V96" i="261"/>
  <c r="U96" i="261"/>
  <c r="T96" i="261"/>
  <c r="S96" i="261"/>
  <c r="R96" i="261"/>
  <c r="Q96" i="261"/>
  <c r="P96" i="261"/>
  <c r="O96" i="261"/>
  <c r="N96" i="261"/>
  <c r="M96" i="261"/>
  <c r="L96" i="261"/>
  <c r="K96" i="261"/>
  <c r="J96" i="261"/>
  <c r="I96" i="261"/>
  <c r="H96" i="261"/>
  <c r="G96" i="261"/>
  <c r="F96" i="261"/>
  <c r="E96" i="261"/>
  <c r="D96" i="261"/>
  <c r="C96" i="261"/>
  <c r="B96" i="261"/>
  <c r="AF95" i="261"/>
  <c r="AE95" i="261"/>
  <c r="AD95" i="261"/>
  <c r="AC95" i="261"/>
  <c r="AB95" i="261"/>
  <c r="AA95" i="261"/>
  <c r="Z95" i="261"/>
  <c r="Y95" i="261"/>
  <c r="X95" i="261"/>
  <c r="W95" i="261"/>
  <c r="U95" i="261"/>
  <c r="T95" i="261"/>
  <c r="S95" i="261"/>
  <c r="R95" i="261"/>
  <c r="Q95" i="261"/>
  <c r="P95" i="261"/>
  <c r="O95" i="261"/>
  <c r="N95" i="261"/>
  <c r="M95" i="261"/>
  <c r="L95" i="261"/>
  <c r="K95" i="261"/>
  <c r="J95" i="261"/>
  <c r="I95" i="261"/>
  <c r="H95" i="261"/>
  <c r="G95" i="261"/>
  <c r="F95" i="261"/>
  <c r="E95" i="261"/>
  <c r="D95" i="261"/>
  <c r="C95" i="261"/>
  <c r="B95" i="261"/>
  <c r="AF94" i="261"/>
  <c r="AE94" i="261"/>
  <c r="AD94" i="261"/>
  <c r="AC94" i="261"/>
  <c r="AB94" i="261"/>
  <c r="AA94" i="261"/>
  <c r="Z94" i="261"/>
  <c r="Y94" i="261"/>
  <c r="X94" i="261"/>
  <c r="W94" i="261"/>
  <c r="U94" i="261"/>
  <c r="T94" i="261"/>
  <c r="S94" i="261"/>
  <c r="R94" i="261"/>
  <c r="Q94" i="261"/>
  <c r="P94" i="261"/>
  <c r="O94" i="261"/>
  <c r="N94" i="261"/>
  <c r="M94" i="261"/>
  <c r="L94" i="261"/>
  <c r="K94" i="261"/>
  <c r="J94" i="261"/>
  <c r="I94" i="261"/>
  <c r="H94" i="261"/>
  <c r="G94" i="261"/>
  <c r="F94" i="261"/>
  <c r="E94" i="261"/>
  <c r="D94" i="261"/>
  <c r="C94" i="261"/>
  <c r="B94" i="261"/>
  <c r="V93" i="261"/>
  <c r="V92" i="261"/>
  <c r="V91" i="261"/>
  <c r="V90" i="261"/>
  <c r="V89" i="261"/>
  <c r="V88" i="261"/>
  <c r="V87" i="261"/>
  <c r="V86" i="261"/>
  <c r="V85" i="261"/>
  <c r="V84" i="261"/>
  <c r="V83" i="261"/>
  <c r="V82" i="261"/>
  <c r="V81" i="261"/>
  <c r="V80" i="261"/>
  <c r="V79" i="261"/>
  <c r="V78" i="261"/>
  <c r="V77" i="261"/>
  <c r="V76" i="261"/>
  <c r="V75" i="261"/>
  <c r="V74" i="261"/>
  <c r="V73" i="261"/>
  <c r="V72" i="261"/>
  <c r="V71" i="261"/>
  <c r="V70" i="261"/>
  <c r="V69" i="261"/>
  <c r="V68" i="261"/>
  <c r="V67" i="261"/>
  <c r="V66" i="261"/>
  <c r="V65" i="261"/>
  <c r="V64" i="261"/>
  <c r="V63" i="261"/>
  <c r="V62" i="261"/>
  <c r="V61" i="261"/>
  <c r="V60" i="261"/>
  <c r="V59" i="261"/>
  <c r="V58" i="261"/>
  <c r="V57" i="261"/>
  <c r="V56" i="261"/>
  <c r="V95" i="261" s="1"/>
  <c r="V55" i="261"/>
  <c r="AF94" i="260"/>
  <c r="AE94" i="260"/>
  <c r="AD94" i="260"/>
  <c r="AC94" i="260"/>
  <c r="AB94" i="260"/>
  <c r="AA94" i="260"/>
  <c r="Z94" i="260"/>
  <c r="Y94" i="260"/>
  <c r="X94" i="260"/>
  <c r="W94" i="260"/>
  <c r="U94" i="260"/>
  <c r="T94" i="260"/>
  <c r="S94" i="260"/>
  <c r="R94" i="260"/>
  <c r="Q94" i="260"/>
  <c r="P94" i="260"/>
  <c r="O94" i="260"/>
  <c r="N94" i="260"/>
  <c r="M94" i="260"/>
  <c r="L94" i="260"/>
  <c r="K94" i="260"/>
  <c r="J94" i="260"/>
  <c r="I94" i="260"/>
  <c r="H94" i="260"/>
  <c r="G94" i="260"/>
  <c r="F94" i="260"/>
  <c r="E94" i="260"/>
  <c r="D94" i="260"/>
  <c r="P96" i="260" s="1"/>
  <c r="C94" i="260"/>
  <c r="B94" i="260"/>
  <c r="AF93" i="260"/>
  <c r="AE93" i="260"/>
  <c r="AD93" i="260"/>
  <c r="AC93" i="260"/>
  <c r="AB93" i="260"/>
  <c r="AA93" i="260"/>
  <c r="Z93" i="260"/>
  <c r="Y93" i="260"/>
  <c r="X93" i="260"/>
  <c r="W93" i="260"/>
  <c r="U93" i="260"/>
  <c r="T93" i="260"/>
  <c r="S93" i="260"/>
  <c r="R93" i="260"/>
  <c r="Q93" i="260"/>
  <c r="P93" i="260"/>
  <c r="O93" i="260"/>
  <c r="N93" i="260"/>
  <c r="M93" i="260"/>
  <c r="L93" i="260"/>
  <c r="K93" i="260"/>
  <c r="J93" i="260"/>
  <c r="I93" i="260"/>
  <c r="N95" i="260" s="1"/>
  <c r="H93" i="260"/>
  <c r="G93" i="260"/>
  <c r="F93" i="260"/>
  <c r="E93" i="260"/>
  <c r="D93" i="260"/>
  <c r="C93" i="260"/>
  <c r="B93" i="260"/>
  <c r="V92" i="260"/>
  <c r="V91" i="260"/>
  <c r="V90" i="260"/>
  <c r="V89" i="260"/>
  <c r="V88" i="260"/>
  <c r="V87" i="260"/>
  <c r="V86" i="260"/>
  <c r="V85" i="260"/>
  <c r="V84" i="260"/>
  <c r="V83" i="260"/>
  <c r="V82" i="260"/>
  <c r="V81" i="260"/>
  <c r="V80" i="260"/>
  <c r="V79" i="260"/>
  <c r="V78" i="260"/>
  <c r="V77" i="260"/>
  <c r="V76" i="260"/>
  <c r="V75" i="260"/>
  <c r="V74" i="260"/>
  <c r="V73" i="260"/>
  <c r="V72" i="260"/>
  <c r="V71" i="260"/>
  <c r="V70" i="260"/>
  <c r="V69" i="260"/>
  <c r="V68" i="260"/>
  <c r="V67" i="260"/>
  <c r="V66" i="260"/>
  <c r="V65" i="260"/>
  <c r="V64" i="260"/>
  <c r="V63" i="260"/>
  <c r="V62" i="260"/>
  <c r="V61" i="260"/>
  <c r="V60" i="260"/>
  <c r="V59" i="260"/>
  <c r="V58" i="260"/>
  <c r="V57" i="260"/>
  <c r="V56" i="260"/>
  <c r="V55" i="260"/>
  <c r="Q98" i="259"/>
  <c r="H97" i="259"/>
  <c r="O97" i="259"/>
  <c r="AF96" i="259"/>
  <c r="AE96" i="259"/>
  <c r="AD96" i="259"/>
  <c r="AC96" i="259"/>
  <c r="AB96" i="259"/>
  <c r="AA96" i="259"/>
  <c r="Z96" i="259"/>
  <c r="Y96" i="259"/>
  <c r="X96" i="259"/>
  <c r="W96" i="259"/>
  <c r="U96" i="259"/>
  <c r="T96" i="259"/>
  <c r="S96" i="259"/>
  <c r="R96" i="259"/>
  <c r="Q96" i="259"/>
  <c r="P96" i="259"/>
  <c r="O96" i="259"/>
  <c r="N96" i="259"/>
  <c r="M96" i="259"/>
  <c r="L96" i="259"/>
  <c r="K96" i="259"/>
  <c r="J96" i="259"/>
  <c r="I96" i="259"/>
  <c r="H96" i="259"/>
  <c r="G96" i="259"/>
  <c r="F96" i="259"/>
  <c r="E96" i="259"/>
  <c r="D96" i="259"/>
  <c r="C96" i="259"/>
  <c r="B96" i="259"/>
  <c r="H99" i="259" s="1"/>
  <c r="AF95" i="259"/>
  <c r="AE95" i="259"/>
  <c r="AD95" i="259"/>
  <c r="AC95" i="259"/>
  <c r="AB95" i="259"/>
  <c r="AA95" i="259"/>
  <c r="Z95" i="259"/>
  <c r="Y95" i="259"/>
  <c r="X95" i="259"/>
  <c r="W95" i="259"/>
  <c r="U95" i="259"/>
  <c r="T95" i="259"/>
  <c r="S95" i="259"/>
  <c r="R95" i="259"/>
  <c r="Q95" i="259"/>
  <c r="P95" i="259"/>
  <c r="O95" i="259"/>
  <c r="N95" i="259"/>
  <c r="M95" i="259"/>
  <c r="L95" i="259"/>
  <c r="K95" i="259"/>
  <c r="J95" i="259"/>
  <c r="I95" i="259"/>
  <c r="H95" i="259"/>
  <c r="G95" i="259"/>
  <c r="F95" i="259"/>
  <c r="E95" i="259"/>
  <c r="D95" i="259"/>
  <c r="C95" i="259"/>
  <c r="B95" i="259"/>
  <c r="AF94" i="259"/>
  <c r="AE94" i="259"/>
  <c r="AD94" i="259"/>
  <c r="AC94" i="259"/>
  <c r="AB94" i="259"/>
  <c r="AA94" i="259"/>
  <c r="Z94" i="259"/>
  <c r="Y94" i="259"/>
  <c r="X94" i="259"/>
  <c r="W94" i="259"/>
  <c r="U94" i="259"/>
  <c r="T94" i="259"/>
  <c r="S94" i="259"/>
  <c r="R94" i="259"/>
  <c r="Q94" i="259"/>
  <c r="P94" i="259"/>
  <c r="O94" i="259"/>
  <c r="N94" i="259"/>
  <c r="M94" i="259"/>
  <c r="L94" i="259"/>
  <c r="K94" i="259"/>
  <c r="J94" i="259"/>
  <c r="I94" i="259"/>
  <c r="H94" i="259"/>
  <c r="G94" i="259"/>
  <c r="N97" i="259" s="1"/>
  <c r="F94" i="259"/>
  <c r="E94" i="259"/>
  <c r="D94" i="259"/>
  <c r="C94" i="259"/>
  <c r="B94" i="259"/>
  <c r="V93" i="259"/>
  <c r="V92" i="259"/>
  <c r="V91" i="259"/>
  <c r="V90" i="259"/>
  <c r="V89" i="259"/>
  <c r="V88" i="259"/>
  <c r="V87" i="259"/>
  <c r="V86" i="259"/>
  <c r="V85" i="259"/>
  <c r="V84" i="259"/>
  <c r="V83" i="259"/>
  <c r="V82" i="259"/>
  <c r="V81" i="259"/>
  <c r="V80" i="259"/>
  <c r="V79" i="259"/>
  <c r="V78" i="259"/>
  <c r="V77" i="259"/>
  <c r="V76" i="259"/>
  <c r="V75" i="259"/>
  <c r="V74" i="259"/>
  <c r="V73" i="259"/>
  <c r="V72" i="259"/>
  <c r="V71" i="259"/>
  <c r="V70" i="259"/>
  <c r="V69" i="259"/>
  <c r="V68" i="259"/>
  <c r="V67" i="259"/>
  <c r="V66" i="259"/>
  <c r="V65" i="259"/>
  <c r="V64" i="259"/>
  <c r="V63" i="259"/>
  <c r="V62" i="259"/>
  <c r="V61" i="259"/>
  <c r="V60" i="259"/>
  <c r="V59" i="259"/>
  <c r="V96" i="259" s="1"/>
  <c r="V58" i="259"/>
  <c r="V57" i="259"/>
  <c r="V56" i="259"/>
  <c r="V55" i="259"/>
  <c r="V94" i="259" s="1"/>
  <c r="K99" i="258"/>
  <c r="J97" i="258"/>
  <c r="AF96" i="258"/>
  <c r="AE96" i="258"/>
  <c r="AD96" i="258"/>
  <c r="AC96" i="258"/>
  <c r="AB96" i="258"/>
  <c r="AA96" i="258"/>
  <c r="Z96" i="258"/>
  <c r="Y96" i="258"/>
  <c r="X96" i="258"/>
  <c r="W96" i="258"/>
  <c r="U96" i="258"/>
  <c r="T96" i="258"/>
  <c r="S96" i="258"/>
  <c r="R96" i="258"/>
  <c r="Q96" i="258"/>
  <c r="P96" i="258"/>
  <c r="O96" i="258"/>
  <c r="N96" i="258"/>
  <c r="M96" i="258"/>
  <c r="L96" i="258"/>
  <c r="K96" i="258"/>
  <c r="J96" i="258"/>
  <c r="I96" i="258"/>
  <c r="H96" i="258"/>
  <c r="G96" i="258"/>
  <c r="F96" i="258"/>
  <c r="E96" i="258"/>
  <c r="D96" i="258"/>
  <c r="C96" i="258"/>
  <c r="B96" i="258"/>
  <c r="N99" i="258" s="1"/>
  <c r="AF95" i="258"/>
  <c r="AE95" i="258"/>
  <c r="AD95" i="258"/>
  <c r="AC95" i="258"/>
  <c r="AB95" i="258"/>
  <c r="AA95" i="258"/>
  <c r="Z95" i="258"/>
  <c r="Y95" i="258"/>
  <c r="X95" i="258"/>
  <c r="W95" i="258"/>
  <c r="U95" i="258"/>
  <c r="T95" i="258"/>
  <c r="S95" i="258"/>
  <c r="R95" i="258"/>
  <c r="Q95" i="258"/>
  <c r="P95" i="258"/>
  <c r="O95" i="258"/>
  <c r="N95" i="258"/>
  <c r="M95" i="258"/>
  <c r="L95" i="258"/>
  <c r="K95" i="258"/>
  <c r="J95" i="258"/>
  <c r="I95" i="258"/>
  <c r="H95" i="258"/>
  <c r="G95" i="258"/>
  <c r="F95" i="258"/>
  <c r="E95" i="258"/>
  <c r="D95" i="258"/>
  <c r="C95" i="258"/>
  <c r="B95" i="258"/>
  <c r="AF94" i="258"/>
  <c r="AE94" i="258"/>
  <c r="AD94" i="258"/>
  <c r="AC94" i="258"/>
  <c r="AB94" i="258"/>
  <c r="AA94" i="258"/>
  <c r="Z94" i="258"/>
  <c r="Y94" i="258"/>
  <c r="X94" i="258"/>
  <c r="W94" i="258"/>
  <c r="U94" i="258"/>
  <c r="T94" i="258"/>
  <c r="S94" i="258"/>
  <c r="R94" i="258"/>
  <c r="Q94" i="258"/>
  <c r="P94" i="258"/>
  <c r="O94" i="258"/>
  <c r="N94" i="258"/>
  <c r="M94" i="258"/>
  <c r="L94" i="258"/>
  <c r="K94" i="258"/>
  <c r="J94" i="258"/>
  <c r="I94" i="258"/>
  <c r="H94" i="258"/>
  <c r="G94" i="258"/>
  <c r="F94" i="258"/>
  <c r="S97" i="258" s="1"/>
  <c r="E94" i="258"/>
  <c r="D94" i="258"/>
  <c r="C94" i="258"/>
  <c r="B94" i="258"/>
  <c r="V93" i="258"/>
  <c r="V92" i="258"/>
  <c r="V91" i="258"/>
  <c r="V90" i="258"/>
  <c r="V89" i="258"/>
  <c r="V88" i="258"/>
  <c r="V87" i="258"/>
  <c r="V86" i="258"/>
  <c r="V85" i="258"/>
  <c r="V84" i="258"/>
  <c r="V83" i="258"/>
  <c r="V82" i="258"/>
  <c r="V81" i="258"/>
  <c r="V80" i="258"/>
  <c r="V79" i="258"/>
  <c r="V78" i="258"/>
  <c r="V77" i="258"/>
  <c r="V76" i="258"/>
  <c r="V75" i="258"/>
  <c r="V74" i="258"/>
  <c r="V73" i="258"/>
  <c r="V72" i="258"/>
  <c r="V71" i="258"/>
  <c r="V70" i="258"/>
  <c r="V69" i="258"/>
  <c r="V68" i="258"/>
  <c r="V67" i="258"/>
  <c r="V66" i="258"/>
  <c r="V65" i="258"/>
  <c r="V64" i="258"/>
  <c r="V63" i="258"/>
  <c r="V62" i="258"/>
  <c r="V61" i="258"/>
  <c r="V60" i="258"/>
  <c r="V59" i="258"/>
  <c r="V58" i="258"/>
  <c r="V94" i="258" s="1"/>
  <c r="V57" i="258"/>
  <c r="V56" i="258"/>
  <c r="V55" i="258"/>
  <c r="P99" i="257"/>
  <c r="AF96" i="257"/>
  <c r="AE96" i="257"/>
  <c r="AD96" i="257"/>
  <c r="AC96" i="257"/>
  <c r="AB96" i="257"/>
  <c r="AA96" i="257"/>
  <c r="Z96" i="257"/>
  <c r="Y96" i="257"/>
  <c r="X96" i="257"/>
  <c r="W96" i="257"/>
  <c r="U96" i="257"/>
  <c r="T96" i="257"/>
  <c r="S96" i="257"/>
  <c r="R96" i="257"/>
  <c r="Q96" i="257"/>
  <c r="P96" i="257"/>
  <c r="O96" i="257"/>
  <c r="N96" i="257"/>
  <c r="M96" i="257"/>
  <c r="L96" i="257"/>
  <c r="K96" i="257"/>
  <c r="J96" i="257"/>
  <c r="I96" i="257"/>
  <c r="H96" i="257"/>
  <c r="Q99" i="257" s="1"/>
  <c r="G96" i="257"/>
  <c r="F96" i="257"/>
  <c r="Z99" i="257" s="1"/>
  <c r="E96" i="257"/>
  <c r="D96" i="257"/>
  <c r="C96" i="257"/>
  <c r="B96" i="257"/>
  <c r="AF95" i="257"/>
  <c r="AE95" i="257"/>
  <c r="AD95" i="257"/>
  <c r="AC95" i="257"/>
  <c r="AB95" i="257"/>
  <c r="AA95" i="257"/>
  <c r="Z95" i="257"/>
  <c r="Y95" i="257"/>
  <c r="X95" i="257"/>
  <c r="W95" i="257"/>
  <c r="U95" i="257"/>
  <c r="T95" i="257"/>
  <c r="S95" i="257"/>
  <c r="R95" i="257"/>
  <c r="Q95" i="257"/>
  <c r="P95" i="257"/>
  <c r="O95" i="257"/>
  <c r="N95" i="257"/>
  <c r="M95" i="257"/>
  <c r="L95" i="257"/>
  <c r="K95" i="257"/>
  <c r="J95" i="257"/>
  <c r="I95" i="257"/>
  <c r="H95" i="257"/>
  <c r="G95" i="257"/>
  <c r="Q98" i="257" s="1"/>
  <c r="F95" i="257"/>
  <c r="E95" i="257"/>
  <c r="T98" i="257" s="1"/>
  <c r="D95" i="257"/>
  <c r="C95" i="257"/>
  <c r="B95" i="257"/>
  <c r="AF94" i="257"/>
  <c r="AE94" i="257"/>
  <c r="AD94" i="257"/>
  <c r="AC94" i="257"/>
  <c r="AB94" i="257"/>
  <c r="AA94" i="257"/>
  <c r="Z94" i="257"/>
  <c r="Y94" i="257"/>
  <c r="X94" i="257"/>
  <c r="W94" i="257"/>
  <c r="U94" i="257"/>
  <c r="T94" i="257"/>
  <c r="S94" i="257"/>
  <c r="R94" i="257"/>
  <c r="Q94" i="257"/>
  <c r="P94" i="257"/>
  <c r="O94" i="257"/>
  <c r="N94" i="257"/>
  <c r="M94" i="257"/>
  <c r="L94" i="257"/>
  <c r="K94" i="257"/>
  <c r="J94" i="257"/>
  <c r="I94" i="257"/>
  <c r="H94" i="257"/>
  <c r="G94" i="257"/>
  <c r="F94" i="257"/>
  <c r="I97" i="257" s="1"/>
  <c r="E94" i="257"/>
  <c r="D94" i="257"/>
  <c r="Q97" i="257" s="1"/>
  <c r="C94" i="257"/>
  <c r="B94" i="257"/>
  <c r="V93" i="257"/>
  <c r="V92" i="257"/>
  <c r="V91" i="257"/>
  <c r="V90" i="257"/>
  <c r="V89" i="257"/>
  <c r="V88" i="257"/>
  <c r="V87" i="257"/>
  <c r="V86" i="257"/>
  <c r="V85" i="257"/>
  <c r="V84" i="257"/>
  <c r="V83" i="257"/>
  <c r="V82" i="257"/>
  <c r="V81" i="257"/>
  <c r="V80" i="257"/>
  <c r="V79" i="257"/>
  <c r="V78" i="257"/>
  <c r="V77" i="257"/>
  <c r="V76" i="257"/>
  <c r="V75" i="257"/>
  <c r="V74" i="257"/>
  <c r="V73" i="257"/>
  <c r="V72" i="257"/>
  <c r="V71" i="257"/>
  <c r="V70" i="257"/>
  <c r="V69" i="257"/>
  <c r="V68" i="257"/>
  <c r="V67" i="257"/>
  <c r="V66" i="257"/>
  <c r="V65" i="257"/>
  <c r="V64" i="257"/>
  <c r="V63" i="257"/>
  <c r="V62" i="257"/>
  <c r="V61" i="257"/>
  <c r="V60" i="257"/>
  <c r="V59" i="257"/>
  <c r="V58" i="257"/>
  <c r="V96" i="257" s="1"/>
  <c r="V57" i="257"/>
  <c r="V56" i="257"/>
  <c r="V55" i="257"/>
  <c r="L99" i="256"/>
  <c r="U97" i="256"/>
  <c r="AF96" i="256"/>
  <c r="AE96" i="256"/>
  <c r="AD96" i="256"/>
  <c r="AC96" i="256"/>
  <c r="AB96" i="256"/>
  <c r="AA96" i="256"/>
  <c r="Z96" i="256"/>
  <c r="Y96" i="256"/>
  <c r="X96" i="256"/>
  <c r="W96" i="256"/>
  <c r="U96" i="256"/>
  <c r="T96" i="256"/>
  <c r="S96" i="256"/>
  <c r="R96" i="256"/>
  <c r="Q96" i="256"/>
  <c r="P96" i="256"/>
  <c r="O96" i="256"/>
  <c r="N96" i="256"/>
  <c r="M96" i="256"/>
  <c r="L96" i="256"/>
  <c r="K96" i="256"/>
  <c r="J96" i="256"/>
  <c r="I96" i="256"/>
  <c r="H96" i="256"/>
  <c r="G96" i="256"/>
  <c r="F96" i="256"/>
  <c r="E96" i="256"/>
  <c r="D96" i="256"/>
  <c r="O99" i="256" s="1"/>
  <c r="C96" i="256"/>
  <c r="B96" i="256"/>
  <c r="AF95" i="256"/>
  <c r="AE95" i="256"/>
  <c r="AD95" i="256"/>
  <c r="AC95" i="256"/>
  <c r="AB95" i="256"/>
  <c r="AA95" i="256"/>
  <c r="Z95" i="256"/>
  <c r="Y95" i="256"/>
  <c r="X95" i="256"/>
  <c r="W95" i="256"/>
  <c r="U95" i="256"/>
  <c r="T95" i="256"/>
  <c r="S95" i="256"/>
  <c r="R95" i="256"/>
  <c r="Q95" i="256"/>
  <c r="P95" i="256"/>
  <c r="O95" i="256"/>
  <c r="N95" i="256"/>
  <c r="M95" i="256"/>
  <c r="L95" i="256"/>
  <c r="K95" i="256"/>
  <c r="J95" i="256"/>
  <c r="I95" i="256"/>
  <c r="H95" i="256"/>
  <c r="G95" i="256"/>
  <c r="F95" i="256"/>
  <c r="E95" i="256"/>
  <c r="D95" i="256"/>
  <c r="C95" i="256"/>
  <c r="L98" i="256" s="1"/>
  <c r="B95" i="256"/>
  <c r="AF94" i="256"/>
  <c r="AE94" i="256"/>
  <c r="AD94" i="256"/>
  <c r="AC94" i="256"/>
  <c r="AB94" i="256"/>
  <c r="AA94" i="256"/>
  <c r="Z94" i="256"/>
  <c r="Y94" i="256"/>
  <c r="X94" i="256"/>
  <c r="W94" i="256"/>
  <c r="U94" i="256"/>
  <c r="T94" i="256"/>
  <c r="S94" i="256"/>
  <c r="R94" i="256"/>
  <c r="Q94" i="256"/>
  <c r="P94" i="256"/>
  <c r="O94" i="256"/>
  <c r="N94" i="256"/>
  <c r="M94" i="256"/>
  <c r="L94" i="256"/>
  <c r="K94" i="256"/>
  <c r="J94" i="256"/>
  <c r="I94" i="256"/>
  <c r="H94" i="256"/>
  <c r="G94" i="256"/>
  <c r="F94" i="256"/>
  <c r="E94" i="256"/>
  <c r="D94" i="256"/>
  <c r="C94" i="256"/>
  <c r="B94" i="256"/>
  <c r="J97" i="256" s="1"/>
  <c r="V93" i="256"/>
  <c r="V92" i="256"/>
  <c r="V91" i="256"/>
  <c r="V90" i="256"/>
  <c r="V89" i="256"/>
  <c r="V88" i="256"/>
  <c r="V87" i="256"/>
  <c r="V86" i="256"/>
  <c r="V85" i="256"/>
  <c r="V84" i="256"/>
  <c r="V83" i="256"/>
  <c r="V82" i="256"/>
  <c r="V81" i="256"/>
  <c r="V80" i="256"/>
  <c r="V79" i="256"/>
  <c r="V78" i="256"/>
  <c r="V77" i="256"/>
  <c r="V76" i="256"/>
  <c r="V75" i="256"/>
  <c r="V74" i="256"/>
  <c r="V73" i="256"/>
  <c r="V72" i="256"/>
  <c r="V71" i="256"/>
  <c r="V70" i="256"/>
  <c r="V69" i="256"/>
  <c r="V68" i="256"/>
  <c r="V67" i="256"/>
  <c r="V66" i="256"/>
  <c r="V65" i="256"/>
  <c r="V64" i="256"/>
  <c r="V63" i="256"/>
  <c r="V62" i="256"/>
  <c r="V96" i="256" s="1"/>
  <c r="AE99" i="256" s="1"/>
  <c r="V61" i="256"/>
  <c r="V60" i="256"/>
  <c r="V59" i="256"/>
  <c r="V58" i="256"/>
  <c r="V94" i="256" s="1"/>
  <c r="V57" i="256"/>
  <c r="V56" i="256"/>
  <c r="V95" i="256" s="1"/>
  <c r="AB98" i="256" s="1"/>
  <c r="V55" i="256"/>
  <c r="T99" i="255"/>
  <c r="AA98" i="255"/>
  <c r="R97" i="255"/>
  <c r="AF96" i="255"/>
  <c r="AE96" i="255"/>
  <c r="AD96" i="255"/>
  <c r="AC96" i="255"/>
  <c r="AB96" i="255"/>
  <c r="AA96" i="255"/>
  <c r="Z96" i="255"/>
  <c r="Y96" i="255"/>
  <c r="X96" i="255"/>
  <c r="W96" i="255"/>
  <c r="U96" i="255"/>
  <c r="T96" i="255"/>
  <c r="S96" i="255"/>
  <c r="R96" i="255"/>
  <c r="Q96" i="255"/>
  <c r="P96" i="255"/>
  <c r="O96" i="255"/>
  <c r="N96" i="255"/>
  <c r="M96" i="255"/>
  <c r="L96" i="255"/>
  <c r="K96" i="255"/>
  <c r="J96" i="255"/>
  <c r="I96" i="255"/>
  <c r="H96" i="255"/>
  <c r="G96" i="255"/>
  <c r="F96" i="255"/>
  <c r="E96" i="255"/>
  <c r="V99" i="255" s="1"/>
  <c r="D96" i="255"/>
  <c r="J99" i="255" s="1"/>
  <c r="C96" i="255"/>
  <c r="B96" i="255"/>
  <c r="AF95" i="255"/>
  <c r="AE95" i="255"/>
  <c r="AD95" i="255"/>
  <c r="AC95" i="255"/>
  <c r="AB95" i="255"/>
  <c r="AA95" i="255"/>
  <c r="Z95" i="255"/>
  <c r="Y95" i="255"/>
  <c r="X95" i="255"/>
  <c r="W95" i="255"/>
  <c r="U95" i="255"/>
  <c r="T95" i="255"/>
  <c r="S95" i="255"/>
  <c r="R95" i="255"/>
  <c r="Q95" i="255"/>
  <c r="P95" i="255"/>
  <c r="O95" i="255"/>
  <c r="N95" i="255"/>
  <c r="M95" i="255"/>
  <c r="L95" i="255"/>
  <c r="K95" i="255"/>
  <c r="J95" i="255"/>
  <c r="I95" i="255"/>
  <c r="H95" i="255"/>
  <c r="G95" i="255"/>
  <c r="F95" i="255"/>
  <c r="E95" i="255"/>
  <c r="D95" i="255"/>
  <c r="K98" i="255" s="1"/>
  <c r="C95" i="255"/>
  <c r="M98" i="255" s="1"/>
  <c r="B95" i="255"/>
  <c r="AF94" i="255"/>
  <c r="AE94" i="255"/>
  <c r="AD94" i="255"/>
  <c r="AC94" i="255"/>
  <c r="AB94" i="255"/>
  <c r="AA94" i="255"/>
  <c r="Z94" i="255"/>
  <c r="Y94" i="255"/>
  <c r="X94" i="255"/>
  <c r="W94" i="255"/>
  <c r="U94" i="255"/>
  <c r="T94" i="255"/>
  <c r="S94" i="255"/>
  <c r="R94" i="255"/>
  <c r="Q94" i="255"/>
  <c r="P94" i="255"/>
  <c r="O94" i="255"/>
  <c r="N94" i="255"/>
  <c r="M94" i="255"/>
  <c r="L94" i="255"/>
  <c r="K94" i="255"/>
  <c r="J94" i="255"/>
  <c r="I94" i="255"/>
  <c r="H94" i="255"/>
  <c r="G94" i="255"/>
  <c r="F94" i="255"/>
  <c r="E94" i="255"/>
  <c r="D94" i="255"/>
  <c r="C94" i="255"/>
  <c r="T97" i="255" s="1"/>
  <c r="B94" i="255"/>
  <c r="I97" i="255" s="1"/>
  <c r="V93" i="255"/>
  <c r="V92" i="255"/>
  <c r="V91" i="255"/>
  <c r="V90" i="255"/>
  <c r="V89" i="255"/>
  <c r="V88" i="255"/>
  <c r="V87" i="255"/>
  <c r="V86" i="255"/>
  <c r="V85" i="255"/>
  <c r="V84" i="255"/>
  <c r="V83" i="255"/>
  <c r="V82" i="255"/>
  <c r="V81" i="255"/>
  <c r="V80" i="255"/>
  <c r="V79" i="255"/>
  <c r="V78" i="255"/>
  <c r="V77" i="255"/>
  <c r="V76" i="255"/>
  <c r="V75" i="255"/>
  <c r="V74" i="255"/>
  <c r="V73" i="255"/>
  <c r="V72" i="255"/>
  <c r="V71" i="255"/>
  <c r="V70" i="255"/>
  <c r="V69" i="255"/>
  <c r="V68" i="255"/>
  <c r="V67" i="255"/>
  <c r="V66" i="255"/>
  <c r="V65" i="255"/>
  <c r="V64" i="255"/>
  <c r="V63" i="255"/>
  <c r="V62" i="255"/>
  <c r="V95" i="255" s="1"/>
  <c r="V61" i="255"/>
  <c r="V60" i="255"/>
  <c r="V59" i="255"/>
  <c r="V58" i="255"/>
  <c r="V57" i="255"/>
  <c r="V96" i="255" s="1"/>
  <c r="V56" i="255"/>
  <c r="V55" i="255"/>
  <c r="V94" i="255" s="1"/>
  <c r="AF96" i="254"/>
  <c r="AE96" i="254"/>
  <c r="AD96" i="254"/>
  <c r="AC96" i="254"/>
  <c r="AB96" i="254"/>
  <c r="AA96" i="254"/>
  <c r="Z96" i="254"/>
  <c r="Y96" i="254"/>
  <c r="X96" i="254"/>
  <c r="W96" i="254"/>
  <c r="U96" i="254"/>
  <c r="T96" i="254"/>
  <c r="S96" i="254"/>
  <c r="R96" i="254"/>
  <c r="Q96" i="254"/>
  <c r="P96" i="254"/>
  <c r="O96" i="254"/>
  <c r="N96" i="254"/>
  <c r="M96" i="254"/>
  <c r="L96" i="254"/>
  <c r="K96" i="254"/>
  <c r="J96" i="254"/>
  <c r="I96" i="254"/>
  <c r="H96" i="254"/>
  <c r="G96" i="254"/>
  <c r="F96" i="254"/>
  <c r="E96" i="254"/>
  <c r="D96" i="254"/>
  <c r="C96" i="254"/>
  <c r="P99" i="254" s="1"/>
  <c r="B96" i="254"/>
  <c r="AF95" i="254"/>
  <c r="AE95" i="254"/>
  <c r="AD95" i="254"/>
  <c r="AC95" i="254"/>
  <c r="AB95" i="254"/>
  <c r="AA95" i="254"/>
  <c r="Z95" i="254"/>
  <c r="Y95" i="254"/>
  <c r="X95" i="254"/>
  <c r="W95" i="254"/>
  <c r="U95" i="254"/>
  <c r="T95" i="254"/>
  <c r="S95" i="254"/>
  <c r="R95" i="254"/>
  <c r="Q95" i="254"/>
  <c r="P95" i="254"/>
  <c r="O95" i="254"/>
  <c r="N95" i="254"/>
  <c r="M95" i="254"/>
  <c r="L95" i="254"/>
  <c r="K95" i="254"/>
  <c r="J95" i="254"/>
  <c r="I95" i="254"/>
  <c r="H95" i="254"/>
  <c r="G95" i="254"/>
  <c r="F95" i="254"/>
  <c r="E95" i="254"/>
  <c r="D95" i="254"/>
  <c r="C95" i="254"/>
  <c r="B95" i="254"/>
  <c r="AF94" i="254"/>
  <c r="AE94" i="254"/>
  <c r="AD94" i="254"/>
  <c r="AC94" i="254"/>
  <c r="AB94" i="254"/>
  <c r="AA94" i="254"/>
  <c r="Z94" i="254"/>
  <c r="Y94" i="254"/>
  <c r="X94" i="254"/>
  <c r="W94" i="254"/>
  <c r="U94" i="254"/>
  <c r="T94" i="254"/>
  <c r="S94" i="254"/>
  <c r="R94" i="254"/>
  <c r="Q94" i="254"/>
  <c r="P94" i="254"/>
  <c r="O94" i="254"/>
  <c r="N94" i="254"/>
  <c r="M94" i="254"/>
  <c r="L94" i="254"/>
  <c r="K94" i="254"/>
  <c r="J94" i="254"/>
  <c r="I94" i="254"/>
  <c r="H94" i="254"/>
  <c r="O97" i="254" s="1"/>
  <c r="G94" i="254"/>
  <c r="F94" i="254"/>
  <c r="E94" i="254"/>
  <c r="D94" i="254"/>
  <c r="C94" i="254"/>
  <c r="B94" i="254"/>
  <c r="V93" i="254"/>
  <c r="V92" i="254"/>
  <c r="V91" i="254"/>
  <c r="V90" i="254"/>
  <c r="V89" i="254"/>
  <c r="V88" i="254"/>
  <c r="V87" i="254"/>
  <c r="V86" i="254"/>
  <c r="V85" i="254"/>
  <c r="V84" i="254"/>
  <c r="V83" i="254"/>
  <c r="V82" i="254"/>
  <c r="V81" i="254"/>
  <c r="V80" i="254"/>
  <c r="V79" i="254"/>
  <c r="V78" i="254"/>
  <c r="V77" i="254"/>
  <c r="V76" i="254"/>
  <c r="V75" i="254"/>
  <c r="V74" i="254"/>
  <c r="V73" i="254"/>
  <c r="V72" i="254"/>
  <c r="V71" i="254"/>
  <c r="V70" i="254"/>
  <c r="V69" i="254"/>
  <c r="V68" i="254"/>
  <c r="V67" i="254"/>
  <c r="V66" i="254"/>
  <c r="V65" i="254"/>
  <c r="V64" i="254"/>
  <c r="V63" i="254"/>
  <c r="V62" i="254"/>
  <c r="V61" i="254"/>
  <c r="V60" i="254"/>
  <c r="V59" i="254"/>
  <c r="V58" i="254"/>
  <c r="V96" i="254" s="1"/>
  <c r="V57" i="254"/>
  <c r="V56" i="254"/>
  <c r="V95" i="254" s="1"/>
  <c r="V55" i="254"/>
  <c r="M96" i="253"/>
  <c r="AF94" i="253"/>
  <c r="AE94" i="253"/>
  <c r="AD94" i="253"/>
  <c r="AC94" i="253"/>
  <c r="AB94" i="253"/>
  <c r="AA94" i="253"/>
  <c r="Z94" i="253"/>
  <c r="Y94" i="253"/>
  <c r="X94" i="253"/>
  <c r="W94" i="253"/>
  <c r="U94" i="253"/>
  <c r="T94" i="253"/>
  <c r="S94" i="253"/>
  <c r="R94" i="253"/>
  <c r="Q94" i="253"/>
  <c r="P94" i="253"/>
  <c r="O94" i="253"/>
  <c r="N94" i="253"/>
  <c r="M94" i="253"/>
  <c r="L94" i="253"/>
  <c r="K94" i="253"/>
  <c r="J94" i="253"/>
  <c r="I94" i="253"/>
  <c r="H94" i="253"/>
  <c r="G94" i="253"/>
  <c r="F94" i="253"/>
  <c r="E94" i="253"/>
  <c r="D94" i="253"/>
  <c r="O96" i="253" s="1"/>
  <c r="C94" i="253"/>
  <c r="N96" i="253" s="1"/>
  <c r="B94" i="253"/>
  <c r="I96" i="253" s="1"/>
  <c r="AF93" i="253"/>
  <c r="AE93" i="253"/>
  <c r="AD93" i="253"/>
  <c r="AC93" i="253"/>
  <c r="AB93" i="253"/>
  <c r="AA93" i="253"/>
  <c r="Z93" i="253"/>
  <c r="Y93" i="253"/>
  <c r="X93" i="253"/>
  <c r="W93" i="253"/>
  <c r="U93" i="253"/>
  <c r="T93" i="253"/>
  <c r="S93" i="253"/>
  <c r="R93" i="253"/>
  <c r="Q93" i="253"/>
  <c r="P93" i="253"/>
  <c r="O93" i="253"/>
  <c r="N93" i="253"/>
  <c r="M93" i="253"/>
  <c r="L93" i="253"/>
  <c r="K93" i="253"/>
  <c r="J93" i="253"/>
  <c r="I93" i="253"/>
  <c r="H93" i="253"/>
  <c r="G93" i="253"/>
  <c r="F93" i="253"/>
  <c r="E93" i="253"/>
  <c r="D93" i="253"/>
  <c r="C93" i="253"/>
  <c r="B93" i="253"/>
  <c r="V92" i="253"/>
  <c r="V91" i="253"/>
  <c r="V90" i="253"/>
  <c r="V89" i="253"/>
  <c r="V88" i="253"/>
  <c r="V87" i="253"/>
  <c r="V86" i="253"/>
  <c r="V85" i="253"/>
  <c r="V84" i="253"/>
  <c r="V83" i="253"/>
  <c r="V82" i="253"/>
  <c r="V81" i="253"/>
  <c r="V80" i="253"/>
  <c r="V79" i="253"/>
  <c r="V78" i="253"/>
  <c r="V77" i="253"/>
  <c r="V76" i="253"/>
  <c r="V75" i="253"/>
  <c r="V74" i="253"/>
  <c r="V73" i="253"/>
  <c r="V72" i="253"/>
  <c r="V71" i="253"/>
  <c r="V70" i="253"/>
  <c r="V69" i="253"/>
  <c r="V68" i="253"/>
  <c r="V67" i="253"/>
  <c r="V66" i="253"/>
  <c r="V65" i="253"/>
  <c r="V64" i="253"/>
  <c r="V63" i="253"/>
  <c r="V62" i="253"/>
  <c r="V61" i="253"/>
  <c r="V60" i="253"/>
  <c r="V59" i="253"/>
  <c r="V58" i="253"/>
  <c r="V57" i="253"/>
  <c r="V56" i="253"/>
  <c r="V55" i="253"/>
  <c r="R99" i="252"/>
  <c r="X98" i="252"/>
  <c r="J97" i="252"/>
  <c r="AF96" i="252"/>
  <c r="AE96" i="252"/>
  <c r="AD96" i="252"/>
  <c r="AC96" i="252"/>
  <c r="AB96" i="252"/>
  <c r="AA96" i="252"/>
  <c r="Z96" i="252"/>
  <c r="Y96" i="252"/>
  <c r="X96" i="252"/>
  <c r="W96" i="252"/>
  <c r="V96" i="252"/>
  <c r="U96" i="252"/>
  <c r="T96" i="252"/>
  <c r="S96" i="252"/>
  <c r="R96" i="252"/>
  <c r="Q96" i="252"/>
  <c r="P96" i="252"/>
  <c r="O96" i="252"/>
  <c r="N96" i="252"/>
  <c r="M96" i="252"/>
  <c r="L96" i="252"/>
  <c r="K96" i="252"/>
  <c r="J96" i="252"/>
  <c r="I96" i="252"/>
  <c r="H96" i="252"/>
  <c r="G96" i="252"/>
  <c r="F96" i="252"/>
  <c r="E96" i="252"/>
  <c r="D96" i="252"/>
  <c r="C96" i="252"/>
  <c r="B96" i="252"/>
  <c r="K99" i="252" s="1"/>
  <c r="AF95" i="252"/>
  <c r="AE95" i="252"/>
  <c r="AD95" i="252"/>
  <c r="AC95" i="252"/>
  <c r="AB95" i="252"/>
  <c r="AA95" i="252"/>
  <c r="Z95" i="252"/>
  <c r="Y95" i="252"/>
  <c r="X95" i="252"/>
  <c r="W95" i="252"/>
  <c r="U95" i="252"/>
  <c r="T95" i="252"/>
  <c r="S95" i="252"/>
  <c r="R95" i="252"/>
  <c r="Q95" i="252"/>
  <c r="P95" i="252"/>
  <c r="O95" i="252"/>
  <c r="N95" i="252"/>
  <c r="M95" i="252"/>
  <c r="L95" i="252"/>
  <c r="K95" i="252"/>
  <c r="J95" i="252"/>
  <c r="I95" i="252"/>
  <c r="H95" i="252"/>
  <c r="G95" i="252"/>
  <c r="F95" i="252"/>
  <c r="E95" i="252"/>
  <c r="I98" i="252" s="1"/>
  <c r="D95" i="252"/>
  <c r="C95" i="252"/>
  <c r="B95" i="252"/>
  <c r="AF94" i="252"/>
  <c r="AE94" i="252"/>
  <c r="AD94" i="252"/>
  <c r="AC94" i="252"/>
  <c r="AB94" i="252"/>
  <c r="AA94" i="252"/>
  <c r="Z94" i="252"/>
  <c r="Y94" i="252"/>
  <c r="X94" i="252"/>
  <c r="W94" i="252"/>
  <c r="U94" i="252"/>
  <c r="T94" i="252"/>
  <c r="S94" i="252"/>
  <c r="R94" i="252"/>
  <c r="Q94" i="252"/>
  <c r="P94" i="252"/>
  <c r="O94" i="252"/>
  <c r="N94" i="252"/>
  <c r="M94" i="252"/>
  <c r="L94" i="252"/>
  <c r="K94" i="252"/>
  <c r="J94" i="252"/>
  <c r="I94" i="252"/>
  <c r="H94" i="252"/>
  <c r="G94" i="252"/>
  <c r="F94" i="252"/>
  <c r="E94" i="252"/>
  <c r="D94" i="252"/>
  <c r="C94" i="252"/>
  <c r="B94" i="252"/>
  <c r="V93" i="252"/>
  <c r="V92" i="252"/>
  <c r="V91" i="252"/>
  <c r="V90" i="252"/>
  <c r="V89" i="252"/>
  <c r="V88" i="252"/>
  <c r="V87" i="252"/>
  <c r="V86" i="252"/>
  <c r="V85" i="252"/>
  <c r="V84" i="252"/>
  <c r="V83" i="252"/>
  <c r="V82" i="252"/>
  <c r="V81" i="252"/>
  <c r="V80" i="252"/>
  <c r="V79" i="252"/>
  <c r="V78" i="252"/>
  <c r="V77" i="252"/>
  <c r="V76" i="252"/>
  <c r="V75" i="252"/>
  <c r="V74" i="252"/>
  <c r="V73" i="252"/>
  <c r="V72" i="252"/>
  <c r="V71" i="252"/>
  <c r="V70" i="252"/>
  <c r="V69" i="252"/>
  <c r="V68" i="252"/>
  <c r="V67" i="252"/>
  <c r="V66" i="252"/>
  <c r="V65" i="252"/>
  <c r="V64" i="252"/>
  <c r="V63" i="252"/>
  <c r="V62" i="252"/>
  <c r="V61" i="252"/>
  <c r="V60" i="252"/>
  <c r="V59" i="252"/>
  <c r="V58" i="252"/>
  <c r="V94" i="252" s="1"/>
  <c r="X97" i="252" s="1"/>
  <c r="V57" i="252"/>
  <c r="V56" i="252"/>
  <c r="V95" i="252" s="1"/>
  <c r="V55" i="252"/>
  <c r="N99" i="251"/>
  <c r="AF96" i="251"/>
  <c r="AE96" i="251"/>
  <c r="AD96" i="251"/>
  <c r="AC96" i="251"/>
  <c r="AB96" i="251"/>
  <c r="AA96" i="251"/>
  <c r="Z96" i="251"/>
  <c r="Y96" i="251"/>
  <c r="X96" i="251"/>
  <c r="W96" i="251"/>
  <c r="U96" i="251"/>
  <c r="T96" i="251"/>
  <c r="S96" i="251"/>
  <c r="R96" i="251"/>
  <c r="Q96" i="251"/>
  <c r="P96" i="251"/>
  <c r="O96" i="251"/>
  <c r="N96" i="251"/>
  <c r="M96" i="251"/>
  <c r="L96" i="251"/>
  <c r="K96" i="251"/>
  <c r="J96" i="251"/>
  <c r="I96" i="251"/>
  <c r="H96" i="251"/>
  <c r="G96" i="251"/>
  <c r="F96" i="251"/>
  <c r="E96" i="251"/>
  <c r="D96" i="251"/>
  <c r="C96" i="251"/>
  <c r="B96" i="251"/>
  <c r="AF95" i="251"/>
  <c r="AE95" i="251"/>
  <c r="AD95" i="251"/>
  <c r="AC95" i="251"/>
  <c r="AB95" i="251"/>
  <c r="AA95" i="251"/>
  <c r="Z95" i="251"/>
  <c r="Y95" i="251"/>
  <c r="X95" i="251"/>
  <c r="W95" i="251"/>
  <c r="U95" i="251"/>
  <c r="T95" i="251"/>
  <c r="S95" i="251"/>
  <c r="R95" i="251"/>
  <c r="Q95" i="251"/>
  <c r="P95" i="251"/>
  <c r="O95" i="251"/>
  <c r="N95" i="251"/>
  <c r="M95" i="251"/>
  <c r="L95" i="251"/>
  <c r="K95" i="251"/>
  <c r="J95" i="251"/>
  <c r="I95" i="251"/>
  <c r="H95" i="251"/>
  <c r="G95" i="251"/>
  <c r="F95" i="251"/>
  <c r="E95" i="251"/>
  <c r="D95" i="251"/>
  <c r="C95" i="251"/>
  <c r="B95" i="251"/>
  <c r="AF94" i="251"/>
  <c r="AE94" i="251"/>
  <c r="AD94" i="251"/>
  <c r="AC94" i="251"/>
  <c r="AB94" i="251"/>
  <c r="AA94" i="251"/>
  <c r="Z94" i="251"/>
  <c r="Y94" i="251"/>
  <c r="X94" i="251"/>
  <c r="W94" i="251"/>
  <c r="U94" i="251"/>
  <c r="T94" i="251"/>
  <c r="S94" i="251"/>
  <c r="R94" i="251"/>
  <c r="Q94" i="251"/>
  <c r="P94" i="251"/>
  <c r="O94" i="251"/>
  <c r="N94" i="251"/>
  <c r="M94" i="251"/>
  <c r="L94" i="251"/>
  <c r="K94" i="251"/>
  <c r="J94" i="251"/>
  <c r="I94" i="251"/>
  <c r="H94" i="251"/>
  <c r="G94" i="251"/>
  <c r="F94" i="251"/>
  <c r="E94" i="251"/>
  <c r="D94" i="251"/>
  <c r="C94" i="251"/>
  <c r="AC97" i="251" s="1"/>
  <c r="B94" i="251"/>
  <c r="V93" i="251"/>
  <c r="V92" i="251"/>
  <c r="V91" i="251"/>
  <c r="V90" i="251"/>
  <c r="V89" i="251"/>
  <c r="V88" i="251"/>
  <c r="V87" i="251"/>
  <c r="V86" i="251"/>
  <c r="V85" i="251"/>
  <c r="V84" i="251"/>
  <c r="V83" i="251"/>
  <c r="V82" i="251"/>
  <c r="V81" i="251"/>
  <c r="V80" i="251"/>
  <c r="V79" i="251"/>
  <c r="V78" i="251"/>
  <c r="V77" i="251"/>
  <c r="V76" i="251"/>
  <c r="V75" i="251"/>
  <c r="V74" i="251"/>
  <c r="V73" i="251"/>
  <c r="V72" i="251"/>
  <c r="V71" i="251"/>
  <c r="V70" i="251"/>
  <c r="V69" i="251"/>
  <c r="V68" i="251"/>
  <c r="V67" i="251"/>
  <c r="V66" i="251"/>
  <c r="V65" i="251"/>
  <c r="V64" i="251"/>
  <c r="V63" i="251"/>
  <c r="V62" i="251"/>
  <c r="V61" i="251"/>
  <c r="V60" i="251"/>
  <c r="V59" i="251"/>
  <c r="V58" i="251"/>
  <c r="V57" i="251"/>
  <c r="V96" i="251" s="1"/>
  <c r="AB99" i="251" s="1"/>
  <c r="V56" i="251"/>
  <c r="V55" i="251"/>
  <c r="V94" i="251" s="1"/>
  <c r="AF96" i="250"/>
  <c r="AE96" i="250"/>
  <c r="AD96" i="250"/>
  <c r="AC96" i="250"/>
  <c r="AB96" i="250"/>
  <c r="AA96" i="250"/>
  <c r="Z96" i="250"/>
  <c r="Y96" i="250"/>
  <c r="X96" i="250"/>
  <c r="W96" i="250"/>
  <c r="U96" i="250"/>
  <c r="T96" i="250"/>
  <c r="S96" i="250"/>
  <c r="R96" i="250"/>
  <c r="Q96" i="250"/>
  <c r="P96" i="250"/>
  <c r="O96" i="250"/>
  <c r="N96" i="250"/>
  <c r="M96" i="250"/>
  <c r="L96" i="250"/>
  <c r="K96" i="250"/>
  <c r="J96" i="250"/>
  <c r="I96" i="250"/>
  <c r="H96" i="250"/>
  <c r="G96" i="250"/>
  <c r="F96" i="250"/>
  <c r="E96" i="250"/>
  <c r="D96" i="250"/>
  <c r="C96" i="250"/>
  <c r="O99" i="250" s="1"/>
  <c r="B96" i="250"/>
  <c r="AF95" i="250"/>
  <c r="AE95" i="250"/>
  <c r="AD95" i="250"/>
  <c r="AC95" i="250"/>
  <c r="AB95" i="250"/>
  <c r="AA95" i="250"/>
  <c r="Z95" i="250"/>
  <c r="Y95" i="250"/>
  <c r="X95" i="250"/>
  <c r="W95" i="250"/>
  <c r="U95" i="250"/>
  <c r="T95" i="250"/>
  <c r="S95" i="250"/>
  <c r="R95" i="250"/>
  <c r="Q95" i="250"/>
  <c r="P95" i="250"/>
  <c r="O95" i="250"/>
  <c r="N95" i="250"/>
  <c r="M95" i="250"/>
  <c r="L95" i="250"/>
  <c r="K95" i="250"/>
  <c r="J95" i="250"/>
  <c r="I95" i="250"/>
  <c r="H95" i="250"/>
  <c r="G95" i="250"/>
  <c r="F95" i="250"/>
  <c r="E95" i="250"/>
  <c r="D95" i="250"/>
  <c r="C95" i="250"/>
  <c r="B95" i="250"/>
  <c r="AA98" i="250" s="1"/>
  <c r="AF94" i="250"/>
  <c r="AE94" i="250"/>
  <c r="AD94" i="250"/>
  <c r="AC94" i="250"/>
  <c r="AB94" i="250"/>
  <c r="AA94" i="250"/>
  <c r="Z94" i="250"/>
  <c r="Y94" i="250"/>
  <c r="X94" i="250"/>
  <c r="W94" i="250"/>
  <c r="U94" i="250"/>
  <c r="T94" i="250"/>
  <c r="S94" i="250"/>
  <c r="R94" i="250"/>
  <c r="Q94" i="250"/>
  <c r="P94" i="250"/>
  <c r="O94" i="250"/>
  <c r="N94" i="250"/>
  <c r="M94" i="250"/>
  <c r="L94" i="250"/>
  <c r="K94" i="250"/>
  <c r="J94" i="250"/>
  <c r="I94" i="250"/>
  <c r="P97" i="250" s="1"/>
  <c r="H94" i="250"/>
  <c r="G94" i="250"/>
  <c r="F94" i="250"/>
  <c r="E94" i="250"/>
  <c r="D94" i="250"/>
  <c r="C94" i="250"/>
  <c r="B94" i="250"/>
  <c r="V93" i="250"/>
  <c r="V92" i="250"/>
  <c r="V91" i="250"/>
  <c r="V90" i="250"/>
  <c r="V89" i="250"/>
  <c r="V88" i="250"/>
  <c r="V87" i="250"/>
  <c r="V86" i="250"/>
  <c r="V85" i="250"/>
  <c r="V84" i="250"/>
  <c r="V83" i="250"/>
  <c r="V82" i="250"/>
  <c r="V81" i="250"/>
  <c r="V80" i="250"/>
  <c r="V79" i="250"/>
  <c r="V78" i="250"/>
  <c r="V77" i="250"/>
  <c r="V76" i="250"/>
  <c r="V75" i="250"/>
  <c r="V74" i="250"/>
  <c r="V73" i="250"/>
  <c r="V72" i="250"/>
  <c r="V71" i="250"/>
  <c r="V70" i="250"/>
  <c r="V69" i="250"/>
  <c r="V68" i="250"/>
  <c r="V67" i="250"/>
  <c r="V66" i="250"/>
  <c r="V65" i="250"/>
  <c r="V64" i="250"/>
  <c r="V63" i="250"/>
  <c r="V62" i="250"/>
  <c r="V61" i="250"/>
  <c r="V60" i="250"/>
  <c r="V59" i="250"/>
  <c r="V58" i="250"/>
  <c r="V94" i="250" s="1"/>
  <c r="V57" i="250"/>
  <c r="V56" i="250"/>
  <c r="V95" i="250" s="1"/>
  <c r="V55" i="250"/>
  <c r="AF96" i="249"/>
  <c r="AE96" i="249"/>
  <c r="AD96" i="249"/>
  <c r="AC96" i="249"/>
  <c r="AB96" i="249"/>
  <c r="AA96" i="249"/>
  <c r="Z96" i="249"/>
  <c r="Y96" i="249"/>
  <c r="X96" i="249"/>
  <c r="W96" i="249"/>
  <c r="U96" i="249"/>
  <c r="T96" i="249"/>
  <c r="S96" i="249"/>
  <c r="R96" i="249"/>
  <c r="Q96" i="249"/>
  <c r="P96" i="249"/>
  <c r="O96" i="249"/>
  <c r="N96" i="249"/>
  <c r="M96" i="249"/>
  <c r="L96" i="249"/>
  <c r="K96" i="249"/>
  <c r="J96" i="249"/>
  <c r="I96" i="249"/>
  <c r="H96" i="249"/>
  <c r="G96" i="249"/>
  <c r="F96" i="249"/>
  <c r="E96" i="249"/>
  <c r="D96" i="249"/>
  <c r="C96" i="249"/>
  <c r="B96" i="249"/>
  <c r="I99" i="249" s="1"/>
  <c r="AF95" i="249"/>
  <c r="AE95" i="249"/>
  <c r="AD95" i="249"/>
  <c r="AC95" i="249"/>
  <c r="AB95" i="249"/>
  <c r="AA95" i="249"/>
  <c r="Z95" i="249"/>
  <c r="Y95" i="249"/>
  <c r="X95" i="249"/>
  <c r="W95" i="249"/>
  <c r="U95" i="249"/>
  <c r="T95" i="249"/>
  <c r="S95" i="249"/>
  <c r="R95" i="249"/>
  <c r="Q95" i="249"/>
  <c r="P95" i="249"/>
  <c r="O95" i="249"/>
  <c r="N95" i="249"/>
  <c r="M95" i="249"/>
  <c r="L95" i="249"/>
  <c r="K95" i="249"/>
  <c r="J95" i="249"/>
  <c r="I95" i="249"/>
  <c r="H95" i="249"/>
  <c r="G95" i="249"/>
  <c r="F95" i="249"/>
  <c r="E95" i="249"/>
  <c r="D95" i="249"/>
  <c r="S98" i="249" s="1"/>
  <c r="C95" i="249"/>
  <c r="B95" i="249"/>
  <c r="AF94" i="249"/>
  <c r="AE94" i="249"/>
  <c r="AD94" i="249"/>
  <c r="AC94" i="249"/>
  <c r="AB94" i="249"/>
  <c r="AA94" i="249"/>
  <c r="Z94" i="249"/>
  <c r="Y94" i="249"/>
  <c r="X94" i="249"/>
  <c r="W94" i="249"/>
  <c r="U94" i="249"/>
  <c r="T94" i="249"/>
  <c r="S94" i="249"/>
  <c r="R94" i="249"/>
  <c r="Q94" i="249"/>
  <c r="P94" i="249"/>
  <c r="O94" i="249"/>
  <c r="N94" i="249"/>
  <c r="M94" i="249"/>
  <c r="L94" i="249"/>
  <c r="K94" i="249"/>
  <c r="J94" i="249"/>
  <c r="I94" i="249"/>
  <c r="H94" i="249"/>
  <c r="G94" i="249"/>
  <c r="F94" i="249"/>
  <c r="E94" i="249"/>
  <c r="D94" i="249"/>
  <c r="C94" i="249"/>
  <c r="Q97" i="249" s="1"/>
  <c r="B94" i="249"/>
  <c r="V93" i="249"/>
  <c r="V92" i="249"/>
  <c r="V91" i="249"/>
  <c r="V90" i="249"/>
  <c r="V89" i="249"/>
  <c r="V88" i="249"/>
  <c r="V87" i="249"/>
  <c r="V86" i="249"/>
  <c r="V85" i="249"/>
  <c r="V84" i="249"/>
  <c r="V83" i="249"/>
  <c r="V82" i="249"/>
  <c r="V81" i="249"/>
  <c r="V80" i="249"/>
  <c r="V79" i="249"/>
  <c r="V78" i="249"/>
  <c r="V77" i="249"/>
  <c r="V76" i="249"/>
  <c r="V75" i="249"/>
  <c r="V74" i="249"/>
  <c r="V73" i="249"/>
  <c r="V72" i="249"/>
  <c r="V71" i="249"/>
  <c r="V70" i="249"/>
  <c r="V69" i="249"/>
  <c r="V68" i="249"/>
  <c r="V67" i="249"/>
  <c r="V66" i="249"/>
  <c r="V65" i="249"/>
  <c r="V64" i="249"/>
  <c r="V63" i="249"/>
  <c r="V62" i="249"/>
  <c r="V61" i="249"/>
  <c r="V60" i="249"/>
  <c r="V59" i="249"/>
  <c r="V58" i="249"/>
  <c r="V96" i="249" s="1"/>
  <c r="V57" i="249"/>
  <c r="V56" i="249"/>
  <c r="V95" i="249" s="1"/>
  <c r="V55" i="249"/>
  <c r="V94" i="249" s="1"/>
  <c r="AF92" i="248"/>
  <c r="AE92" i="248"/>
  <c r="AD92" i="248"/>
  <c r="AC92" i="248"/>
  <c r="AB92" i="248"/>
  <c r="AA92" i="248"/>
  <c r="Z92" i="248"/>
  <c r="Y92" i="248"/>
  <c r="X92" i="248"/>
  <c r="W92" i="248"/>
  <c r="U92" i="248"/>
  <c r="T92" i="248"/>
  <c r="S92" i="248"/>
  <c r="R92" i="248"/>
  <c r="Q92" i="248"/>
  <c r="P92" i="248"/>
  <c r="O92" i="248"/>
  <c r="N92" i="248"/>
  <c r="M92" i="248"/>
  <c r="L92" i="248"/>
  <c r="K92" i="248"/>
  <c r="J92" i="248"/>
  <c r="I92" i="248"/>
  <c r="H92" i="248"/>
  <c r="G92" i="248"/>
  <c r="F92" i="248"/>
  <c r="E92" i="248"/>
  <c r="D92" i="248"/>
  <c r="C92" i="248"/>
  <c r="B92" i="248"/>
  <c r="V91" i="248"/>
  <c r="V90" i="248"/>
  <c r="V89" i="248"/>
  <c r="V88" i="248"/>
  <c r="V87" i="248"/>
  <c r="V86" i="248"/>
  <c r="V85" i="248"/>
  <c r="V84" i="248"/>
  <c r="V83" i="248"/>
  <c r="V82" i="248"/>
  <c r="V81" i="248"/>
  <c r="V80" i="248"/>
  <c r="V79" i="248"/>
  <c r="V78" i="248"/>
  <c r="V77" i="248"/>
  <c r="V76" i="248"/>
  <c r="V75" i="248"/>
  <c r="V74" i="248"/>
  <c r="V73" i="248"/>
  <c r="V72" i="248"/>
  <c r="V71" i="248"/>
  <c r="V70" i="248"/>
  <c r="V69" i="248"/>
  <c r="V68" i="248"/>
  <c r="V67" i="248"/>
  <c r="V66" i="248"/>
  <c r="V65" i="248"/>
  <c r="V64" i="248"/>
  <c r="V63" i="248"/>
  <c r="V62" i="248"/>
  <c r="V61" i="248"/>
  <c r="V60" i="248"/>
  <c r="V59" i="248"/>
  <c r="V58" i="248"/>
  <c r="V57" i="248"/>
  <c r="V56" i="248"/>
  <c r="V55" i="248"/>
  <c r="V92" i="248" s="1"/>
  <c r="Q93" i="247"/>
  <c r="AF92" i="247"/>
  <c r="AE92" i="247"/>
  <c r="AD92" i="247"/>
  <c r="AC92" i="247"/>
  <c r="AB92" i="247"/>
  <c r="AA92" i="247"/>
  <c r="Z92" i="247"/>
  <c r="Y92" i="247"/>
  <c r="X92" i="247"/>
  <c r="W92" i="247"/>
  <c r="U92" i="247"/>
  <c r="T92" i="247"/>
  <c r="S92" i="247"/>
  <c r="R92" i="247"/>
  <c r="Q92" i="247"/>
  <c r="P92" i="247"/>
  <c r="O92" i="247"/>
  <c r="N92" i="247"/>
  <c r="M92" i="247"/>
  <c r="L92" i="247"/>
  <c r="K92" i="247"/>
  <c r="J92" i="247"/>
  <c r="I92" i="247"/>
  <c r="H92" i="247"/>
  <c r="G92" i="247"/>
  <c r="F92" i="247"/>
  <c r="AF93" i="247" s="1"/>
  <c r="E92" i="247"/>
  <c r="D92" i="247"/>
  <c r="C92" i="247"/>
  <c r="I93" i="247" s="1"/>
  <c r="B92" i="247"/>
  <c r="V91" i="247"/>
  <c r="V90" i="247"/>
  <c r="V89" i="247"/>
  <c r="V88" i="247"/>
  <c r="V87" i="247"/>
  <c r="V86" i="247"/>
  <c r="V85" i="247"/>
  <c r="V84" i="247"/>
  <c r="V83" i="247"/>
  <c r="V82" i="247"/>
  <c r="V81" i="247"/>
  <c r="V80" i="247"/>
  <c r="V79" i="247"/>
  <c r="V78" i="247"/>
  <c r="V77" i="247"/>
  <c r="V76" i="247"/>
  <c r="V75" i="247"/>
  <c r="V74" i="247"/>
  <c r="V73" i="247"/>
  <c r="V72" i="247"/>
  <c r="V71" i="247"/>
  <c r="V70" i="247"/>
  <c r="V69" i="247"/>
  <c r="V68" i="247"/>
  <c r="V67" i="247"/>
  <c r="V66" i="247"/>
  <c r="V65" i="247"/>
  <c r="V64" i="247"/>
  <c r="V63" i="247"/>
  <c r="V62" i="247"/>
  <c r="V61" i="247"/>
  <c r="V60" i="247"/>
  <c r="V59" i="247"/>
  <c r="V58" i="247"/>
  <c r="V57" i="247"/>
  <c r="V56" i="247"/>
  <c r="V92" i="247" s="1"/>
  <c r="Z93" i="247" s="1"/>
  <c r="V55" i="247"/>
  <c r="AF94" i="246"/>
  <c r="AE94" i="246"/>
  <c r="AD94" i="246"/>
  <c r="AC94" i="246"/>
  <c r="AB94" i="246"/>
  <c r="AA94" i="246"/>
  <c r="Z94" i="246"/>
  <c r="Y94" i="246"/>
  <c r="X94" i="246"/>
  <c r="W94" i="246"/>
  <c r="U94" i="246"/>
  <c r="T94" i="246"/>
  <c r="S94" i="246"/>
  <c r="R94" i="246"/>
  <c r="Q94" i="246"/>
  <c r="P94" i="246"/>
  <c r="O94" i="246"/>
  <c r="N94" i="246"/>
  <c r="M94" i="246"/>
  <c r="L94" i="246"/>
  <c r="K94" i="246"/>
  <c r="J94" i="246"/>
  <c r="I94" i="246"/>
  <c r="H94" i="246"/>
  <c r="G94" i="246"/>
  <c r="F94" i="246"/>
  <c r="E94" i="246"/>
  <c r="D94" i="246"/>
  <c r="Z96" i="246" s="1"/>
  <c r="C94" i="246"/>
  <c r="N96" i="246" s="1"/>
  <c r="B94" i="246"/>
  <c r="AF93" i="246"/>
  <c r="AE93" i="246"/>
  <c r="AD93" i="246"/>
  <c r="AC93" i="246"/>
  <c r="AB93" i="246"/>
  <c r="AA93" i="246"/>
  <c r="Z93" i="246"/>
  <c r="Y93" i="246"/>
  <c r="X93" i="246"/>
  <c r="W93" i="246"/>
  <c r="U93" i="246"/>
  <c r="T93" i="246"/>
  <c r="S93" i="246"/>
  <c r="R93" i="246"/>
  <c r="Q93" i="246"/>
  <c r="P93" i="246"/>
  <c r="O93" i="246"/>
  <c r="N93" i="246"/>
  <c r="M93" i="246"/>
  <c r="L93" i="246"/>
  <c r="K93" i="246"/>
  <c r="J93" i="246"/>
  <c r="I93" i="246"/>
  <c r="H93" i="246"/>
  <c r="G93" i="246"/>
  <c r="F93" i="246"/>
  <c r="L95" i="246" s="1"/>
  <c r="E93" i="246"/>
  <c r="D93" i="246"/>
  <c r="C93" i="246"/>
  <c r="J95" i="246" s="1"/>
  <c r="B93" i="246"/>
  <c r="M95" i="246" s="1"/>
  <c r="V92" i="246"/>
  <c r="V91" i="246"/>
  <c r="V90" i="246"/>
  <c r="V89" i="246"/>
  <c r="V88" i="246"/>
  <c r="V87" i="246"/>
  <c r="V86" i="246"/>
  <c r="V85" i="246"/>
  <c r="V84" i="246"/>
  <c r="V83" i="246"/>
  <c r="V82" i="246"/>
  <c r="V81" i="246"/>
  <c r="V80" i="246"/>
  <c r="V79" i="246"/>
  <c r="V78" i="246"/>
  <c r="V77" i="246"/>
  <c r="V76" i="246"/>
  <c r="V75" i="246"/>
  <c r="V74" i="246"/>
  <c r="V73" i="246"/>
  <c r="V72" i="246"/>
  <c r="V71" i="246"/>
  <c r="V70" i="246"/>
  <c r="V69" i="246"/>
  <c r="V68" i="246"/>
  <c r="V67" i="246"/>
  <c r="V66" i="246"/>
  <c r="V65" i="246"/>
  <c r="V64" i="246"/>
  <c r="V63" i="246"/>
  <c r="V62" i="246"/>
  <c r="V61" i="246"/>
  <c r="V60" i="246"/>
  <c r="V59" i="246"/>
  <c r="V58" i="246"/>
  <c r="V57" i="246"/>
  <c r="V93" i="246" s="1"/>
  <c r="V56" i="246"/>
  <c r="V94" i="246" s="1"/>
  <c r="V55" i="246"/>
  <c r="X99" i="249" l="1"/>
  <c r="AB96" i="246"/>
  <c r="K93" i="248"/>
  <c r="S93" i="248"/>
  <c r="AA93" i="248"/>
  <c r="H93" i="248"/>
  <c r="P93" i="248"/>
  <c r="X93" i="248"/>
  <c r="AF93" i="248"/>
  <c r="O97" i="249"/>
  <c r="J99" i="250"/>
  <c r="H98" i="251"/>
  <c r="P98" i="251"/>
  <c r="I98" i="251"/>
  <c r="Q98" i="251"/>
  <c r="J98" i="251"/>
  <c r="R98" i="251"/>
  <c r="S98" i="251"/>
  <c r="P43" i="251" a="1"/>
  <c r="T98" i="251"/>
  <c r="U98" i="251"/>
  <c r="K98" i="251"/>
  <c r="L98" i="251"/>
  <c r="M98" i="251"/>
  <c r="P43" i="254" a="1"/>
  <c r="K98" i="254"/>
  <c r="S98" i="254"/>
  <c r="AA98" i="254"/>
  <c r="L98" i="254"/>
  <c r="T98" i="254"/>
  <c r="AB98" i="254"/>
  <c r="M98" i="254"/>
  <c r="U98" i="254"/>
  <c r="AC98" i="254"/>
  <c r="N98" i="254"/>
  <c r="V98" i="254"/>
  <c r="AD98" i="254"/>
  <c r="I98" i="254"/>
  <c r="Q98" i="254"/>
  <c r="Y98" i="254"/>
  <c r="J98" i="254"/>
  <c r="R98" i="254"/>
  <c r="Z98" i="254"/>
  <c r="P98" i="254"/>
  <c r="W98" i="254"/>
  <c r="X98" i="254"/>
  <c r="AE98" i="254"/>
  <c r="AF98" i="254"/>
  <c r="O98" i="254"/>
  <c r="M96" i="246"/>
  <c r="J43" i="248" a="1"/>
  <c r="AC99" i="249"/>
  <c r="N95" i="246"/>
  <c r="U96" i="246"/>
  <c r="Y93" i="247"/>
  <c r="J43" i="247" a="1"/>
  <c r="Q93" i="248"/>
  <c r="Y97" i="249"/>
  <c r="N97" i="249"/>
  <c r="AB98" i="249"/>
  <c r="O98" i="249"/>
  <c r="AB99" i="249"/>
  <c r="N99" i="249"/>
  <c r="J43" i="250" a="1"/>
  <c r="K97" i="250"/>
  <c r="S97" i="250"/>
  <c r="AA97" i="250"/>
  <c r="L97" i="250"/>
  <c r="T97" i="250"/>
  <c r="AB97" i="250"/>
  <c r="H97" i="250"/>
  <c r="R97" i="250"/>
  <c r="AD97" i="250"/>
  <c r="I97" i="250"/>
  <c r="U97" i="250"/>
  <c r="AE97" i="250"/>
  <c r="J97" i="250"/>
  <c r="V97" i="250"/>
  <c r="AF97" i="250"/>
  <c r="M97" i="250"/>
  <c r="W97" i="250"/>
  <c r="O97" i="250"/>
  <c r="Y97" i="250"/>
  <c r="N97" i="250"/>
  <c r="I98" i="250"/>
  <c r="Y95" i="246"/>
  <c r="H93" i="247"/>
  <c r="AC98" i="249"/>
  <c r="X95" i="246"/>
  <c r="AD96" i="246"/>
  <c r="L96" i="246"/>
  <c r="P93" i="247"/>
  <c r="AB93" i="248"/>
  <c r="AF95" i="246"/>
  <c r="V95" i="246"/>
  <c r="AC96" i="246"/>
  <c r="T96" i="246"/>
  <c r="K96" i="246"/>
  <c r="X93" i="247"/>
  <c r="N93" i="247"/>
  <c r="Z93" i="248"/>
  <c r="O93" i="248"/>
  <c r="W97" i="249"/>
  <c r="L97" i="249"/>
  <c r="AA98" i="249"/>
  <c r="M98" i="249"/>
  <c r="Y99" i="249"/>
  <c r="M99" i="249"/>
  <c r="AF98" i="250"/>
  <c r="O98" i="251"/>
  <c r="V43" i="249" a="1"/>
  <c r="AD95" i="246"/>
  <c r="J96" i="246"/>
  <c r="V93" i="247"/>
  <c r="V97" i="249"/>
  <c r="O95" i="246"/>
  <c r="W95" i="246"/>
  <c r="AE95" i="246"/>
  <c r="AC95" i="246"/>
  <c r="T95" i="246"/>
  <c r="K95" i="246"/>
  <c r="AA96" i="246"/>
  <c r="R96" i="246"/>
  <c r="I96" i="246"/>
  <c r="P43" i="246" a="1"/>
  <c r="O93" i="247"/>
  <c r="AD93" i="247"/>
  <c r="U93" i="247"/>
  <c r="L93" i="247"/>
  <c r="W93" i="248"/>
  <c r="M93" i="248"/>
  <c r="AE97" i="249"/>
  <c r="T97" i="249"/>
  <c r="J97" i="249"/>
  <c r="W98" i="249"/>
  <c r="K98" i="249"/>
  <c r="V99" i="249"/>
  <c r="J43" i="249" a="1"/>
  <c r="V96" i="250"/>
  <c r="Y99" i="250" s="1"/>
  <c r="AC97" i="250"/>
  <c r="X99" i="250"/>
  <c r="V95" i="251"/>
  <c r="AA98" i="251" s="1"/>
  <c r="L99" i="252"/>
  <c r="AB99" i="252"/>
  <c r="S99" i="252"/>
  <c r="P95" i="246"/>
  <c r="P98" i="249"/>
  <c r="P43" i="250" a="1"/>
  <c r="L98" i="250"/>
  <c r="T98" i="250"/>
  <c r="AB98" i="250"/>
  <c r="M98" i="250"/>
  <c r="U98" i="250"/>
  <c r="AC98" i="250"/>
  <c r="K98" i="250"/>
  <c r="W98" i="250"/>
  <c r="N98" i="250"/>
  <c r="X98" i="250"/>
  <c r="O98" i="250"/>
  <c r="Y98" i="250"/>
  <c r="P98" i="250"/>
  <c r="Z98" i="250"/>
  <c r="H98" i="250"/>
  <c r="R98" i="250"/>
  <c r="AD98" i="250"/>
  <c r="J98" i="250"/>
  <c r="U95" i="246"/>
  <c r="N93" i="248"/>
  <c r="X98" i="249"/>
  <c r="L98" i="249"/>
  <c r="J97" i="251"/>
  <c r="U97" i="251"/>
  <c r="K97" i="251"/>
  <c r="V97" i="251"/>
  <c r="L97" i="251"/>
  <c r="Z97" i="251"/>
  <c r="N98" i="251"/>
  <c r="S95" i="246"/>
  <c r="Q96" i="246"/>
  <c r="AC93" i="247"/>
  <c r="V93" i="248"/>
  <c r="J99" i="249"/>
  <c r="R99" i="249"/>
  <c r="Z99" i="249"/>
  <c r="K99" i="249"/>
  <c r="S99" i="249"/>
  <c r="AA99" i="249"/>
  <c r="O99" i="249"/>
  <c r="W99" i="249"/>
  <c r="AE99" i="249"/>
  <c r="AD97" i="249"/>
  <c r="S97" i="249"/>
  <c r="I97" i="249"/>
  <c r="U98" i="249"/>
  <c r="H98" i="249"/>
  <c r="U99" i="249"/>
  <c r="H99" i="249"/>
  <c r="Z97" i="250"/>
  <c r="V98" i="250"/>
  <c r="T99" i="250"/>
  <c r="AB97" i="251"/>
  <c r="P43" i="252" a="1"/>
  <c r="L98" i="252"/>
  <c r="K98" i="252"/>
  <c r="Z98" i="252"/>
  <c r="P98" i="252"/>
  <c r="AA98" i="252"/>
  <c r="Q98" i="252"/>
  <c r="AB98" i="252"/>
  <c r="R98" i="252"/>
  <c r="AF98" i="252"/>
  <c r="S98" i="252"/>
  <c r="H98" i="252"/>
  <c r="T98" i="252"/>
  <c r="J98" i="252"/>
  <c r="Y98" i="252"/>
  <c r="H98" i="254"/>
  <c r="AE96" i="246"/>
  <c r="R93" i="248"/>
  <c r="P99" i="249"/>
  <c r="H96" i="246"/>
  <c r="S96" i="246"/>
  <c r="M93" i="247"/>
  <c r="K97" i="249"/>
  <c r="L99" i="249"/>
  <c r="AE98" i="250"/>
  <c r="K93" i="247"/>
  <c r="AA95" i="246"/>
  <c r="R95" i="246"/>
  <c r="I95" i="246"/>
  <c r="Y96" i="246"/>
  <c r="O96" i="246"/>
  <c r="J43" i="246" a="1"/>
  <c r="AB93" i="247"/>
  <c r="S93" i="247"/>
  <c r="J93" i="247"/>
  <c r="AE93" i="248"/>
  <c r="U93" i="248"/>
  <c r="J93" i="248"/>
  <c r="I98" i="249"/>
  <c r="Q98" i="249"/>
  <c r="Y98" i="249"/>
  <c r="J98" i="249"/>
  <c r="R98" i="249"/>
  <c r="Z98" i="249"/>
  <c r="N98" i="249"/>
  <c r="V98" i="249"/>
  <c r="AD98" i="249"/>
  <c r="AB97" i="249"/>
  <c r="R97" i="249"/>
  <c r="AF98" i="249"/>
  <c r="T98" i="249"/>
  <c r="AF99" i="249"/>
  <c r="T99" i="249"/>
  <c r="P43" i="249" a="1"/>
  <c r="X97" i="250"/>
  <c r="S98" i="250"/>
  <c r="I99" i="251"/>
  <c r="R97" i="251"/>
  <c r="N97" i="252"/>
  <c r="V97" i="252"/>
  <c r="AD97" i="252"/>
  <c r="J43" i="252" a="1"/>
  <c r="O97" i="252"/>
  <c r="Z97" i="252"/>
  <c r="P97" i="252"/>
  <c r="AA97" i="252"/>
  <c r="Q97" i="252"/>
  <c r="AE97" i="252"/>
  <c r="R97" i="252"/>
  <c r="AF97" i="252"/>
  <c r="H97" i="252"/>
  <c r="S97" i="252"/>
  <c r="I97" i="252"/>
  <c r="W97" i="252"/>
  <c r="K97" i="252"/>
  <c r="Y97" i="252"/>
  <c r="V96" i="246"/>
  <c r="AC93" i="248"/>
  <c r="Z97" i="249"/>
  <c r="Y93" i="248"/>
  <c r="AB95" i="246"/>
  <c r="T93" i="247"/>
  <c r="L93" i="248"/>
  <c r="Z95" i="246"/>
  <c r="Q95" i="246"/>
  <c r="H95" i="246"/>
  <c r="W96" i="246"/>
  <c r="AA93" i="247"/>
  <c r="R93" i="247"/>
  <c r="AD93" i="248"/>
  <c r="T93" i="248"/>
  <c r="I93" i="248"/>
  <c r="H97" i="249"/>
  <c r="AA97" i="249"/>
  <c r="AE98" i="249"/>
  <c r="AD99" i="249"/>
  <c r="Q99" i="249"/>
  <c r="Q99" i="250"/>
  <c r="AA99" i="250"/>
  <c r="H99" i="250"/>
  <c r="R99" i="250"/>
  <c r="AB99" i="250"/>
  <c r="I99" i="250"/>
  <c r="S99" i="250"/>
  <c r="AE99" i="250"/>
  <c r="K99" i="250"/>
  <c r="W99" i="250"/>
  <c r="Q97" i="250"/>
  <c r="Q98" i="250"/>
  <c r="L99" i="250"/>
  <c r="R99" i="251"/>
  <c r="Z99" i="251"/>
  <c r="K99" i="251"/>
  <c r="S99" i="251"/>
  <c r="AA99" i="251"/>
  <c r="P99" i="251"/>
  <c r="AD99" i="251"/>
  <c r="T99" i="251"/>
  <c r="AE99" i="251"/>
  <c r="U99" i="251"/>
  <c r="AF99" i="251"/>
  <c r="H99" i="251"/>
  <c r="V99" i="251"/>
  <c r="L99" i="251"/>
  <c r="W99" i="251"/>
  <c r="M99" i="251"/>
  <c r="X99" i="251"/>
  <c r="V43" i="251" a="1"/>
  <c r="O99" i="251"/>
  <c r="AC99" i="251"/>
  <c r="N97" i="251"/>
  <c r="H97" i="254"/>
  <c r="P97" i="254"/>
  <c r="X97" i="254"/>
  <c r="H99" i="254"/>
  <c r="AC97" i="249"/>
  <c r="U97" i="249"/>
  <c r="M97" i="249"/>
  <c r="O97" i="251"/>
  <c r="W97" i="251"/>
  <c r="AE97" i="251"/>
  <c r="H97" i="251"/>
  <c r="P97" i="251"/>
  <c r="X97" i="251"/>
  <c r="AF97" i="251"/>
  <c r="I97" i="251"/>
  <c r="Q97" i="251"/>
  <c r="Y97" i="251"/>
  <c r="AA97" i="251"/>
  <c r="M97" i="251"/>
  <c r="Q99" i="252"/>
  <c r="N97" i="254"/>
  <c r="AF99" i="254"/>
  <c r="H95" i="253"/>
  <c r="P95" i="253"/>
  <c r="I95" i="253"/>
  <c r="Q95" i="253"/>
  <c r="J95" i="253"/>
  <c r="R95" i="253"/>
  <c r="Z95" i="253"/>
  <c r="K95" i="253"/>
  <c r="S95" i="253"/>
  <c r="O95" i="253"/>
  <c r="U95" i="253"/>
  <c r="W96" i="253"/>
  <c r="Y99" i="254"/>
  <c r="J43" i="251" a="1"/>
  <c r="AA99" i="252"/>
  <c r="T95" i="253"/>
  <c r="V96" i="253"/>
  <c r="P43" i="253" a="1"/>
  <c r="X99" i="254"/>
  <c r="N99" i="252"/>
  <c r="V99" i="252"/>
  <c r="AD99" i="252"/>
  <c r="O99" i="252"/>
  <c r="W99" i="252"/>
  <c r="AE99" i="252"/>
  <c r="H99" i="252"/>
  <c r="P99" i="252"/>
  <c r="X99" i="252"/>
  <c r="AF99" i="252"/>
  <c r="V43" i="252" a="1"/>
  <c r="M99" i="252"/>
  <c r="U99" i="252"/>
  <c r="AC99" i="252"/>
  <c r="Z99" i="252"/>
  <c r="J99" i="252"/>
  <c r="V93" i="253"/>
  <c r="AF95" i="253" s="1"/>
  <c r="N95" i="253"/>
  <c r="U96" i="253"/>
  <c r="Q99" i="254"/>
  <c r="AF97" i="257"/>
  <c r="T97" i="251"/>
  <c r="M98" i="252"/>
  <c r="Y99" i="252"/>
  <c r="I99" i="252"/>
  <c r="V94" i="253"/>
  <c r="M95" i="253"/>
  <c r="J43" i="253" a="1"/>
  <c r="AC98" i="255"/>
  <c r="V94" i="257"/>
  <c r="AF96" i="246"/>
  <c r="X96" i="246"/>
  <c r="P96" i="246"/>
  <c r="AE93" i="247"/>
  <c r="W93" i="247"/>
  <c r="AF97" i="249"/>
  <c r="X97" i="249"/>
  <c r="P97" i="249"/>
  <c r="V43" i="250" a="1"/>
  <c r="M99" i="250"/>
  <c r="U99" i="250"/>
  <c r="AC99" i="250"/>
  <c r="N99" i="250"/>
  <c r="V99" i="250"/>
  <c r="AD99" i="250"/>
  <c r="Z99" i="250"/>
  <c r="P99" i="250"/>
  <c r="AD97" i="251"/>
  <c r="S97" i="251"/>
  <c r="L97" i="252"/>
  <c r="T99" i="252"/>
  <c r="AD95" i="253"/>
  <c r="L95" i="253"/>
  <c r="I97" i="254"/>
  <c r="V43" i="254" a="1"/>
  <c r="L99" i="254"/>
  <c r="T99" i="254"/>
  <c r="AB99" i="254"/>
  <c r="M99" i="254"/>
  <c r="U99" i="254"/>
  <c r="AC99" i="254"/>
  <c r="N99" i="254"/>
  <c r="V99" i="254"/>
  <c r="AD99" i="254"/>
  <c r="O99" i="254"/>
  <c r="W99" i="254"/>
  <c r="AE99" i="254"/>
  <c r="J99" i="254"/>
  <c r="R99" i="254"/>
  <c r="Z99" i="254"/>
  <c r="K99" i="254"/>
  <c r="S99" i="254"/>
  <c r="AA99" i="254"/>
  <c r="W97" i="254"/>
  <c r="I99" i="254"/>
  <c r="L98" i="257"/>
  <c r="AF96" i="253"/>
  <c r="X96" i="253"/>
  <c r="P96" i="253"/>
  <c r="H96" i="253"/>
  <c r="V94" i="254"/>
  <c r="AE97" i="254" s="1"/>
  <c r="Y97" i="254"/>
  <c r="Q97" i="254"/>
  <c r="P43" i="255" a="1"/>
  <c r="L98" i="255"/>
  <c r="T98" i="255"/>
  <c r="AB98" i="255"/>
  <c r="N98" i="255"/>
  <c r="V98" i="255"/>
  <c r="AD98" i="255"/>
  <c r="O98" i="255"/>
  <c r="W98" i="255"/>
  <c r="AE98" i="255"/>
  <c r="H98" i="255"/>
  <c r="P98" i="255"/>
  <c r="X98" i="255"/>
  <c r="AF98" i="255"/>
  <c r="O99" i="255"/>
  <c r="W99" i="255"/>
  <c r="AE99" i="255"/>
  <c r="X99" i="255"/>
  <c r="AF99" i="255"/>
  <c r="Y97" i="255"/>
  <c r="R98" i="255"/>
  <c r="AA99" i="255"/>
  <c r="K99" i="255"/>
  <c r="N99" i="256"/>
  <c r="AA97" i="256"/>
  <c r="K97" i="256"/>
  <c r="N98" i="256"/>
  <c r="T99" i="256"/>
  <c r="J43" i="256" a="1"/>
  <c r="Y99" i="257"/>
  <c r="V95" i="258"/>
  <c r="AB98" i="258" s="1"/>
  <c r="R97" i="258"/>
  <c r="AD97" i="259"/>
  <c r="AE97" i="259"/>
  <c r="J43" i="255" a="1"/>
  <c r="K97" i="255"/>
  <c r="S97" i="255"/>
  <c r="AA97" i="255"/>
  <c r="M97" i="255"/>
  <c r="U97" i="255"/>
  <c r="AC97" i="255"/>
  <c r="N97" i="255"/>
  <c r="V97" i="255"/>
  <c r="AD97" i="255"/>
  <c r="O97" i="255"/>
  <c r="W97" i="255"/>
  <c r="AE97" i="255"/>
  <c r="X97" i="255"/>
  <c r="H97" i="255"/>
  <c r="Q98" i="255"/>
  <c r="Z99" i="255"/>
  <c r="M98" i="256"/>
  <c r="Z97" i="256"/>
  <c r="V95" i="257"/>
  <c r="AF98" i="257" s="1"/>
  <c r="O97" i="257"/>
  <c r="W97" i="257"/>
  <c r="AE97" i="257"/>
  <c r="H98" i="257"/>
  <c r="P98" i="257"/>
  <c r="X98" i="257"/>
  <c r="P97" i="257"/>
  <c r="R98" i="257"/>
  <c r="S99" i="257"/>
  <c r="V96" i="258"/>
  <c r="AD99" i="258" s="1"/>
  <c r="Z97" i="258"/>
  <c r="S99" i="258"/>
  <c r="V43" i="258" a="1"/>
  <c r="L97" i="256"/>
  <c r="T97" i="256"/>
  <c r="AB97" i="256"/>
  <c r="N97" i="256"/>
  <c r="V97" i="256"/>
  <c r="AD97" i="256"/>
  <c r="O97" i="256"/>
  <c r="W97" i="256"/>
  <c r="AE97" i="256"/>
  <c r="H97" i="256"/>
  <c r="P97" i="256"/>
  <c r="X97" i="256"/>
  <c r="AF97" i="256"/>
  <c r="I97" i="256"/>
  <c r="J98" i="256"/>
  <c r="R98" i="256"/>
  <c r="Z98" i="256"/>
  <c r="K99" i="256"/>
  <c r="S99" i="256"/>
  <c r="AA99" i="256"/>
  <c r="Y97" i="256"/>
  <c r="AD98" i="256"/>
  <c r="K98" i="256"/>
  <c r="M99" i="256"/>
  <c r="K97" i="257"/>
  <c r="Y97" i="258"/>
  <c r="L99" i="258"/>
  <c r="AB96" i="253"/>
  <c r="T96" i="253"/>
  <c r="L96" i="253"/>
  <c r="J43" i="254" a="1"/>
  <c r="AC97" i="254"/>
  <c r="U97" i="254"/>
  <c r="M97" i="254"/>
  <c r="Q97" i="255"/>
  <c r="Z98" i="255"/>
  <c r="J98" i="255"/>
  <c r="S99" i="255"/>
  <c r="S97" i="256"/>
  <c r="AA98" i="256"/>
  <c r="AC99" i="256"/>
  <c r="V43" i="256" a="1"/>
  <c r="AA97" i="257"/>
  <c r="H97" i="257"/>
  <c r="J98" i="257"/>
  <c r="I99" i="257"/>
  <c r="AE98" i="252"/>
  <c r="W98" i="252"/>
  <c r="O98" i="252"/>
  <c r="AA96" i="253"/>
  <c r="S96" i="253"/>
  <c r="K96" i="253"/>
  <c r="AB97" i="254"/>
  <c r="T97" i="254"/>
  <c r="L97" i="254"/>
  <c r="AF97" i="255"/>
  <c r="P97" i="255"/>
  <c r="Y98" i="255"/>
  <c r="I98" i="255"/>
  <c r="R99" i="255"/>
  <c r="R97" i="256"/>
  <c r="V98" i="256"/>
  <c r="AB99" i="256"/>
  <c r="Y97" i="257"/>
  <c r="AB98" i="257"/>
  <c r="I98" i="257"/>
  <c r="M98" i="258"/>
  <c r="U98" i="258"/>
  <c r="AC98" i="258"/>
  <c r="N98" i="258"/>
  <c r="V98" i="258"/>
  <c r="AD98" i="258"/>
  <c r="O98" i="258"/>
  <c r="W98" i="258"/>
  <c r="AE98" i="258"/>
  <c r="H98" i="258"/>
  <c r="P98" i="258"/>
  <c r="X98" i="258"/>
  <c r="AF98" i="258"/>
  <c r="I98" i="258"/>
  <c r="Q98" i="258"/>
  <c r="Y98" i="258"/>
  <c r="K98" i="258"/>
  <c r="R98" i="258"/>
  <c r="S98" i="258"/>
  <c r="P43" i="258" a="1"/>
  <c r="T98" i="258"/>
  <c r="Z98" i="258"/>
  <c r="AA98" i="258"/>
  <c r="J99" i="251"/>
  <c r="AC97" i="252"/>
  <c r="U97" i="252"/>
  <c r="M97" i="252"/>
  <c r="AD98" i="252"/>
  <c r="V98" i="252"/>
  <c r="N98" i="252"/>
  <c r="Z96" i="253"/>
  <c r="R96" i="253"/>
  <c r="J96" i="253"/>
  <c r="AA97" i="254"/>
  <c r="S97" i="254"/>
  <c r="K97" i="254"/>
  <c r="AB97" i="255"/>
  <c r="L97" i="255"/>
  <c r="U98" i="255"/>
  <c r="AD99" i="255"/>
  <c r="N99" i="255"/>
  <c r="Q97" i="256"/>
  <c r="T98" i="256"/>
  <c r="W99" i="256"/>
  <c r="P43" i="256" a="1"/>
  <c r="X97" i="257"/>
  <c r="Z98" i="257"/>
  <c r="AB99" i="257"/>
  <c r="L98" i="258"/>
  <c r="Y99" i="251"/>
  <c r="Q99" i="251"/>
  <c r="AB97" i="252"/>
  <c r="T97" i="252"/>
  <c r="AC98" i="252"/>
  <c r="U98" i="252"/>
  <c r="Y96" i="253"/>
  <c r="Q96" i="253"/>
  <c r="Z97" i="254"/>
  <c r="R97" i="254"/>
  <c r="J97" i="254"/>
  <c r="V43" i="255" a="1"/>
  <c r="Z97" i="255"/>
  <c r="J97" i="255"/>
  <c r="S98" i="255"/>
  <c r="AB99" i="255"/>
  <c r="L99" i="255"/>
  <c r="AC97" i="256"/>
  <c r="M97" i="256"/>
  <c r="S98" i="256"/>
  <c r="U99" i="256"/>
  <c r="N97" i="257"/>
  <c r="S97" i="257"/>
  <c r="Y98" i="257"/>
  <c r="M99" i="258"/>
  <c r="J98" i="258"/>
  <c r="O98" i="259"/>
  <c r="U95" i="260"/>
  <c r="M99" i="261"/>
  <c r="S99" i="261"/>
  <c r="T99" i="261"/>
  <c r="K99" i="262"/>
  <c r="S99" i="262"/>
  <c r="AA99" i="262"/>
  <c r="L99" i="262"/>
  <c r="T99" i="262"/>
  <c r="AB99" i="262"/>
  <c r="V43" i="262" a="1"/>
  <c r="M99" i="262"/>
  <c r="U99" i="262"/>
  <c r="AC99" i="262"/>
  <c r="N99" i="262"/>
  <c r="V99" i="262"/>
  <c r="AD99" i="262"/>
  <c r="O99" i="262"/>
  <c r="W99" i="262"/>
  <c r="AE99" i="262"/>
  <c r="K99" i="259"/>
  <c r="S99" i="259"/>
  <c r="AA99" i="259"/>
  <c r="L99" i="259"/>
  <c r="T99" i="259"/>
  <c r="AB99" i="259"/>
  <c r="V43" i="259" a="1"/>
  <c r="M99" i="259"/>
  <c r="U99" i="259"/>
  <c r="AC99" i="259"/>
  <c r="N99" i="259"/>
  <c r="V99" i="259"/>
  <c r="AD99" i="259"/>
  <c r="O99" i="259"/>
  <c r="W99" i="259"/>
  <c r="AE99" i="259"/>
  <c r="I99" i="259"/>
  <c r="Q99" i="259"/>
  <c r="Y99" i="259"/>
  <c r="I98" i="259"/>
  <c r="H98" i="261"/>
  <c r="P98" i="261"/>
  <c r="X98" i="261"/>
  <c r="AF98" i="261"/>
  <c r="P43" i="261" a="1"/>
  <c r="T98" i="261"/>
  <c r="Z98" i="261"/>
  <c r="AA98" i="261"/>
  <c r="J98" i="261"/>
  <c r="AB98" i="261"/>
  <c r="K98" i="261"/>
  <c r="L98" i="261"/>
  <c r="R98" i="261"/>
  <c r="K97" i="264"/>
  <c r="L98" i="264"/>
  <c r="M98" i="264"/>
  <c r="N98" i="264"/>
  <c r="O98" i="264"/>
  <c r="T98" i="264"/>
  <c r="P43" i="264" a="1"/>
  <c r="V43" i="257" a="1"/>
  <c r="M99" i="257"/>
  <c r="N99" i="257"/>
  <c r="V99" i="257"/>
  <c r="AD99" i="257"/>
  <c r="X99" i="257"/>
  <c r="O99" i="257"/>
  <c r="L97" i="258"/>
  <c r="X97" i="259"/>
  <c r="AF99" i="259"/>
  <c r="J95" i="260"/>
  <c r="R97" i="261"/>
  <c r="S97" i="261"/>
  <c r="I97" i="261"/>
  <c r="J97" i="261"/>
  <c r="J43" i="261" a="1"/>
  <c r="K97" i="261"/>
  <c r="Y99" i="255"/>
  <c r="Q99" i="255"/>
  <c r="I99" i="255"/>
  <c r="Y98" i="256"/>
  <c r="Q98" i="256"/>
  <c r="I98" i="256"/>
  <c r="Z99" i="256"/>
  <c r="R99" i="256"/>
  <c r="J99" i="256"/>
  <c r="P43" i="257" a="1"/>
  <c r="AD97" i="257"/>
  <c r="V97" i="257"/>
  <c r="AE98" i="257"/>
  <c r="W98" i="257"/>
  <c r="O98" i="257"/>
  <c r="AF99" i="257"/>
  <c r="W99" i="257"/>
  <c r="L99" i="257"/>
  <c r="J98" i="259"/>
  <c r="R98" i="259"/>
  <c r="K98" i="259"/>
  <c r="S98" i="259"/>
  <c r="P43" i="259" a="1"/>
  <c r="L98" i="259"/>
  <c r="T98" i="259"/>
  <c r="AB98" i="259"/>
  <c r="M98" i="259"/>
  <c r="U98" i="259"/>
  <c r="N98" i="259"/>
  <c r="H98" i="259"/>
  <c r="W97" i="259"/>
  <c r="Z99" i="259"/>
  <c r="V93" i="260"/>
  <c r="Q97" i="261"/>
  <c r="P99" i="255"/>
  <c r="H99" i="255"/>
  <c r="AF98" i="256"/>
  <c r="X98" i="256"/>
  <c r="P98" i="256"/>
  <c r="H98" i="256"/>
  <c r="Y99" i="256"/>
  <c r="Q99" i="256"/>
  <c r="I99" i="256"/>
  <c r="J43" i="257" a="1"/>
  <c r="AC97" i="257"/>
  <c r="U97" i="257"/>
  <c r="M97" i="257"/>
  <c r="AD98" i="257"/>
  <c r="V98" i="257"/>
  <c r="N98" i="257"/>
  <c r="AE99" i="257"/>
  <c r="U99" i="257"/>
  <c r="K99" i="257"/>
  <c r="H97" i="258"/>
  <c r="P97" i="258"/>
  <c r="X97" i="258"/>
  <c r="AF97" i="258"/>
  <c r="Q97" i="258"/>
  <c r="U99" i="258"/>
  <c r="V97" i="259"/>
  <c r="X99" i="259"/>
  <c r="V94" i="260"/>
  <c r="AA96" i="260" s="1"/>
  <c r="V94" i="261"/>
  <c r="Y97" i="261" s="1"/>
  <c r="S98" i="261"/>
  <c r="J43" i="264" a="1"/>
  <c r="AE98" i="256"/>
  <c r="W98" i="256"/>
  <c r="O98" i="256"/>
  <c r="AF99" i="256"/>
  <c r="X99" i="256"/>
  <c r="P99" i="256"/>
  <c r="H99" i="256"/>
  <c r="AB97" i="257"/>
  <c r="T97" i="257"/>
  <c r="L97" i="257"/>
  <c r="AC98" i="257"/>
  <c r="U98" i="257"/>
  <c r="M98" i="257"/>
  <c r="AC99" i="257"/>
  <c r="T99" i="257"/>
  <c r="J99" i="257"/>
  <c r="K97" i="258"/>
  <c r="T99" i="258"/>
  <c r="J43" i="258" a="1"/>
  <c r="I97" i="259"/>
  <c r="P97" i="259"/>
  <c r="R99" i="259"/>
  <c r="AE95" i="260"/>
  <c r="U99" i="261"/>
  <c r="P99" i="259"/>
  <c r="AC95" i="260"/>
  <c r="O99" i="263"/>
  <c r="Y99" i="263"/>
  <c r="P99" i="263"/>
  <c r="Z99" i="263"/>
  <c r="Q99" i="263"/>
  <c r="AC99" i="255"/>
  <c r="U99" i="255"/>
  <c r="M99" i="255"/>
  <c r="AC98" i="256"/>
  <c r="U98" i="256"/>
  <c r="AD99" i="256"/>
  <c r="V99" i="256"/>
  <c r="Z97" i="257"/>
  <c r="R97" i="257"/>
  <c r="J97" i="257"/>
  <c r="AA98" i="257"/>
  <c r="S98" i="257"/>
  <c r="K98" i="257"/>
  <c r="AA99" i="257"/>
  <c r="R99" i="257"/>
  <c r="H99" i="257"/>
  <c r="AA97" i="258"/>
  <c r="I97" i="258"/>
  <c r="V95" i="259"/>
  <c r="AA98" i="259" s="1"/>
  <c r="AF97" i="259"/>
  <c r="P98" i="259"/>
  <c r="J99" i="259"/>
  <c r="L96" i="260"/>
  <c r="T96" i="260"/>
  <c r="AB96" i="260"/>
  <c r="P43" i="260" a="1"/>
  <c r="M96" i="260"/>
  <c r="U96" i="260"/>
  <c r="N96" i="260"/>
  <c r="V96" i="260"/>
  <c r="AD96" i="260"/>
  <c r="Q96" i="260"/>
  <c r="AC96" i="260"/>
  <c r="R96" i="260"/>
  <c r="AE96" i="260"/>
  <c r="H96" i="260"/>
  <c r="S96" i="260"/>
  <c r="AF96" i="260"/>
  <c r="I96" i="260"/>
  <c r="W96" i="260"/>
  <c r="J96" i="260"/>
  <c r="X96" i="260"/>
  <c r="K96" i="260"/>
  <c r="Y96" i="260"/>
  <c r="O96" i="260"/>
  <c r="Z96" i="260"/>
  <c r="W95" i="260"/>
  <c r="K95" i="260"/>
  <c r="S95" i="260"/>
  <c r="J43" i="260" a="1"/>
  <c r="M95" i="260"/>
  <c r="AD95" i="260"/>
  <c r="V95" i="260"/>
  <c r="L95" i="260"/>
  <c r="J98" i="262"/>
  <c r="R98" i="262"/>
  <c r="Z98" i="262"/>
  <c r="K98" i="262"/>
  <c r="S98" i="262"/>
  <c r="AA98" i="262"/>
  <c r="P43" i="262" a="1"/>
  <c r="L98" i="262"/>
  <c r="T98" i="262"/>
  <c r="AB98" i="262"/>
  <c r="M98" i="262"/>
  <c r="U98" i="262"/>
  <c r="AC98" i="262"/>
  <c r="N98" i="262"/>
  <c r="H98" i="263"/>
  <c r="T98" i="263"/>
  <c r="AD98" i="263"/>
  <c r="I98" i="263"/>
  <c r="U98" i="263"/>
  <c r="AE98" i="263"/>
  <c r="L98" i="263"/>
  <c r="V98" i="263"/>
  <c r="AF98" i="263"/>
  <c r="M98" i="263"/>
  <c r="W98" i="263"/>
  <c r="N97" i="262"/>
  <c r="V97" i="262"/>
  <c r="AD97" i="262"/>
  <c r="O97" i="262"/>
  <c r="W97" i="262"/>
  <c r="H97" i="262"/>
  <c r="P97" i="262"/>
  <c r="X97" i="262"/>
  <c r="AF97" i="262"/>
  <c r="I97" i="262"/>
  <c r="Q97" i="262"/>
  <c r="Y97" i="262"/>
  <c r="J97" i="262"/>
  <c r="R97" i="262"/>
  <c r="Z97" i="262"/>
  <c r="J43" i="262" a="1"/>
  <c r="K97" i="262"/>
  <c r="S97" i="262"/>
  <c r="AA97" i="262"/>
  <c r="L97" i="262"/>
  <c r="T97" i="262"/>
  <c r="AB97" i="262"/>
  <c r="O97" i="263"/>
  <c r="W97" i="263"/>
  <c r="AE97" i="263"/>
  <c r="P97" i="263"/>
  <c r="X97" i="263"/>
  <c r="AF97" i="263"/>
  <c r="Q97" i="263"/>
  <c r="H97" i="263"/>
  <c r="R97" i="263"/>
  <c r="Z97" i="263"/>
  <c r="W44" i="264"/>
  <c r="V45" i="264"/>
  <c r="F51" i="245" s="1"/>
  <c r="W45" i="264"/>
  <c r="V46" i="264"/>
  <c r="V43" i="264"/>
  <c r="V49" i="264" s="1"/>
  <c r="V50" i="264" s="1"/>
  <c r="V51" i="264" s="1"/>
  <c r="E51" i="245" s="1"/>
  <c r="W43" i="264"/>
  <c r="V44" i="264"/>
  <c r="W46" i="264"/>
  <c r="V47" i="264"/>
  <c r="W47" i="264"/>
  <c r="Z99" i="258"/>
  <c r="R99" i="258"/>
  <c r="J99" i="258"/>
  <c r="AC97" i="259"/>
  <c r="U97" i="259"/>
  <c r="M97" i="259"/>
  <c r="AB95" i="260"/>
  <c r="T95" i="260"/>
  <c r="I95" i="260"/>
  <c r="V94" i="262"/>
  <c r="AE97" i="262" s="1"/>
  <c r="V95" i="264"/>
  <c r="AB98" i="264" s="1"/>
  <c r="AE97" i="258"/>
  <c r="W97" i="258"/>
  <c r="O97" i="258"/>
  <c r="Q99" i="258"/>
  <c r="I99" i="258"/>
  <c r="AB97" i="259"/>
  <c r="T97" i="259"/>
  <c r="L97" i="259"/>
  <c r="AA95" i="260"/>
  <c r="R95" i="260"/>
  <c r="H95" i="260"/>
  <c r="N99" i="261"/>
  <c r="V99" i="261"/>
  <c r="AD99" i="261"/>
  <c r="O99" i="261"/>
  <c r="W99" i="261"/>
  <c r="AE99" i="261"/>
  <c r="H99" i="261"/>
  <c r="P99" i="261"/>
  <c r="X99" i="261"/>
  <c r="AF99" i="261"/>
  <c r="I99" i="261"/>
  <c r="Q99" i="261"/>
  <c r="Y99" i="261"/>
  <c r="J99" i="261"/>
  <c r="R99" i="261"/>
  <c r="Z99" i="261"/>
  <c r="L99" i="261"/>
  <c r="V95" i="262"/>
  <c r="V98" i="262" s="1"/>
  <c r="AC97" i="262"/>
  <c r="V94" i="263"/>
  <c r="Y97" i="263" s="1"/>
  <c r="N99" i="263"/>
  <c r="S97" i="263"/>
  <c r="V96" i="264"/>
  <c r="AC99" i="264" s="1"/>
  <c r="AD97" i="258"/>
  <c r="V97" i="258"/>
  <c r="N97" i="258"/>
  <c r="P99" i="258"/>
  <c r="H99" i="258"/>
  <c r="AA97" i="259"/>
  <c r="S97" i="259"/>
  <c r="K97" i="259"/>
  <c r="J43" i="259" a="1"/>
  <c r="Z95" i="260"/>
  <c r="Q95" i="260"/>
  <c r="M98" i="261"/>
  <c r="AC99" i="261"/>
  <c r="K99" i="261"/>
  <c r="V43" i="261" a="1"/>
  <c r="U97" i="262"/>
  <c r="K97" i="263"/>
  <c r="AC97" i="258"/>
  <c r="U97" i="258"/>
  <c r="M97" i="258"/>
  <c r="O99" i="258"/>
  <c r="Z97" i="259"/>
  <c r="R97" i="259"/>
  <c r="J97" i="259"/>
  <c r="Y95" i="260"/>
  <c r="P95" i="260"/>
  <c r="L97" i="261"/>
  <c r="AB99" i="261"/>
  <c r="H99" i="262"/>
  <c r="M97" i="262"/>
  <c r="X98" i="263"/>
  <c r="AB97" i="258"/>
  <c r="T97" i="258"/>
  <c r="Y97" i="259"/>
  <c r="Q97" i="259"/>
  <c r="AF95" i="260"/>
  <c r="X95" i="260"/>
  <c r="O95" i="260"/>
  <c r="AA99" i="261"/>
  <c r="AD98" i="262"/>
  <c r="N98" i="263"/>
  <c r="V98" i="264"/>
  <c r="O99" i="264"/>
  <c r="AE99" i="264"/>
  <c r="U99" i="264"/>
  <c r="V99" i="264"/>
  <c r="W99" i="264"/>
  <c r="H99" i="264"/>
  <c r="X99" i="264"/>
  <c r="M99" i="264"/>
  <c r="O97" i="264"/>
  <c r="W97" i="264"/>
  <c r="H97" i="264"/>
  <c r="P97" i="264"/>
  <c r="AF97" i="264"/>
  <c r="I97" i="264"/>
  <c r="Q97" i="264"/>
  <c r="Y97" i="264"/>
  <c r="J97" i="264"/>
  <c r="R97" i="264"/>
  <c r="I98" i="265"/>
  <c r="Q98" i="265"/>
  <c r="J98" i="265"/>
  <c r="R98" i="265"/>
  <c r="K98" i="265"/>
  <c r="S98" i="265"/>
  <c r="P43" i="265" a="1"/>
  <c r="L98" i="265"/>
  <c r="T98" i="265"/>
  <c r="M98" i="265"/>
  <c r="U98" i="265"/>
  <c r="N98" i="265"/>
  <c r="O98" i="265"/>
  <c r="H98" i="265"/>
  <c r="P98" i="265"/>
  <c r="V94" i="264"/>
  <c r="X97" i="264" s="1"/>
  <c r="U97" i="264"/>
  <c r="AF97" i="261"/>
  <c r="X97" i="261"/>
  <c r="P97" i="261"/>
  <c r="H97" i="261"/>
  <c r="Y98" i="261"/>
  <c r="Q98" i="261"/>
  <c r="I98" i="261"/>
  <c r="X99" i="263"/>
  <c r="T97" i="264"/>
  <c r="H97" i="265"/>
  <c r="P97" i="265"/>
  <c r="X97" i="265"/>
  <c r="AF97" i="265"/>
  <c r="I97" i="265"/>
  <c r="Q97" i="265"/>
  <c r="Y97" i="265"/>
  <c r="J97" i="265"/>
  <c r="R97" i="265"/>
  <c r="J43" i="265" a="1"/>
  <c r="K97" i="265"/>
  <c r="S97" i="265"/>
  <c r="AA97" i="265"/>
  <c r="L97" i="265"/>
  <c r="T97" i="265"/>
  <c r="M97" i="265"/>
  <c r="U97" i="265"/>
  <c r="AC97" i="265"/>
  <c r="N97" i="265"/>
  <c r="V97" i="265"/>
  <c r="AD97" i="265"/>
  <c r="O97" i="265"/>
  <c r="O97" i="261"/>
  <c r="K99" i="263"/>
  <c r="S99" i="263"/>
  <c r="AA99" i="263"/>
  <c r="L99" i="263"/>
  <c r="T99" i="263"/>
  <c r="AB99" i="263"/>
  <c r="V43" i="263" a="1"/>
  <c r="M99" i="263"/>
  <c r="W99" i="263"/>
  <c r="J99" i="263"/>
  <c r="S97" i="264"/>
  <c r="V94" i="265"/>
  <c r="AB97" i="265" s="1"/>
  <c r="AD97" i="261"/>
  <c r="V97" i="261"/>
  <c r="N97" i="261"/>
  <c r="AE98" i="261"/>
  <c r="W98" i="261"/>
  <c r="O98" i="261"/>
  <c r="Y98" i="262"/>
  <c r="Q98" i="262"/>
  <c r="I98" i="262"/>
  <c r="Z99" i="262"/>
  <c r="R99" i="262"/>
  <c r="J99" i="262"/>
  <c r="J98" i="263"/>
  <c r="R98" i="263"/>
  <c r="Z98" i="263"/>
  <c r="K98" i="263"/>
  <c r="S98" i="263"/>
  <c r="AA98" i="263"/>
  <c r="P43" i="263" a="1"/>
  <c r="AD97" i="263"/>
  <c r="V97" i="263"/>
  <c r="AC98" i="263"/>
  <c r="Q98" i="263"/>
  <c r="AF99" i="263"/>
  <c r="V99" i="263"/>
  <c r="I99" i="263"/>
  <c r="N97" i="264"/>
  <c r="W98" i="264"/>
  <c r="AF99" i="264"/>
  <c r="V95" i="265"/>
  <c r="AC98" i="265" s="1"/>
  <c r="AE97" i="265"/>
  <c r="AC97" i="261"/>
  <c r="U97" i="261"/>
  <c r="M97" i="261"/>
  <c r="AD98" i="261"/>
  <c r="V98" i="261"/>
  <c r="N98" i="261"/>
  <c r="AF98" i="262"/>
  <c r="X98" i="262"/>
  <c r="P98" i="262"/>
  <c r="H98" i="262"/>
  <c r="Y99" i="262"/>
  <c r="Q99" i="262"/>
  <c r="I99" i="262"/>
  <c r="I97" i="263"/>
  <c r="J97" i="263"/>
  <c r="J43" i="263" a="1"/>
  <c r="AC97" i="263"/>
  <c r="U97" i="263"/>
  <c r="M97" i="263"/>
  <c r="AB98" i="263"/>
  <c r="P98" i="263"/>
  <c r="AE99" i="263"/>
  <c r="U99" i="263"/>
  <c r="H99" i="263"/>
  <c r="I99" i="264"/>
  <c r="AC97" i="264"/>
  <c r="M97" i="264"/>
  <c r="W97" i="265"/>
  <c r="AB97" i="261"/>
  <c r="T97" i="261"/>
  <c r="AC98" i="261"/>
  <c r="U98" i="261"/>
  <c r="AE98" i="262"/>
  <c r="W98" i="262"/>
  <c r="AF99" i="262"/>
  <c r="X99" i="262"/>
  <c r="P99" i="262"/>
  <c r="AB97" i="263"/>
  <c r="T97" i="263"/>
  <c r="L97" i="263"/>
  <c r="Y98" i="263"/>
  <c r="O98" i="263"/>
  <c r="AD99" i="263"/>
  <c r="R99" i="263"/>
  <c r="H98" i="264"/>
  <c r="P98" i="264"/>
  <c r="X98" i="264"/>
  <c r="AF98" i="264"/>
  <c r="I98" i="264"/>
  <c r="Q98" i="264"/>
  <c r="Y98" i="264"/>
  <c r="J98" i="264"/>
  <c r="R98" i="264"/>
  <c r="Z98" i="264"/>
  <c r="K98" i="264"/>
  <c r="S98" i="264"/>
  <c r="AA98" i="264"/>
  <c r="L99" i="264"/>
  <c r="T99" i="264"/>
  <c r="AB99" i="264"/>
  <c r="AB97" i="264"/>
  <c r="L97" i="264"/>
  <c r="U98" i="264"/>
  <c r="AD99" i="264"/>
  <c r="N99" i="264"/>
  <c r="J99" i="265"/>
  <c r="R99" i="265"/>
  <c r="Z99" i="265"/>
  <c r="K99" i="265"/>
  <c r="S99" i="265"/>
  <c r="AA99" i="265"/>
  <c r="L99" i="265"/>
  <c r="T99" i="265"/>
  <c r="AB99" i="265"/>
  <c r="V43" i="265" a="1"/>
  <c r="M99" i="265"/>
  <c r="U99" i="265"/>
  <c r="AC99" i="265"/>
  <c r="N99" i="265"/>
  <c r="V99" i="265"/>
  <c r="AD99" i="265"/>
  <c r="O99" i="265"/>
  <c r="W99" i="265"/>
  <c r="AE99" i="265"/>
  <c r="H99" i="265"/>
  <c r="P99" i="265"/>
  <c r="X99" i="265"/>
  <c r="AF99" i="265"/>
  <c r="I99" i="265"/>
  <c r="Q99" i="265"/>
  <c r="Y99" i="265"/>
  <c r="AC97" i="266"/>
  <c r="U97" i="266"/>
  <c r="M97" i="266"/>
  <c r="AD98" i="266"/>
  <c r="V98" i="266"/>
  <c r="N98" i="266"/>
  <c r="AE99" i="266"/>
  <c r="W99" i="266"/>
  <c r="O99" i="266"/>
  <c r="AB97" i="266"/>
  <c r="T97" i="266"/>
  <c r="L97" i="266"/>
  <c r="AC98" i="266"/>
  <c r="U98" i="266"/>
  <c r="M98" i="266"/>
  <c r="AD99" i="266"/>
  <c r="V99" i="266"/>
  <c r="N99" i="266"/>
  <c r="AA97" i="266"/>
  <c r="S97" i="266"/>
  <c r="K97" i="266"/>
  <c r="AB98" i="266"/>
  <c r="T98" i="266"/>
  <c r="L98" i="266"/>
  <c r="AC99" i="266"/>
  <c r="U99" i="266"/>
  <c r="M99" i="266"/>
  <c r="J43" i="266" a="1"/>
  <c r="P43" i="266" a="1"/>
  <c r="V43" i="266" a="1"/>
  <c r="Z97" i="266"/>
  <c r="R97" i="266"/>
  <c r="J97" i="266"/>
  <c r="AA98" i="266"/>
  <c r="S98" i="266"/>
  <c r="K98" i="266"/>
  <c r="AB99" i="266"/>
  <c r="T99" i="266"/>
  <c r="L99" i="266"/>
  <c r="Y97" i="266"/>
  <c r="Q97" i="266"/>
  <c r="I97" i="266"/>
  <c r="Z98" i="266"/>
  <c r="R98" i="266"/>
  <c r="AA99" i="266"/>
  <c r="S99" i="266"/>
  <c r="AA99" i="264"/>
  <c r="S99" i="264"/>
  <c r="K99" i="264"/>
  <c r="AF97" i="266"/>
  <c r="X97" i="266"/>
  <c r="P97" i="266"/>
  <c r="H97" i="266"/>
  <c r="Y98" i="266"/>
  <c r="Q98" i="266"/>
  <c r="I98" i="266"/>
  <c r="Z99" i="266"/>
  <c r="R99" i="266"/>
  <c r="J99" i="266"/>
  <c r="Z99" i="264"/>
  <c r="R99" i="264"/>
  <c r="J99" i="264"/>
  <c r="AE97" i="266"/>
  <c r="W97" i="266"/>
  <c r="O97" i="266"/>
  <c r="AF98" i="266"/>
  <c r="X98" i="266"/>
  <c r="P98" i="266"/>
  <c r="H98" i="266"/>
  <c r="Y99" i="266"/>
  <c r="Q99" i="266"/>
  <c r="I99" i="266"/>
  <c r="Y99" i="264"/>
  <c r="Q99" i="264"/>
  <c r="AD97" i="266"/>
  <c r="V97" i="266"/>
  <c r="AE98" i="266"/>
  <c r="W98" i="266"/>
  <c r="AF99" i="266"/>
  <c r="X99" i="266"/>
  <c r="P99" i="266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39" i="2"/>
  <c r="J44" i="266" l="1"/>
  <c r="K44" i="266"/>
  <c r="J45" i="266"/>
  <c r="F55" i="245" s="1"/>
  <c r="K45" i="266"/>
  <c r="J46" i="266"/>
  <c r="K46" i="266"/>
  <c r="J43" i="266"/>
  <c r="J49" i="266" s="1"/>
  <c r="J50" i="266" s="1"/>
  <c r="J51" i="266" s="1"/>
  <c r="E55" i="245" s="1"/>
  <c r="J47" i="266"/>
  <c r="K43" i="266"/>
  <c r="K47" i="266"/>
  <c r="Z97" i="265"/>
  <c r="Z97" i="264"/>
  <c r="X99" i="258"/>
  <c r="M102" i="264"/>
  <c r="E102" i="264"/>
  <c r="L102" i="264"/>
  <c r="D102" i="264"/>
  <c r="K102" i="264"/>
  <c r="C102" i="264"/>
  <c r="J102" i="264"/>
  <c r="B102" i="264"/>
  <c r="H102" i="264"/>
  <c r="G102" i="264"/>
  <c r="F102" i="264"/>
  <c r="P102" i="264"/>
  <c r="O102" i="264"/>
  <c r="N102" i="264"/>
  <c r="I102" i="264"/>
  <c r="AC98" i="259"/>
  <c r="J43" i="261"/>
  <c r="J49" i="261" s="1"/>
  <c r="J50" i="261" s="1"/>
  <c r="J51" i="261" s="1"/>
  <c r="E40" i="245" s="1"/>
  <c r="J47" i="261"/>
  <c r="K43" i="261"/>
  <c r="K47" i="261"/>
  <c r="J44" i="261"/>
  <c r="K44" i="261"/>
  <c r="J45" i="261"/>
  <c r="F40" i="245" s="1"/>
  <c r="J46" i="261"/>
  <c r="K46" i="261"/>
  <c r="K45" i="261"/>
  <c r="AE97" i="261"/>
  <c r="AE98" i="264"/>
  <c r="AA97" i="264"/>
  <c r="AF98" i="259"/>
  <c r="P43" i="258"/>
  <c r="P49" i="258" s="1"/>
  <c r="P50" i="258" s="1"/>
  <c r="P51" i="258" s="1"/>
  <c r="E33" i="245" s="1"/>
  <c r="P47" i="258"/>
  <c r="Q43" i="258"/>
  <c r="Q47" i="258"/>
  <c r="P44" i="258"/>
  <c r="Q44" i="258"/>
  <c r="P45" i="258"/>
  <c r="F33" i="245" s="1"/>
  <c r="Q45" i="258"/>
  <c r="P46" i="258"/>
  <c r="Q46" i="258"/>
  <c r="W46" i="254"/>
  <c r="V44" i="254"/>
  <c r="W44" i="254"/>
  <c r="V45" i="254"/>
  <c r="F22" i="245" s="1"/>
  <c r="W45" i="254"/>
  <c r="V43" i="254"/>
  <c r="V49" i="254" s="1"/>
  <c r="V50" i="254" s="1"/>
  <c r="V51" i="254" s="1"/>
  <c r="E22" i="245" s="1"/>
  <c r="W47" i="254"/>
  <c r="W43" i="254"/>
  <c r="V47" i="254"/>
  <c r="V46" i="254"/>
  <c r="W46" i="250"/>
  <c r="V43" i="250"/>
  <c r="V49" i="250" s="1"/>
  <c r="V50" i="250" s="1"/>
  <c r="V51" i="250" s="1"/>
  <c r="E11" i="245" s="1"/>
  <c r="V47" i="250"/>
  <c r="V46" i="250"/>
  <c r="W47" i="250"/>
  <c r="W43" i="250"/>
  <c r="W44" i="250"/>
  <c r="V45" i="250"/>
  <c r="F11" i="245" s="1"/>
  <c r="V44" i="250"/>
  <c r="W45" i="250"/>
  <c r="V43" i="252"/>
  <c r="V49" i="252" s="1"/>
  <c r="V50" i="252" s="1"/>
  <c r="V51" i="252" s="1"/>
  <c r="E17" i="245" s="1"/>
  <c r="V47" i="252"/>
  <c r="W43" i="252"/>
  <c r="W47" i="252"/>
  <c r="V44" i="252"/>
  <c r="W46" i="252"/>
  <c r="V46" i="252"/>
  <c r="W44" i="252"/>
  <c r="W45" i="252"/>
  <c r="V45" i="252"/>
  <c r="F17" i="245" s="1"/>
  <c r="K44" i="251"/>
  <c r="J45" i="251"/>
  <c r="F12" i="245" s="1"/>
  <c r="K45" i="251"/>
  <c r="K46" i="251"/>
  <c r="J47" i="251"/>
  <c r="K47" i="251"/>
  <c r="J43" i="251"/>
  <c r="J49" i="251" s="1"/>
  <c r="J50" i="251" s="1"/>
  <c r="J51" i="251" s="1"/>
  <c r="E12" i="245" s="1"/>
  <c r="K43" i="251"/>
  <c r="J46" i="251"/>
  <c r="J44" i="251"/>
  <c r="AA95" i="253"/>
  <c r="P43" i="252"/>
  <c r="P49" i="252" s="1"/>
  <c r="P50" i="252" s="1"/>
  <c r="P51" i="252" s="1"/>
  <c r="E16" i="245" s="1"/>
  <c r="P47" i="252"/>
  <c r="Q43" i="252"/>
  <c r="Q47" i="252"/>
  <c r="P44" i="252"/>
  <c r="Q46" i="252"/>
  <c r="P46" i="252"/>
  <c r="Q44" i="252"/>
  <c r="Q45" i="252"/>
  <c r="P45" i="252"/>
  <c r="F16" i="245" s="1"/>
  <c r="J45" i="249"/>
  <c r="F6" i="245" s="1"/>
  <c r="K45" i="249"/>
  <c r="K43" i="249"/>
  <c r="K47" i="249"/>
  <c r="K46" i="249"/>
  <c r="J43" i="249"/>
  <c r="J49" i="249" s="1"/>
  <c r="J50" i="249" s="1"/>
  <c r="J51" i="249" s="1"/>
  <c r="E6" i="245" s="1"/>
  <c r="J47" i="249"/>
  <c r="J44" i="249"/>
  <c r="J46" i="249"/>
  <c r="K44" i="249"/>
  <c r="W98" i="251"/>
  <c r="AD98" i="251"/>
  <c r="AF98" i="251"/>
  <c r="Q46" i="255"/>
  <c r="Q43" i="255"/>
  <c r="Q47" i="255"/>
  <c r="P44" i="255"/>
  <c r="Q44" i="255"/>
  <c r="P43" i="255"/>
  <c r="P49" i="255" s="1"/>
  <c r="P50" i="255" s="1"/>
  <c r="P51" i="255" s="1"/>
  <c r="E24" i="245" s="1"/>
  <c r="P45" i="255"/>
  <c r="F24" i="245" s="1"/>
  <c r="Q45" i="255"/>
  <c r="P47" i="255"/>
  <c r="P46" i="255"/>
  <c r="AE98" i="265"/>
  <c r="Z98" i="265"/>
  <c r="AF99" i="258"/>
  <c r="AA97" i="263"/>
  <c r="W98" i="259"/>
  <c r="W97" i="261"/>
  <c r="AB99" i="258"/>
  <c r="K46" i="255"/>
  <c r="K43" i="255"/>
  <c r="K47" i="255"/>
  <c r="J44" i="255"/>
  <c r="K44" i="255"/>
  <c r="J43" i="255"/>
  <c r="J49" i="255" s="1"/>
  <c r="J50" i="255" s="1"/>
  <c r="J51" i="255" s="1"/>
  <c r="E23" i="245" s="1"/>
  <c r="J45" i="255"/>
  <c r="F23" i="245" s="1"/>
  <c r="K45" i="255"/>
  <c r="J47" i="255"/>
  <c r="J46" i="255"/>
  <c r="AE98" i="259"/>
  <c r="V97" i="254"/>
  <c r="W44" i="251"/>
  <c r="V45" i="251"/>
  <c r="F14" i="245" s="1"/>
  <c r="W45" i="251"/>
  <c r="V43" i="251"/>
  <c r="V49" i="251" s="1"/>
  <c r="V50" i="251" s="1"/>
  <c r="V51" i="251" s="1"/>
  <c r="E14" i="245" s="1"/>
  <c r="W43" i="251"/>
  <c r="V44" i="251"/>
  <c r="V46" i="251"/>
  <c r="W46" i="251"/>
  <c r="V47" i="251"/>
  <c r="W47" i="251"/>
  <c r="J44" i="246"/>
  <c r="K46" i="246"/>
  <c r="J47" i="246"/>
  <c r="K47" i="246"/>
  <c r="J46" i="246"/>
  <c r="J43" i="246"/>
  <c r="J49" i="246" s="1"/>
  <c r="J50" i="246" s="1"/>
  <c r="J51" i="246" s="1"/>
  <c r="E2" i="245" s="1"/>
  <c r="K44" i="246"/>
  <c r="K43" i="246"/>
  <c r="J45" i="246"/>
  <c r="F2" i="245" s="1"/>
  <c r="K45" i="246"/>
  <c r="K45" i="248"/>
  <c r="J44" i="248"/>
  <c r="J43" i="248"/>
  <c r="J49" i="248" s="1"/>
  <c r="J50" i="248" s="1"/>
  <c r="J51" i="248" s="1"/>
  <c r="E5" i="245" s="1"/>
  <c r="K43" i="248"/>
  <c r="K44" i="248"/>
  <c r="K47" i="248"/>
  <c r="J45" i="248"/>
  <c r="F5" i="245" s="1"/>
  <c r="J46" i="248"/>
  <c r="K46" i="248"/>
  <c r="J47" i="248"/>
  <c r="X98" i="251"/>
  <c r="V45" i="265"/>
  <c r="F54" i="245" s="1"/>
  <c r="W45" i="265"/>
  <c r="V46" i="265"/>
  <c r="W46" i="265"/>
  <c r="V43" i="265"/>
  <c r="V49" i="265" s="1"/>
  <c r="V50" i="265" s="1"/>
  <c r="V51" i="265" s="1"/>
  <c r="E54" i="245" s="1"/>
  <c r="V47" i="265"/>
  <c r="W43" i="265"/>
  <c r="W47" i="265"/>
  <c r="V44" i="265"/>
  <c r="W44" i="265"/>
  <c r="AD97" i="264"/>
  <c r="Q45" i="263"/>
  <c r="P46" i="263"/>
  <c r="Q46" i="263"/>
  <c r="P43" i="263"/>
  <c r="P49" i="263" s="1"/>
  <c r="P50" i="263" s="1"/>
  <c r="P51" i="263" s="1"/>
  <c r="E47" i="245" s="1"/>
  <c r="Q43" i="263"/>
  <c r="P44" i="263"/>
  <c r="Q44" i="263"/>
  <c r="P45" i="263"/>
  <c r="F47" i="245" s="1"/>
  <c r="P47" i="263"/>
  <c r="Q47" i="263"/>
  <c r="W45" i="263"/>
  <c r="V46" i="263"/>
  <c r="W46" i="263"/>
  <c r="V44" i="263"/>
  <c r="W44" i="263"/>
  <c r="V45" i="263"/>
  <c r="F48" i="245" s="1"/>
  <c r="V47" i="263"/>
  <c r="W47" i="263"/>
  <c r="V43" i="263"/>
  <c r="V49" i="263" s="1"/>
  <c r="V50" i="263" s="1"/>
  <c r="V51" i="263" s="1"/>
  <c r="E48" i="245" s="1"/>
  <c r="W43" i="263"/>
  <c r="W98" i="265"/>
  <c r="AB98" i="265"/>
  <c r="AE97" i="264"/>
  <c r="K45" i="259"/>
  <c r="J46" i="259"/>
  <c r="K46" i="259"/>
  <c r="J43" i="259"/>
  <c r="J49" i="259" s="1"/>
  <c r="J50" i="259" s="1"/>
  <c r="J51" i="259" s="1"/>
  <c r="E35" i="245" s="1"/>
  <c r="J47" i="259"/>
  <c r="K43" i="259"/>
  <c r="K47" i="259"/>
  <c r="K44" i="259"/>
  <c r="J44" i="259"/>
  <c r="J45" i="259"/>
  <c r="F35" i="245" s="1"/>
  <c r="P44" i="262"/>
  <c r="Q44" i="262"/>
  <c r="P45" i="262"/>
  <c r="F44" i="245" s="1"/>
  <c r="Q45" i="262"/>
  <c r="P46" i="262"/>
  <c r="Q46" i="262"/>
  <c r="P43" i="262"/>
  <c r="P49" i="262" s="1"/>
  <c r="P50" i="262" s="1"/>
  <c r="P51" i="262" s="1"/>
  <c r="E44" i="245" s="1"/>
  <c r="P47" i="262"/>
  <c r="Q47" i="262"/>
  <c r="Q43" i="262"/>
  <c r="Y98" i="259"/>
  <c r="Z98" i="259"/>
  <c r="AA97" i="261"/>
  <c r="AD98" i="264"/>
  <c r="P43" i="261"/>
  <c r="P49" i="261" s="1"/>
  <c r="P50" i="261" s="1"/>
  <c r="P51" i="261" s="1"/>
  <c r="E41" i="245" s="1"/>
  <c r="P47" i="261"/>
  <c r="Q43" i="261"/>
  <c r="Q47" i="261"/>
  <c r="P44" i="261"/>
  <c r="Q44" i="261"/>
  <c r="P45" i="261"/>
  <c r="F41" i="245" s="1"/>
  <c r="Q45" i="261"/>
  <c r="P46" i="261"/>
  <c r="Q46" i="261"/>
  <c r="AA99" i="258"/>
  <c r="AC95" i="253"/>
  <c r="AB95" i="253"/>
  <c r="X95" i="253"/>
  <c r="AF97" i="254"/>
  <c r="V98" i="251"/>
  <c r="Z98" i="251"/>
  <c r="J43" i="252"/>
  <c r="J49" i="252" s="1"/>
  <c r="J50" i="252" s="1"/>
  <c r="J51" i="252" s="1"/>
  <c r="E15" i="245" s="1"/>
  <c r="J47" i="252"/>
  <c r="K43" i="252"/>
  <c r="K47" i="252"/>
  <c r="J44" i="252"/>
  <c r="K46" i="252"/>
  <c r="J46" i="252"/>
  <c r="K44" i="252"/>
  <c r="K45" i="252"/>
  <c r="J45" i="252"/>
  <c r="F15" i="245" s="1"/>
  <c r="P45" i="249"/>
  <c r="F7" i="245" s="1"/>
  <c r="Q45" i="249"/>
  <c r="Q43" i="249"/>
  <c r="Q47" i="249"/>
  <c r="Q44" i="249"/>
  <c r="P43" i="249"/>
  <c r="P49" i="249" s="1"/>
  <c r="P50" i="249" s="1"/>
  <c r="P51" i="249" s="1"/>
  <c r="E7" i="245" s="1"/>
  <c r="P44" i="249"/>
  <c r="P46" i="249"/>
  <c r="Q46" i="249"/>
  <c r="P47" i="249"/>
  <c r="V45" i="249"/>
  <c r="F8" i="245" s="1"/>
  <c r="W45" i="249"/>
  <c r="W43" i="249"/>
  <c r="W47" i="249"/>
  <c r="V43" i="249"/>
  <c r="V49" i="249" s="1"/>
  <c r="V50" i="249" s="1"/>
  <c r="V51" i="249" s="1"/>
  <c r="E8" i="245" s="1"/>
  <c r="V44" i="249"/>
  <c r="W44" i="249"/>
  <c r="W46" i="249"/>
  <c r="V46" i="249"/>
  <c r="V47" i="249"/>
  <c r="Q46" i="254"/>
  <c r="P45" i="254"/>
  <c r="F21" i="245" s="1"/>
  <c r="Q45" i="254"/>
  <c r="P46" i="254"/>
  <c r="P47" i="254"/>
  <c r="P44" i="254"/>
  <c r="Q44" i="254"/>
  <c r="P43" i="254"/>
  <c r="P49" i="254" s="1"/>
  <c r="P50" i="254" s="1"/>
  <c r="P51" i="254" s="1"/>
  <c r="E21" i="245" s="1"/>
  <c r="Q43" i="254"/>
  <c r="Q47" i="254"/>
  <c r="V44" i="266"/>
  <c r="W44" i="266"/>
  <c r="V45" i="266"/>
  <c r="F57" i="245" s="1"/>
  <c r="W45" i="266"/>
  <c r="V46" i="266"/>
  <c r="W46" i="266"/>
  <c r="V43" i="266"/>
  <c r="V49" i="266" s="1"/>
  <c r="V50" i="266" s="1"/>
  <c r="V51" i="266" s="1"/>
  <c r="E57" i="245" s="1"/>
  <c r="V47" i="266"/>
  <c r="W43" i="266"/>
  <c r="W47" i="266"/>
  <c r="AD98" i="265"/>
  <c r="Y98" i="265"/>
  <c r="V43" i="261"/>
  <c r="V49" i="261" s="1"/>
  <c r="V50" i="261" s="1"/>
  <c r="V51" i="261" s="1"/>
  <c r="E42" i="245" s="1"/>
  <c r="V47" i="261"/>
  <c r="W43" i="261"/>
  <c r="W47" i="261"/>
  <c r="V44" i="261"/>
  <c r="W44" i="261"/>
  <c r="V45" i="261"/>
  <c r="F42" i="245" s="1"/>
  <c r="W45" i="261"/>
  <c r="V46" i="261"/>
  <c r="W46" i="261"/>
  <c r="Y99" i="258"/>
  <c r="J43" i="258"/>
  <c r="J49" i="258" s="1"/>
  <c r="J50" i="258" s="1"/>
  <c r="J51" i="258" s="1"/>
  <c r="E32" i="245" s="1"/>
  <c r="J47" i="258"/>
  <c r="K43" i="258"/>
  <c r="K47" i="258"/>
  <c r="J44" i="258"/>
  <c r="K44" i="258"/>
  <c r="J45" i="258"/>
  <c r="F32" i="245" s="1"/>
  <c r="K45" i="258"/>
  <c r="J46" i="258"/>
  <c r="K46" i="258"/>
  <c r="X98" i="259"/>
  <c r="Z97" i="261"/>
  <c r="AC98" i="264"/>
  <c r="V43" i="256"/>
  <c r="V49" i="256" s="1"/>
  <c r="V50" i="256" s="1"/>
  <c r="V51" i="256" s="1"/>
  <c r="E28" i="245" s="1"/>
  <c r="V47" i="256"/>
  <c r="V44" i="256"/>
  <c r="W44" i="256"/>
  <c r="V45" i="256"/>
  <c r="F28" i="245" s="1"/>
  <c r="W45" i="256"/>
  <c r="V46" i="256"/>
  <c r="W46" i="256"/>
  <c r="W47" i="256"/>
  <c r="W43" i="256"/>
  <c r="AD97" i="254"/>
  <c r="AC99" i="258"/>
  <c r="Q44" i="253"/>
  <c r="P45" i="253"/>
  <c r="F19" i="245" s="1"/>
  <c r="Q45" i="253"/>
  <c r="P46" i="253"/>
  <c r="P44" i="253"/>
  <c r="Q47" i="253"/>
  <c r="P43" i="253"/>
  <c r="P49" i="253" s="1"/>
  <c r="P50" i="253" s="1"/>
  <c r="P51" i="253" s="1"/>
  <c r="E19" i="245" s="1"/>
  <c r="Q43" i="253"/>
  <c r="P47" i="253"/>
  <c r="Q46" i="253"/>
  <c r="K46" i="250"/>
  <c r="J43" i="250"/>
  <c r="J49" i="250" s="1"/>
  <c r="J50" i="250" s="1"/>
  <c r="J51" i="250" s="1"/>
  <c r="E9" i="245" s="1"/>
  <c r="J47" i="250"/>
  <c r="J46" i="250"/>
  <c r="K47" i="250"/>
  <c r="K43" i="250"/>
  <c r="K44" i="250"/>
  <c r="J44" i="250"/>
  <c r="J45" i="250"/>
  <c r="F9" i="245" s="1"/>
  <c r="K45" i="250"/>
  <c r="K43" i="247"/>
  <c r="K47" i="247"/>
  <c r="J44" i="247"/>
  <c r="J45" i="247"/>
  <c r="F4" i="245" s="1"/>
  <c r="J46" i="247"/>
  <c r="K44" i="247"/>
  <c r="J43" i="247"/>
  <c r="J49" i="247" s="1"/>
  <c r="J50" i="247" s="1"/>
  <c r="J51" i="247" s="1"/>
  <c r="E4" i="245" s="1"/>
  <c r="K45" i="247"/>
  <c r="K46" i="247"/>
  <c r="J47" i="247"/>
  <c r="V95" i="253"/>
  <c r="P44" i="266"/>
  <c r="Q44" i="266"/>
  <c r="P45" i="266"/>
  <c r="F56" i="245" s="1"/>
  <c r="Q45" i="266"/>
  <c r="P46" i="266"/>
  <c r="Q46" i="266"/>
  <c r="P43" i="266"/>
  <c r="P49" i="266" s="1"/>
  <c r="P50" i="266" s="1"/>
  <c r="P51" i="266" s="1"/>
  <c r="E56" i="245" s="1"/>
  <c r="P47" i="266"/>
  <c r="Q43" i="266"/>
  <c r="Q47" i="266"/>
  <c r="K45" i="263"/>
  <c r="J46" i="263"/>
  <c r="K46" i="263"/>
  <c r="K47" i="263"/>
  <c r="J43" i="263"/>
  <c r="J49" i="263" s="1"/>
  <c r="J50" i="263" s="1"/>
  <c r="J51" i="263" s="1"/>
  <c r="E46" i="245" s="1"/>
  <c r="K43" i="263"/>
  <c r="J44" i="263"/>
  <c r="K44" i="263"/>
  <c r="J45" i="263"/>
  <c r="F46" i="245" s="1"/>
  <c r="J47" i="263"/>
  <c r="AF98" i="265"/>
  <c r="V98" i="265"/>
  <c r="P45" i="265"/>
  <c r="F53" i="245" s="1"/>
  <c r="Q45" i="265"/>
  <c r="P46" i="265"/>
  <c r="Q46" i="265"/>
  <c r="P43" i="265"/>
  <c r="P49" i="265" s="1"/>
  <c r="P50" i="265" s="1"/>
  <c r="P51" i="265" s="1"/>
  <c r="E53" i="245" s="1"/>
  <c r="P47" i="265"/>
  <c r="Q43" i="265"/>
  <c r="Q47" i="265"/>
  <c r="P44" i="265"/>
  <c r="Q44" i="265"/>
  <c r="W99" i="258"/>
  <c r="J46" i="260"/>
  <c r="K46" i="260"/>
  <c r="J43" i="260"/>
  <c r="J49" i="260" s="1"/>
  <c r="J50" i="260" s="1"/>
  <c r="J51" i="260" s="1"/>
  <c r="E38" i="245" s="1"/>
  <c r="J47" i="260"/>
  <c r="K45" i="260"/>
  <c r="K47" i="260"/>
  <c r="K43" i="260"/>
  <c r="J44" i="260"/>
  <c r="K44" i="260"/>
  <c r="J45" i="260"/>
  <c r="F38" i="245" s="1"/>
  <c r="P46" i="260"/>
  <c r="Q46" i="260"/>
  <c r="P43" i="260"/>
  <c r="P49" i="260" s="1"/>
  <c r="P50" i="260" s="1"/>
  <c r="P51" i="260" s="1"/>
  <c r="E39" i="245" s="1"/>
  <c r="P47" i="260"/>
  <c r="Q43" i="260"/>
  <c r="P44" i="260"/>
  <c r="Q44" i="260"/>
  <c r="P45" i="260"/>
  <c r="F39" i="245" s="1"/>
  <c r="Q45" i="260"/>
  <c r="Q47" i="260"/>
  <c r="K46" i="257"/>
  <c r="J43" i="257"/>
  <c r="J49" i="257" s="1"/>
  <c r="J50" i="257" s="1"/>
  <c r="J51" i="257" s="1"/>
  <c r="E29" i="245" s="1"/>
  <c r="J47" i="257"/>
  <c r="J44" i="257"/>
  <c r="K44" i="257"/>
  <c r="J45" i="257"/>
  <c r="F29" i="245" s="1"/>
  <c r="K45" i="257"/>
  <c r="K43" i="257"/>
  <c r="J46" i="257"/>
  <c r="K47" i="257"/>
  <c r="AD98" i="259"/>
  <c r="Q46" i="257"/>
  <c r="P43" i="257"/>
  <c r="P49" i="257" s="1"/>
  <c r="P50" i="257" s="1"/>
  <c r="P51" i="257" s="1"/>
  <c r="E30" i="245" s="1"/>
  <c r="P47" i="257"/>
  <c r="P45" i="257"/>
  <c r="F30" i="245" s="1"/>
  <c r="P46" i="257"/>
  <c r="Q47" i="257"/>
  <c r="Q43" i="257"/>
  <c r="P44" i="257"/>
  <c r="Q45" i="257"/>
  <c r="Q44" i="257"/>
  <c r="W46" i="257"/>
  <c r="V43" i="257"/>
  <c r="V49" i="257" s="1"/>
  <c r="V50" i="257" s="1"/>
  <c r="V51" i="257" s="1"/>
  <c r="E31" i="245" s="1"/>
  <c r="V47" i="257"/>
  <c r="V44" i="257"/>
  <c r="W44" i="257"/>
  <c r="V45" i="257"/>
  <c r="F31" i="245" s="1"/>
  <c r="W45" i="257"/>
  <c r="V46" i="257"/>
  <c r="W47" i="257"/>
  <c r="W43" i="257"/>
  <c r="W45" i="259"/>
  <c r="V46" i="259"/>
  <c r="W46" i="259"/>
  <c r="V43" i="259"/>
  <c r="V49" i="259" s="1"/>
  <c r="V50" i="259" s="1"/>
  <c r="V51" i="259" s="1"/>
  <c r="E37" i="245" s="1"/>
  <c r="V47" i="259"/>
  <c r="W43" i="259"/>
  <c r="W47" i="259"/>
  <c r="W44" i="259"/>
  <c r="V44" i="259"/>
  <c r="V45" i="259"/>
  <c r="F37" i="245" s="1"/>
  <c r="V44" i="262"/>
  <c r="W44" i="262"/>
  <c r="V45" i="262"/>
  <c r="F45" i="245" s="1"/>
  <c r="W45" i="262"/>
  <c r="V46" i="262"/>
  <c r="W46" i="262"/>
  <c r="V43" i="262"/>
  <c r="V49" i="262" s="1"/>
  <c r="V50" i="262" s="1"/>
  <c r="V51" i="262" s="1"/>
  <c r="E45" i="245" s="1"/>
  <c r="V47" i="262"/>
  <c r="W43" i="262"/>
  <c r="W47" i="262"/>
  <c r="K44" i="253"/>
  <c r="J45" i="253"/>
  <c r="F18" i="245" s="1"/>
  <c r="K45" i="253"/>
  <c r="J46" i="253"/>
  <c r="J44" i="253"/>
  <c r="J43" i="253"/>
  <c r="J49" i="253" s="1"/>
  <c r="J50" i="253" s="1"/>
  <c r="J51" i="253" s="1"/>
  <c r="E18" i="245" s="1"/>
  <c r="K43" i="253"/>
  <c r="K46" i="253"/>
  <c r="J47" i="253"/>
  <c r="K47" i="253"/>
  <c r="AE95" i="253"/>
  <c r="P44" i="246"/>
  <c r="Q45" i="246"/>
  <c r="P43" i="246"/>
  <c r="P49" i="246" s="1"/>
  <c r="P50" i="246" s="1"/>
  <c r="P51" i="246" s="1"/>
  <c r="E3" i="245" s="1"/>
  <c r="P46" i="246"/>
  <c r="Q46" i="246"/>
  <c r="Q47" i="246"/>
  <c r="P45" i="246"/>
  <c r="F3" i="245" s="1"/>
  <c r="P47" i="246"/>
  <c r="Q43" i="246"/>
  <c r="Q44" i="246"/>
  <c r="AF99" i="250"/>
  <c r="AC98" i="251"/>
  <c r="AE98" i="251"/>
  <c r="Y98" i="251"/>
  <c r="X98" i="265"/>
  <c r="AA98" i="265"/>
  <c r="V99" i="258"/>
  <c r="AE99" i="258"/>
  <c r="V98" i="259"/>
  <c r="Q45" i="259"/>
  <c r="P46" i="259"/>
  <c r="Q46" i="259"/>
  <c r="P43" i="259"/>
  <c r="P49" i="259" s="1"/>
  <c r="P50" i="259" s="1"/>
  <c r="P51" i="259" s="1"/>
  <c r="E36" i="245" s="1"/>
  <c r="P47" i="259"/>
  <c r="Q43" i="259"/>
  <c r="Q47" i="259"/>
  <c r="Q44" i="259"/>
  <c r="P44" i="259"/>
  <c r="P45" i="259"/>
  <c r="F36" i="245" s="1"/>
  <c r="Q44" i="264"/>
  <c r="P45" i="264"/>
  <c r="F50" i="245" s="1"/>
  <c r="Q45" i="264"/>
  <c r="P46" i="264"/>
  <c r="P43" i="264"/>
  <c r="P49" i="264" s="1"/>
  <c r="P50" i="264" s="1"/>
  <c r="P51" i="264" s="1"/>
  <c r="E50" i="245" s="1"/>
  <c r="Q43" i="264"/>
  <c r="P44" i="264"/>
  <c r="Q46" i="264"/>
  <c r="P47" i="264"/>
  <c r="Q47" i="264"/>
  <c r="V43" i="258"/>
  <c r="V49" i="258" s="1"/>
  <c r="V50" i="258" s="1"/>
  <c r="V51" i="258" s="1"/>
  <c r="E34" i="245" s="1"/>
  <c r="V47" i="258"/>
  <c r="W43" i="258"/>
  <c r="W47" i="258"/>
  <c r="V44" i="258"/>
  <c r="W44" i="258"/>
  <c r="V45" i="258"/>
  <c r="F34" i="245" s="1"/>
  <c r="V46" i="258"/>
  <c r="W46" i="258"/>
  <c r="W45" i="258"/>
  <c r="W95" i="253"/>
  <c r="Y95" i="253"/>
  <c r="Q46" i="250"/>
  <c r="P43" i="250"/>
  <c r="P49" i="250" s="1"/>
  <c r="P50" i="250" s="1"/>
  <c r="P51" i="250" s="1"/>
  <c r="E10" i="245" s="1"/>
  <c r="P47" i="250"/>
  <c r="P44" i="250"/>
  <c r="Q44" i="250"/>
  <c r="P45" i="250"/>
  <c r="F10" i="245" s="1"/>
  <c r="Q45" i="250"/>
  <c r="Q47" i="250"/>
  <c r="Q43" i="250"/>
  <c r="P46" i="250"/>
  <c r="AB98" i="251"/>
  <c r="J45" i="265"/>
  <c r="F52" i="245" s="1"/>
  <c r="K45" i="265"/>
  <c r="J46" i="265"/>
  <c r="K46" i="265"/>
  <c r="J43" i="265"/>
  <c r="J49" i="265" s="1"/>
  <c r="J50" i="265" s="1"/>
  <c r="J51" i="265" s="1"/>
  <c r="E52" i="245" s="1"/>
  <c r="J47" i="265"/>
  <c r="K43" i="265"/>
  <c r="K47" i="265"/>
  <c r="J44" i="265"/>
  <c r="K44" i="265"/>
  <c r="V97" i="264"/>
  <c r="J44" i="262"/>
  <c r="K44" i="262"/>
  <c r="J45" i="262"/>
  <c r="F43" i="245" s="1"/>
  <c r="K45" i="262"/>
  <c r="J46" i="262"/>
  <c r="K46" i="262"/>
  <c r="J43" i="262"/>
  <c r="J49" i="262" s="1"/>
  <c r="J50" i="262" s="1"/>
  <c r="J51" i="262" s="1"/>
  <c r="E43" i="245" s="1"/>
  <c r="J47" i="262"/>
  <c r="K43" i="262"/>
  <c r="K47" i="262"/>
  <c r="K44" i="264"/>
  <c r="J45" i="264"/>
  <c r="F49" i="245" s="1"/>
  <c r="K45" i="264"/>
  <c r="J46" i="264"/>
  <c r="J43" i="264"/>
  <c r="J49" i="264" s="1"/>
  <c r="J50" i="264" s="1"/>
  <c r="J51" i="264" s="1"/>
  <c r="E49" i="245" s="1"/>
  <c r="K43" i="264"/>
  <c r="J44" i="264"/>
  <c r="K46" i="264"/>
  <c r="J47" i="264"/>
  <c r="K47" i="264"/>
  <c r="W46" i="255"/>
  <c r="W43" i="255"/>
  <c r="W47" i="255"/>
  <c r="V44" i="255"/>
  <c r="W44" i="255"/>
  <c r="V43" i="255"/>
  <c r="V49" i="255" s="1"/>
  <c r="V50" i="255" s="1"/>
  <c r="V51" i="255" s="1"/>
  <c r="E25" i="245" s="1"/>
  <c r="V45" i="255"/>
  <c r="F25" i="245" s="1"/>
  <c r="W45" i="255"/>
  <c r="V47" i="255"/>
  <c r="V46" i="255"/>
  <c r="P43" i="256"/>
  <c r="P49" i="256" s="1"/>
  <c r="P50" i="256" s="1"/>
  <c r="P51" i="256" s="1"/>
  <c r="E27" i="245" s="1"/>
  <c r="P47" i="256"/>
  <c r="P44" i="256"/>
  <c r="Q44" i="256"/>
  <c r="P45" i="256"/>
  <c r="F27" i="245" s="1"/>
  <c r="Q45" i="256"/>
  <c r="Q43" i="256"/>
  <c r="P46" i="256"/>
  <c r="Q47" i="256"/>
  <c r="Q46" i="256"/>
  <c r="J46" i="254"/>
  <c r="K46" i="254"/>
  <c r="J43" i="254"/>
  <c r="J49" i="254" s="1"/>
  <c r="J50" i="254" s="1"/>
  <c r="J51" i="254" s="1"/>
  <c r="E20" i="245" s="1"/>
  <c r="J47" i="254"/>
  <c r="K43" i="254"/>
  <c r="K47" i="254"/>
  <c r="J45" i="254"/>
  <c r="F20" i="245" s="1"/>
  <c r="K45" i="254"/>
  <c r="J44" i="254"/>
  <c r="K44" i="254"/>
  <c r="J43" i="256"/>
  <c r="J49" i="256" s="1"/>
  <c r="J50" i="256" s="1"/>
  <c r="J51" i="256" s="1"/>
  <c r="E26" i="245" s="1"/>
  <c r="J47" i="256"/>
  <c r="J44" i="256"/>
  <c r="K44" i="256"/>
  <c r="J45" i="256"/>
  <c r="F26" i="245" s="1"/>
  <c r="K45" i="256"/>
  <c r="K43" i="256"/>
  <c r="J46" i="256"/>
  <c r="K46" i="256"/>
  <c r="K47" i="256"/>
  <c r="AE96" i="253"/>
  <c r="AD96" i="253"/>
  <c r="AC96" i="253"/>
  <c r="Q44" i="251"/>
  <c r="P45" i="251"/>
  <c r="F13" i="245" s="1"/>
  <c r="Q45" i="251"/>
  <c r="Q47" i="251"/>
  <c r="P43" i="251"/>
  <c r="P49" i="251" s="1"/>
  <c r="P50" i="251" s="1"/>
  <c r="P51" i="251" s="1"/>
  <c r="E13" i="245" s="1"/>
  <c r="Q43" i="251"/>
  <c r="P44" i="251"/>
  <c r="P46" i="251"/>
  <c r="P47" i="251"/>
  <c r="Q46" i="251"/>
  <c r="X6" i="7"/>
  <c r="X7" i="7"/>
  <c r="X10" i="7"/>
  <c r="X11" i="7"/>
  <c r="X12" i="7"/>
  <c r="X13" i="7"/>
  <c r="X8" i="7"/>
  <c r="X9" i="7"/>
  <c r="Z8" i="7"/>
  <c r="Y11" i="7"/>
  <c r="Y10" i="7"/>
  <c r="AA9" i="7"/>
  <c r="AA10" i="7"/>
  <c r="AA11" i="7"/>
  <c r="Z11" i="7"/>
  <c r="Z10" i="7"/>
  <c r="Z9" i="7"/>
  <c r="AA8" i="7"/>
  <c r="Y8" i="7"/>
  <c r="Y9" i="7"/>
  <c r="L102" i="258" l="1"/>
  <c r="D102" i="258"/>
  <c r="K102" i="258"/>
  <c r="C102" i="258"/>
  <c r="J102" i="258"/>
  <c r="B102" i="258"/>
  <c r="I102" i="258"/>
  <c r="P102" i="258"/>
  <c r="H102" i="258"/>
  <c r="O102" i="258"/>
  <c r="N102" i="258"/>
  <c r="M102" i="258"/>
  <c r="G102" i="258"/>
  <c r="F102" i="258"/>
  <c r="E102" i="258"/>
  <c r="O102" i="263"/>
  <c r="G102" i="263"/>
  <c r="N102" i="263"/>
  <c r="F102" i="263"/>
  <c r="M102" i="263"/>
  <c r="E102" i="263"/>
  <c r="L102" i="263"/>
  <c r="K102" i="263"/>
  <c r="J102" i="263"/>
  <c r="I102" i="263"/>
  <c r="H102" i="263"/>
  <c r="D102" i="263"/>
  <c r="Q102" i="263"/>
  <c r="C102" i="263"/>
  <c r="P102" i="263"/>
  <c r="B102" i="263"/>
  <c r="P102" i="265"/>
  <c r="H102" i="265"/>
  <c r="O102" i="265"/>
  <c r="G102" i="265"/>
  <c r="N102" i="265"/>
  <c r="F102" i="265"/>
  <c r="M102" i="265"/>
  <c r="E102" i="265"/>
  <c r="L102" i="265"/>
  <c r="D102" i="265"/>
  <c r="K102" i="265"/>
  <c r="C102" i="265"/>
  <c r="J102" i="265"/>
  <c r="B102" i="265"/>
  <c r="Q102" i="265"/>
  <c r="I102" i="265"/>
  <c r="L100" i="255"/>
  <c r="D100" i="255"/>
  <c r="J100" i="255"/>
  <c r="B100" i="255"/>
  <c r="I100" i="255"/>
  <c r="P100" i="255"/>
  <c r="H100" i="255"/>
  <c r="M100" i="255"/>
  <c r="K100" i="255"/>
  <c r="G100" i="255"/>
  <c r="F100" i="255"/>
  <c r="C100" i="255"/>
  <c r="O100" i="255"/>
  <c r="N100" i="255"/>
  <c r="E100" i="255"/>
  <c r="S100" i="261"/>
  <c r="K100" i="261"/>
  <c r="C100" i="261"/>
  <c r="R100" i="261"/>
  <c r="J100" i="261"/>
  <c r="B100" i="261"/>
  <c r="Q100" i="261"/>
  <c r="I100" i="261"/>
  <c r="P100" i="261"/>
  <c r="H100" i="261"/>
  <c r="O100" i="261"/>
  <c r="G100" i="261"/>
  <c r="N100" i="261"/>
  <c r="M100" i="261"/>
  <c r="L100" i="261"/>
  <c r="F100" i="261"/>
  <c r="E100" i="261"/>
  <c r="D100" i="261"/>
  <c r="K101" i="256"/>
  <c r="C101" i="256"/>
  <c r="Q101" i="256"/>
  <c r="I101" i="256"/>
  <c r="P101" i="256"/>
  <c r="H101" i="256"/>
  <c r="O101" i="256"/>
  <c r="G101" i="256"/>
  <c r="N101" i="256"/>
  <c r="F101" i="256"/>
  <c r="J101" i="256"/>
  <c r="E101" i="256"/>
  <c r="D101" i="256"/>
  <c r="B101" i="256"/>
  <c r="M101" i="256"/>
  <c r="L101" i="256"/>
  <c r="K100" i="256"/>
  <c r="C100" i="256"/>
  <c r="Q100" i="256"/>
  <c r="I100" i="256"/>
  <c r="P100" i="256"/>
  <c r="H100" i="256"/>
  <c r="O100" i="256"/>
  <c r="G100" i="256"/>
  <c r="N100" i="256"/>
  <c r="F100" i="256"/>
  <c r="D100" i="256"/>
  <c r="B100" i="256"/>
  <c r="L100" i="256"/>
  <c r="J100" i="256"/>
  <c r="E100" i="256"/>
  <c r="M100" i="256"/>
  <c r="I100" i="262"/>
  <c r="P100" i="262"/>
  <c r="H100" i="262"/>
  <c r="O100" i="262"/>
  <c r="G100" i="262"/>
  <c r="N100" i="262"/>
  <c r="F100" i="262"/>
  <c r="M100" i="262"/>
  <c r="E100" i="262"/>
  <c r="L100" i="262"/>
  <c r="D100" i="262"/>
  <c r="K100" i="262"/>
  <c r="C100" i="262"/>
  <c r="J100" i="262"/>
  <c r="B100" i="262"/>
  <c r="P100" i="264"/>
  <c r="H100" i="264"/>
  <c r="O100" i="264"/>
  <c r="G100" i="264"/>
  <c r="N100" i="264"/>
  <c r="F100" i="264"/>
  <c r="M100" i="264"/>
  <c r="E100" i="264"/>
  <c r="K100" i="264"/>
  <c r="J100" i="264"/>
  <c r="I100" i="264"/>
  <c r="T100" i="264"/>
  <c r="D100" i="264"/>
  <c r="S100" i="264"/>
  <c r="C100" i="264"/>
  <c r="R100" i="264"/>
  <c r="B100" i="264"/>
  <c r="Q100" i="264"/>
  <c r="L100" i="264"/>
  <c r="L101" i="259"/>
  <c r="D101" i="259"/>
  <c r="K101" i="259"/>
  <c r="C101" i="259"/>
  <c r="J101" i="259"/>
  <c r="B101" i="259"/>
  <c r="Q101" i="259"/>
  <c r="I101" i="259"/>
  <c r="P101" i="259"/>
  <c r="H101" i="259"/>
  <c r="N101" i="259"/>
  <c r="F101" i="259"/>
  <c r="O101" i="259"/>
  <c r="M101" i="259"/>
  <c r="G101" i="259"/>
  <c r="E101" i="259"/>
  <c r="Q98" i="246"/>
  <c r="I98" i="246"/>
  <c r="K98" i="246"/>
  <c r="B98" i="246"/>
  <c r="S98" i="246"/>
  <c r="J98" i="246"/>
  <c r="R98" i="246"/>
  <c r="O98" i="246"/>
  <c r="L98" i="246"/>
  <c r="H98" i="246"/>
  <c r="C98" i="246"/>
  <c r="P98" i="246"/>
  <c r="G98" i="246"/>
  <c r="F98" i="246"/>
  <c r="N98" i="246"/>
  <c r="E98" i="246"/>
  <c r="M98" i="246"/>
  <c r="D98" i="246"/>
  <c r="H102" i="257"/>
  <c r="O102" i="257"/>
  <c r="G102" i="257"/>
  <c r="K102" i="257"/>
  <c r="I102" i="257"/>
  <c r="F102" i="257"/>
  <c r="E102" i="257"/>
  <c r="N102" i="257"/>
  <c r="D102" i="257"/>
  <c r="M102" i="257"/>
  <c r="L102" i="257"/>
  <c r="J102" i="257"/>
  <c r="B102" i="257"/>
  <c r="C102" i="257"/>
  <c r="K100" i="252"/>
  <c r="C100" i="252"/>
  <c r="J100" i="252"/>
  <c r="B100" i="252"/>
  <c r="I100" i="252"/>
  <c r="L100" i="252"/>
  <c r="D100" i="252"/>
  <c r="E100" i="252"/>
  <c r="O100" i="252"/>
  <c r="N100" i="252"/>
  <c r="M100" i="252"/>
  <c r="H100" i="252"/>
  <c r="F100" i="252"/>
  <c r="G100" i="252"/>
  <c r="J101" i="262"/>
  <c r="B101" i="262"/>
  <c r="I101" i="262"/>
  <c r="P101" i="262"/>
  <c r="H101" i="262"/>
  <c r="O101" i="262"/>
  <c r="G101" i="262"/>
  <c r="N101" i="262"/>
  <c r="F101" i="262"/>
  <c r="M101" i="262"/>
  <c r="E101" i="262"/>
  <c r="L101" i="262"/>
  <c r="D101" i="262"/>
  <c r="K101" i="262"/>
  <c r="C101" i="262"/>
  <c r="K102" i="251"/>
  <c r="C102" i="251"/>
  <c r="R102" i="251"/>
  <c r="J102" i="251"/>
  <c r="B102" i="251"/>
  <c r="Q102" i="251"/>
  <c r="I102" i="251"/>
  <c r="P102" i="251"/>
  <c r="E102" i="251"/>
  <c r="O102" i="251"/>
  <c r="D102" i="251"/>
  <c r="N102" i="251"/>
  <c r="M102" i="251"/>
  <c r="L102" i="251"/>
  <c r="H102" i="251"/>
  <c r="F102" i="251"/>
  <c r="G102" i="251"/>
  <c r="M101" i="255"/>
  <c r="E101" i="255"/>
  <c r="K101" i="255"/>
  <c r="C101" i="255"/>
  <c r="R101" i="255"/>
  <c r="J101" i="255"/>
  <c r="B101" i="255"/>
  <c r="Q101" i="255"/>
  <c r="I101" i="255"/>
  <c r="N101" i="255"/>
  <c r="L101" i="255"/>
  <c r="H101" i="255"/>
  <c r="G101" i="255"/>
  <c r="D101" i="255"/>
  <c r="P101" i="255"/>
  <c r="O101" i="255"/>
  <c r="F101" i="255"/>
  <c r="L100" i="257"/>
  <c r="D100" i="257"/>
  <c r="K100" i="257"/>
  <c r="C100" i="257"/>
  <c r="G100" i="257"/>
  <c r="O100" i="257"/>
  <c r="E100" i="257"/>
  <c r="N100" i="257"/>
  <c r="B100" i="257"/>
  <c r="M100" i="257"/>
  <c r="J100" i="257"/>
  <c r="P100" i="257"/>
  <c r="I100" i="257"/>
  <c r="H100" i="257"/>
  <c r="F100" i="257"/>
  <c r="O101" i="265"/>
  <c r="G101" i="265"/>
  <c r="N101" i="265"/>
  <c r="F101" i="265"/>
  <c r="M101" i="265"/>
  <c r="E101" i="265"/>
  <c r="L101" i="265"/>
  <c r="D101" i="265"/>
  <c r="K101" i="265"/>
  <c r="C101" i="265"/>
  <c r="J101" i="265"/>
  <c r="B101" i="265"/>
  <c r="I101" i="265"/>
  <c r="P101" i="265"/>
  <c r="H101" i="265"/>
  <c r="K100" i="258"/>
  <c r="C100" i="258"/>
  <c r="J100" i="258"/>
  <c r="B100" i="258"/>
  <c r="I100" i="258"/>
  <c r="P100" i="258"/>
  <c r="H100" i="258"/>
  <c r="O100" i="258"/>
  <c r="G100" i="258"/>
  <c r="L100" i="258"/>
  <c r="E100" i="258"/>
  <c r="D100" i="258"/>
  <c r="N100" i="258"/>
  <c r="F100" i="258"/>
  <c r="M100" i="258"/>
  <c r="Q101" i="261"/>
  <c r="I101" i="261"/>
  <c r="P101" i="261"/>
  <c r="H101" i="261"/>
  <c r="O101" i="261"/>
  <c r="G101" i="261"/>
  <c r="N101" i="261"/>
  <c r="F101" i="261"/>
  <c r="M101" i="261"/>
  <c r="E101" i="261"/>
  <c r="C101" i="261"/>
  <c r="B101" i="261"/>
  <c r="R101" i="261"/>
  <c r="L101" i="261"/>
  <c r="K101" i="261"/>
  <c r="J101" i="261"/>
  <c r="D101" i="261"/>
  <c r="L101" i="258"/>
  <c r="D101" i="258"/>
  <c r="K101" i="258"/>
  <c r="C101" i="258"/>
  <c r="J101" i="258"/>
  <c r="B101" i="258"/>
  <c r="Q101" i="258"/>
  <c r="I101" i="258"/>
  <c r="P101" i="258"/>
  <c r="H101" i="258"/>
  <c r="O101" i="258"/>
  <c r="M101" i="258"/>
  <c r="G101" i="258"/>
  <c r="F101" i="258"/>
  <c r="E101" i="258"/>
  <c r="N101" i="258"/>
  <c r="L102" i="255"/>
  <c r="D102" i="255"/>
  <c r="R102" i="255"/>
  <c r="J102" i="255"/>
  <c r="B102" i="255"/>
  <c r="Q102" i="255"/>
  <c r="I102" i="255"/>
  <c r="P102" i="255"/>
  <c r="H102" i="255"/>
  <c r="M102" i="255"/>
  <c r="K102" i="255"/>
  <c r="G102" i="255"/>
  <c r="F102" i="255"/>
  <c r="S102" i="255"/>
  <c r="C102" i="255"/>
  <c r="O102" i="255"/>
  <c r="N102" i="255"/>
  <c r="E102" i="255"/>
  <c r="T102" i="259"/>
  <c r="L102" i="259"/>
  <c r="D102" i="259"/>
  <c r="S102" i="259"/>
  <c r="K102" i="259"/>
  <c r="C102" i="259"/>
  <c r="R102" i="259"/>
  <c r="J102" i="259"/>
  <c r="B102" i="259"/>
  <c r="Q102" i="259"/>
  <c r="I102" i="259"/>
  <c r="P102" i="259"/>
  <c r="H102" i="259"/>
  <c r="V102" i="259"/>
  <c r="N102" i="259"/>
  <c r="F102" i="259"/>
  <c r="M102" i="259"/>
  <c r="G102" i="259"/>
  <c r="E102" i="259"/>
  <c r="W102" i="259"/>
  <c r="U102" i="259"/>
  <c r="O102" i="259"/>
  <c r="P102" i="266"/>
  <c r="H102" i="266"/>
  <c r="O102" i="266"/>
  <c r="G102" i="266"/>
  <c r="N102" i="266"/>
  <c r="F102" i="266"/>
  <c r="M102" i="266"/>
  <c r="E102" i="266"/>
  <c r="L102" i="266"/>
  <c r="D102" i="266"/>
  <c r="K102" i="266"/>
  <c r="C102" i="266"/>
  <c r="J102" i="266"/>
  <c r="B102" i="266"/>
  <c r="I102" i="266"/>
  <c r="Q102" i="250"/>
  <c r="I102" i="250"/>
  <c r="P102" i="250"/>
  <c r="H102" i="250"/>
  <c r="N102" i="250"/>
  <c r="D102" i="250"/>
  <c r="M102" i="250"/>
  <c r="C102" i="250"/>
  <c r="L102" i="250"/>
  <c r="B102" i="250"/>
  <c r="K102" i="250"/>
  <c r="S102" i="250"/>
  <c r="G102" i="250"/>
  <c r="F102" i="250"/>
  <c r="E102" i="250"/>
  <c r="R102" i="250"/>
  <c r="O102" i="250"/>
  <c r="J102" i="250"/>
  <c r="Q102" i="254"/>
  <c r="I102" i="254"/>
  <c r="U102" i="254"/>
  <c r="M102" i="254"/>
  <c r="E102" i="254"/>
  <c r="T102" i="254"/>
  <c r="J102" i="254"/>
  <c r="S102" i="254"/>
  <c r="H102" i="254"/>
  <c r="R102" i="254"/>
  <c r="G102" i="254"/>
  <c r="P102" i="254"/>
  <c r="F102" i="254"/>
  <c r="W102" i="254"/>
  <c r="L102" i="254"/>
  <c r="B102" i="254"/>
  <c r="V102" i="254"/>
  <c r="K102" i="254"/>
  <c r="O102" i="254"/>
  <c r="N102" i="254"/>
  <c r="D102" i="254"/>
  <c r="C102" i="254"/>
  <c r="I101" i="251"/>
  <c r="H101" i="251"/>
  <c r="O101" i="251"/>
  <c r="G101" i="251"/>
  <c r="E101" i="251"/>
  <c r="D101" i="251"/>
  <c r="N101" i="251"/>
  <c r="C101" i="251"/>
  <c r="M101" i="251"/>
  <c r="B101" i="251"/>
  <c r="L101" i="251"/>
  <c r="K101" i="251"/>
  <c r="F101" i="251"/>
  <c r="J101" i="251"/>
  <c r="P101" i="266"/>
  <c r="H101" i="266"/>
  <c r="O101" i="266"/>
  <c r="G101" i="266"/>
  <c r="N101" i="266"/>
  <c r="F101" i="266"/>
  <c r="M101" i="266"/>
  <c r="E101" i="266"/>
  <c r="L101" i="266"/>
  <c r="D101" i="266"/>
  <c r="K101" i="266"/>
  <c r="C101" i="266"/>
  <c r="J101" i="266"/>
  <c r="B101" i="266"/>
  <c r="Q101" i="266"/>
  <c r="I101" i="266"/>
  <c r="L100" i="250"/>
  <c r="D100" i="250"/>
  <c r="K100" i="250"/>
  <c r="C100" i="250"/>
  <c r="I100" i="250"/>
  <c r="H100" i="250"/>
  <c r="G100" i="250"/>
  <c r="F100" i="250"/>
  <c r="N100" i="250"/>
  <c r="B100" i="250"/>
  <c r="E100" i="250"/>
  <c r="O100" i="250"/>
  <c r="M100" i="250"/>
  <c r="J100" i="250"/>
  <c r="O98" i="253"/>
  <c r="G98" i="253"/>
  <c r="N98" i="253"/>
  <c r="F98" i="253"/>
  <c r="M98" i="253"/>
  <c r="E98" i="253"/>
  <c r="T98" i="253"/>
  <c r="L98" i="253"/>
  <c r="D98" i="253"/>
  <c r="P98" i="253"/>
  <c r="H98" i="253"/>
  <c r="J98" i="253"/>
  <c r="I98" i="253"/>
  <c r="C98" i="253"/>
  <c r="B98" i="253"/>
  <c r="S98" i="253"/>
  <c r="R98" i="253"/>
  <c r="K98" i="253"/>
  <c r="Q98" i="253"/>
  <c r="Q97" i="246"/>
  <c r="I97" i="246"/>
  <c r="H97" i="246"/>
  <c r="F97" i="246"/>
  <c r="P97" i="246"/>
  <c r="G97" i="246"/>
  <c r="O97" i="246"/>
  <c r="D97" i="246"/>
  <c r="M97" i="246"/>
  <c r="N97" i="246"/>
  <c r="E97" i="246"/>
  <c r="L97" i="246"/>
  <c r="C97" i="246"/>
  <c r="B97" i="246"/>
  <c r="K97" i="246"/>
  <c r="J97" i="246"/>
  <c r="N102" i="252"/>
  <c r="F102" i="252"/>
  <c r="M102" i="252"/>
  <c r="E102" i="252"/>
  <c r="L102" i="252"/>
  <c r="D102" i="252"/>
  <c r="O102" i="252"/>
  <c r="G102" i="252"/>
  <c r="H102" i="252"/>
  <c r="C102" i="252"/>
  <c r="B102" i="252"/>
  <c r="Q102" i="252"/>
  <c r="P102" i="252"/>
  <c r="K102" i="252"/>
  <c r="I102" i="252"/>
  <c r="J102" i="252"/>
  <c r="P102" i="261"/>
  <c r="H102" i="261"/>
  <c r="O102" i="261"/>
  <c r="G102" i="261"/>
  <c r="N102" i="261"/>
  <c r="F102" i="261"/>
  <c r="M102" i="261"/>
  <c r="E102" i="261"/>
  <c r="L102" i="261"/>
  <c r="D102" i="261"/>
  <c r="I102" i="261"/>
  <c r="C102" i="261"/>
  <c r="B102" i="261"/>
  <c r="Q102" i="261"/>
  <c r="K102" i="261"/>
  <c r="J102" i="261"/>
  <c r="O100" i="249"/>
  <c r="G100" i="249"/>
  <c r="N100" i="249"/>
  <c r="F100" i="249"/>
  <c r="R100" i="249"/>
  <c r="J100" i="249"/>
  <c r="B100" i="249"/>
  <c r="H100" i="249"/>
  <c r="M100" i="249"/>
  <c r="I100" i="249"/>
  <c r="E100" i="249"/>
  <c r="Q100" i="249"/>
  <c r="D100" i="249"/>
  <c r="P100" i="249"/>
  <c r="C100" i="249"/>
  <c r="L100" i="249"/>
  <c r="K100" i="249"/>
  <c r="P100" i="251"/>
  <c r="H100" i="251"/>
  <c r="O100" i="251"/>
  <c r="G100" i="251"/>
  <c r="N100" i="251"/>
  <c r="F100" i="251"/>
  <c r="I100" i="251"/>
  <c r="E100" i="251"/>
  <c r="D100" i="251"/>
  <c r="C100" i="251"/>
  <c r="M100" i="251"/>
  <c r="B100" i="251"/>
  <c r="L100" i="251"/>
  <c r="J100" i="251"/>
  <c r="K100" i="251"/>
  <c r="K98" i="260"/>
  <c r="C98" i="260"/>
  <c r="R98" i="260"/>
  <c r="J98" i="260"/>
  <c r="B98" i="260"/>
  <c r="Q98" i="260"/>
  <c r="I98" i="260"/>
  <c r="F98" i="260"/>
  <c r="P98" i="260"/>
  <c r="E98" i="260"/>
  <c r="O98" i="260"/>
  <c r="D98" i="260"/>
  <c r="N98" i="260"/>
  <c r="M98" i="260"/>
  <c r="L98" i="260"/>
  <c r="H98" i="260"/>
  <c r="G98" i="260"/>
  <c r="M97" i="260"/>
  <c r="E97" i="260"/>
  <c r="L97" i="260"/>
  <c r="D97" i="260"/>
  <c r="S97" i="260"/>
  <c r="K97" i="260"/>
  <c r="C97" i="260"/>
  <c r="J97" i="260"/>
  <c r="I97" i="260"/>
  <c r="H97" i="260"/>
  <c r="R97" i="260"/>
  <c r="G97" i="260"/>
  <c r="Q97" i="260"/>
  <c r="F97" i="260"/>
  <c r="P97" i="260"/>
  <c r="B97" i="260"/>
  <c r="O97" i="260"/>
  <c r="N97" i="260"/>
  <c r="N100" i="263"/>
  <c r="F100" i="263"/>
  <c r="M100" i="263"/>
  <c r="E100" i="263"/>
  <c r="L100" i="263"/>
  <c r="D100" i="263"/>
  <c r="G100" i="263"/>
  <c r="Q100" i="263"/>
  <c r="C100" i="263"/>
  <c r="P100" i="263"/>
  <c r="B100" i="263"/>
  <c r="O100" i="263"/>
  <c r="K100" i="263"/>
  <c r="J100" i="263"/>
  <c r="I100" i="263"/>
  <c r="H100" i="263"/>
  <c r="V101" i="254"/>
  <c r="N101" i="254"/>
  <c r="F101" i="254"/>
  <c r="R101" i="254"/>
  <c r="J101" i="254"/>
  <c r="B101" i="254"/>
  <c r="T101" i="254"/>
  <c r="I101" i="254"/>
  <c r="S101" i="254"/>
  <c r="H101" i="254"/>
  <c r="Q101" i="254"/>
  <c r="G101" i="254"/>
  <c r="P101" i="254"/>
  <c r="E101" i="254"/>
  <c r="L101" i="254"/>
  <c r="U101" i="254"/>
  <c r="K101" i="254"/>
  <c r="C101" i="254"/>
  <c r="O101" i="254"/>
  <c r="D101" i="254"/>
  <c r="M101" i="254"/>
  <c r="N102" i="249"/>
  <c r="F102" i="249"/>
  <c r="M102" i="249"/>
  <c r="E102" i="249"/>
  <c r="I102" i="249"/>
  <c r="L102" i="249"/>
  <c r="G102" i="249"/>
  <c r="K102" i="249"/>
  <c r="J102" i="249"/>
  <c r="H102" i="249"/>
  <c r="D102" i="249"/>
  <c r="B102" i="249"/>
  <c r="P102" i="249"/>
  <c r="C102" i="249"/>
  <c r="O102" i="249"/>
  <c r="N101" i="250"/>
  <c r="F101" i="250"/>
  <c r="M101" i="250"/>
  <c r="E101" i="250"/>
  <c r="G101" i="250"/>
  <c r="D101" i="250"/>
  <c r="C101" i="250"/>
  <c r="L101" i="250"/>
  <c r="B101" i="250"/>
  <c r="J101" i="250"/>
  <c r="H101" i="250"/>
  <c r="K101" i="250"/>
  <c r="I101" i="250"/>
  <c r="P97" i="253"/>
  <c r="H97" i="253"/>
  <c r="O97" i="253"/>
  <c r="G97" i="253"/>
  <c r="N97" i="253"/>
  <c r="F97" i="253"/>
  <c r="M97" i="253"/>
  <c r="E97" i="253"/>
  <c r="Q97" i="253"/>
  <c r="I97" i="253"/>
  <c r="D97" i="253"/>
  <c r="C97" i="253"/>
  <c r="B97" i="253"/>
  <c r="R97" i="253"/>
  <c r="L97" i="253"/>
  <c r="J97" i="253"/>
  <c r="K97" i="253"/>
  <c r="K102" i="262"/>
  <c r="C102" i="262"/>
  <c r="R102" i="262"/>
  <c r="J102" i="262"/>
  <c r="B102" i="262"/>
  <c r="Q102" i="262"/>
  <c r="I102" i="262"/>
  <c r="P102" i="262"/>
  <c r="H102" i="262"/>
  <c r="O102" i="262"/>
  <c r="G102" i="262"/>
  <c r="N102" i="262"/>
  <c r="F102" i="262"/>
  <c r="M102" i="262"/>
  <c r="E102" i="262"/>
  <c r="D102" i="262"/>
  <c r="L102" i="262"/>
  <c r="M101" i="257"/>
  <c r="E101" i="257"/>
  <c r="L101" i="257"/>
  <c r="D101" i="257"/>
  <c r="N101" i="257"/>
  <c r="B101" i="257"/>
  <c r="J101" i="257"/>
  <c r="I101" i="257"/>
  <c r="H101" i="257"/>
  <c r="G101" i="257"/>
  <c r="C101" i="257"/>
  <c r="K101" i="257"/>
  <c r="F101" i="257"/>
  <c r="K102" i="256"/>
  <c r="C102" i="256"/>
  <c r="I102" i="256"/>
  <c r="P102" i="256"/>
  <c r="H102" i="256"/>
  <c r="O102" i="256"/>
  <c r="G102" i="256"/>
  <c r="N102" i="256"/>
  <c r="F102" i="256"/>
  <c r="M102" i="256"/>
  <c r="L102" i="256"/>
  <c r="J102" i="256"/>
  <c r="E102" i="256"/>
  <c r="B102" i="256"/>
  <c r="D102" i="256"/>
  <c r="N94" i="248"/>
  <c r="F94" i="248"/>
  <c r="Q94" i="248"/>
  <c r="I94" i="248"/>
  <c r="P94" i="248"/>
  <c r="E94" i="248"/>
  <c r="K94" i="248"/>
  <c r="O94" i="248"/>
  <c r="D94" i="248"/>
  <c r="M94" i="248"/>
  <c r="C94" i="248"/>
  <c r="L94" i="248"/>
  <c r="B94" i="248"/>
  <c r="G94" i="248"/>
  <c r="J94" i="248"/>
  <c r="H94" i="248"/>
  <c r="T100" i="254"/>
  <c r="L100" i="254"/>
  <c r="D100" i="254"/>
  <c r="U100" i="254"/>
  <c r="K100" i="254"/>
  <c r="B100" i="254"/>
  <c r="S100" i="254"/>
  <c r="J100" i="254"/>
  <c r="R100" i="254"/>
  <c r="I100" i="254"/>
  <c r="Q100" i="254"/>
  <c r="H100" i="254"/>
  <c r="W100" i="254"/>
  <c r="N100" i="254"/>
  <c r="E100" i="254"/>
  <c r="V100" i="254"/>
  <c r="M100" i="254"/>
  <c r="C100" i="254"/>
  <c r="P100" i="254"/>
  <c r="O100" i="254"/>
  <c r="G100" i="254"/>
  <c r="F100" i="254"/>
  <c r="O100" i="265"/>
  <c r="G100" i="265"/>
  <c r="N100" i="265"/>
  <c r="F100" i="265"/>
  <c r="M100" i="265"/>
  <c r="E100" i="265"/>
  <c r="L100" i="265"/>
  <c r="D100" i="265"/>
  <c r="K100" i="265"/>
  <c r="C100" i="265"/>
  <c r="J100" i="265"/>
  <c r="B100" i="265"/>
  <c r="Q100" i="265"/>
  <c r="I100" i="265"/>
  <c r="P100" i="265"/>
  <c r="H100" i="265"/>
  <c r="M101" i="264"/>
  <c r="E101" i="264"/>
  <c r="L101" i="264"/>
  <c r="D101" i="264"/>
  <c r="K101" i="264"/>
  <c r="C101" i="264"/>
  <c r="J101" i="264"/>
  <c r="B101" i="264"/>
  <c r="H101" i="264"/>
  <c r="G101" i="264"/>
  <c r="F101" i="264"/>
  <c r="Q101" i="264"/>
  <c r="P101" i="264"/>
  <c r="O101" i="264"/>
  <c r="N101" i="264"/>
  <c r="I101" i="264"/>
  <c r="J94" i="247"/>
  <c r="B94" i="247"/>
  <c r="M94" i="247"/>
  <c r="L94" i="247"/>
  <c r="C94" i="247"/>
  <c r="K94" i="247"/>
  <c r="I94" i="247"/>
  <c r="G94" i="247"/>
  <c r="D94" i="247"/>
  <c r="H94" i="247"/>
  <c r="N94" i="247"/>
  <c r="P94" i="247"/>
  <c r="F94" i="247"/>
  <c r="E94" i="247"/>
  <c r="O94" i="247"/>
  <c r="N101" i="249"/>
  <c r="F101" i="249"/>
  <c r="M101" i="249"/>
  <c r="E101" i="249"/>
  <c r="Q101" i="249"/>
  <c r="I101" i="249"/>
  <c r="P101" i="249"/>
  <c r="C101" i="249"/>
  <c r="O101" i="249"/>
  <c r="B101" i="249"/>
  <c r="D101" i="249"/>
  <c r="L101" i="249"/>
  <c r="J101" i="249"/>
  <c r="K101" i="249"/>
  <c r="H101" i="249"/>
  <c r="G101" i="249"/>
  <c r="N100" i="259"/>
  <c r="F100" i="259"/>
  <c r="M100" i="259"/>
  <c r="E100" i="259"/>
  <c r="L100" i="259"/>
  <c r="D100" i="259"/>
  <c r="S100" i="259"/>
  <c r="K100" i="259"/>
  <c r="C100" i="259"/>
  <c r="R100" i="259"/>
  <c r="J100" i="259"/>
  <c r="B100" i="259"/>
  <c r="P100" i="259"/>
  <c r="H100" i="259"/>
  <c r="O100" i="259"/>
  <c r="I100" i="259"/>
  <c r="G100" i="259"/>
  <c r="Q100" i="259"/>
  <c r="N101" i="263"/>
  <c r="F101" i="263"/>
  <c r="M101" i="263"/>
  <c r="E101" i="263"/>
  <c r="L101" i="263"/>
  <c r="D101" i="263"/>
  <c r="P101" i="263"/>
  <c r="B101" i="263"/>
  <c r="O101" i="263"/>
  <c r="K101" i="263"/>
  <c r="J101" i="263"/>
  <c r="I101" i="263"/>
  <c r="H101" i="263"/>
  <c r="G101" i="263"/>
  <c r="C101" i="263"/>
  <c r="M101" i="252"/>
  <c r="E101" i="252"/>
  <c r="L101" i="252"/>
  <c r="D101" i="252"/>
  <c r="K101" i="252"/>
  <c r="C101" i="252"/>
  <c r="N101" i="252"/>
  <c r="F101" i="252"/>
  <c r="G101" i="252"/>
  <c r="B101" i="252"/>
  <c r="P101" i="252"/>
  <c r="O101" i="252"/>
  <c r="J101" i="252"/>
  <c r="H101" i="252"/>
  <c r="I101" i="252"/>
  <c r="Q100" i="266"/>
  <c r="I100" i="266"/>
  <c r="P100" i="266"/>
  <c r="H100" i="266"/>
  <c r="O100" i="266"/>
  <c r="G100" i="266"/>
  <c r="N100" i="266"/>
  <c r="F100" i="266"/>
  <c r="M100" i="266"/>
  <c r="E100" i="266"/>
  <c r="L100" i="266"/>
  <c r="D100" i="266"/>
  <c r="K100" i="266"/>
  <c r="C100" i="266"/>
  <c r="R100" i="266"/>
  <c r="J100" i="266"/>
  <c r="B100" i="266"/>
  <c r="D7" i="7"/>
  <c r="Z13" i="7"/>
  <c r="D8" i="7"/>
  <c r="Y7" i="7"/>
  <c r="Z12" i="7"/>
  <c r="AB11" i="7"/>
  <c r="AA7" i="7"/>
  <c r="AA12" i="7"/>
  <c r="AB8" i="7"/>
  <c r="Z7" i="7"/>
  <c r="Y6" i="7"/>
  <c r="Z6" i="7"/>
  <c r="Y13" i="7"/>
  <c r="AA6" i="7"/>
  <c r="AB10" i="7"/>
  <c r="Y12" i="7"/>
  <c r="AA13" i="7"/>
  <c r="AB9" i="7"/>
  <c r="D11" i="7" l="1"/>
  <c r="AB13" i="7"/>
  <c r="AB12" i="7"/>
  <c r="AB7" i="7"/>
  <c r="AB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MOUTON, William</author>
  </authors>
  <commentList>
    <comment ref="E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Tecan.At.Common, 3.9.1.0
Tecan.At.Common.DocumentManagement, 3.9.1.0
Tecan.At.Common.DocumentManagement.Reader, 3.6.1.0
Tecan.At.Common.MCS, 3.9.1.0
Tecan.At.Common.Results, 3.9.1.0
Tecan.At.Common.UI, 3.9.1.0
Tecan.At.Communication.Common, 3.9.1.0
Tecan.At.Communication.Port.IP, 3.9.1.0
Tecan.At.Communication.Port.RS232, 3.9.1.0
Tecan.At.Communication.Port.SIM.Common, 3.9.1.0
Tecan.At.Communication.Port.USB, 3.9.1.0
Tecan.At.Communication.Server, 3.9.1.0
Tecan.At.Communication.SIM.AMR, 3.6.1.0
Tecan.At.Communication.SIM.AMRPlus, 3.6.1.0
Tecan.At.Communication.SIM.Connect, 3.9.1.0
Tecan.At.Communication.SIM.GeniosUltra, 3.6.1.0
Tecan.At.Communication.SIM.Safire3, 3.6.1.0
Tecan.At.Communication.SIM.Safire3Pro, 3.6.1.0
Tecan.At.Communication.SIM.SunriseMini, 3.6.1.0
Tecan.At.Instrument.Common, 3.9.1.0
Tecan.At.Instrument.Common.GCM, 3.9.1.0
Tecan.At.Instrument.Common.Reader, 3.6.1.0
Tecan.At.Instrument.Common.Stacker, 3.9.1.0
Tecan.At.Instrument.Gas.GCM, 3.9.1.0
Tecan.At.Instrument.GCM.Server, 3.9.1.0
Tecan.At.Instrument.Reader.AMR, 3.6.1.0
Tecan.At.Instrument.Reader.AMRPlus, 3.6.1.0
Tecan.At.Instrument.Reader.GeniosUltra, 3.6.1.0
Tecan.At.Instrument.Reader.Safire3, 3.6.1.0
Tecan.At.Instrument.Reader.Safire3Pro, 3.6.1.0
Tecan.At.Instrument.Reader.SunriseMini, 3.6.1.0
Tecan.At.Instrument.Server, 3.9.1.0
Tecan.At.Instrument.Stacker.Connect, 3.9.1.0
Tecan.At.Instrument.Stacker.Server, 3.9.1.0
Tecan.At.Measurement.BuiltInTest.Common, 3.6.1.0
Tecan.At.Measurement.Common, 3.6.1.0
Tecan.At.Measurement.Server, 3.6.1.0
Tecan.At.XFluor, 2.0.10.0
Tecan.At.XFluor.Connect.Reader, 2.0.10.0
Tecan.At.XFluor.Core, 2.0.10.0
Tecan.At.XFluor.Device, 2.0.10.0
Tecan.At.XFluor.Device.AMR, 2.0.10.0
Tecan.At.XFluor.Device.AMRPlus, 2.0.10.0
Tecan.At.XFluor.Device.GeniosUltra, 2.0.10.0
Tecan.At.XFluor.Device.Reader, 2.0.10.0
Tecan.At.XFluor.Device.Safire3, 2.0.10.0
Tecan.At.XFluor.Device.Safire3Pro, 2.0.10.0
Tecan.At.XFluor.Device.SunriseMini, 2.0.10.0
Tecan.At.XFluor.ExcelOutput, 2.0.10.0
Tecan.At.XFluor.NanoQuant, 2.0.10.0
Tecan.At.XFluor.ReaderEditor, 2.0.10.0
</t>
        </r>
      </text>
    </comment>
    <comment ref="E3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EHC, V_5.26_10/17_InfiniteRX (Oct 19 2017/13.54.43)
MTP, V_5.26_10/17_InfiniteRX (Oct 19 2017/13.54.43)
HCP, V_5.26_10/17_InfiniteRX (Oct 19 2017/13.54.43)
MEM, V_3.00_09/11_MCR (Sep 27 2011/15.05.45)
MEX, V_3.00_09/11_MCR (Sep 27 2011/15.05.10)
ZSCAN, V_5.26_10/17_InfiniteRX (Oct 19 2017/13.54.43)
</t>
        </r>
      </text>
    </comment>
  </commentList>
</comments>
</file>

<file path=xl/sharedStrings.xml><?xml version="1.0" encoding="utf-8"?>
<sst xmlns="http://schemas.openxmlformats.org/spreadsheetml/2006/main" count="2309" uniqueCount="501">
  <si>
    <t>Application: Tecan i-control</t>
  </si>
  <si>
    <t>Tecan i-control , 2.0.10.0</t>
  </si>
  <si>
    <t>Device: infinite 200Pro</t>
  </si>
  <si>
    <t>Serial number: 1710002559</t>
  </si>
  <si>
    <t>Serial number of connected stacker:</t>
  </si>
  <si>
    <t>Firmware: V_5.26_10/17_InfiniteRX (Oct 19 2017/13.54.43)</t>
  </si>
  <si>
    <t>MAI, V_5.26_10/17_InfiniteRX (Oct 19 2017/13.54.43)</t>
  </si>
  <si>
    <t>Date:</t>
  </si>
  <si>
    <t>Time:</t>
  </si>
  <si>
    <t>System</t>
  </si>
  <si>
    <t>CR103095</t>
  </si>
  <si>
    <t>User</t>
  </si>
  <si>
    <t>CHU-LYON\moutonwi</t>
  </si>
  <si>
    <t>Plate</t>
  </si>
  <si>
    <t>Greiner 96 Flat Bottom Transparent Polystyrene Cat. No.: 655101/655161/655192 [GRE96ft.pdfx]</t>
  </si>
  <si>
    <t>Plate-ID (Stacker)</t>
  </si>
  <si>
    <t>Wait (Plate)</t>
  </si>
  <si>
    <t>On</t>
  </si>
  <si>
    <t>Target Temperature: 37 °C</t>
  </si>
  <si>
    <t>Wait (Plate Temperature)</t>
  </si>
  <si>
    <t>Valid Range: 36.5 - 37.5 °C</t>
  </si>
  <si>
    <t>List of actions in this measurement script:</t>
  </si>
  <si>
    <t>Kinetic</t>
  </si>
  <si>
    <t>Shaking (Orbital) Duration:</t>
  </si>
  <si>
    <t>s</t>
  </si>
  <si>
    <t>Shaking (Orbital) Amplitude:</t>
  </si>
  <si>
    <t>mm</t>
  </si>
  <si>
    <t>Absorbance</t>
  </si>
  <si>
    <t>Label: Label1</t>
  </si>
  <si>
    <t>Kinetic Measurement</t>
  </si>
  <si>
    <t>Kinetic Cycles</t>
  </si>
  <si>
    <t>Interval Time</t>
  </si>
  <si>
    <t>Measurement Wavelength</t>
  </si>
  <si>
    <t>nm</t>
  </si>
  <si>
    <t>Bandwidth</t>
  </si>
  <si>
    <t>Number of Flashes</t>
  </si>
  <si>
    <t>Settle Time</t>
  </si>
  <si>
    <t>ms</t>
  </si>
  <si>
    <t>Start Time:</t>
  </si>
  <si>
    <t>Cycle Nr.</t>
  </si>
  <si>
    <t>Time [s]</t>
  </si>
  <si>
    <t>Temp. [°C]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</si>
  <si>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</si>
  <si>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</si>
  <si>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</si>
  <si>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</si>
  <si>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</si>
  <si>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</si>
  <si>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</si>
  <si>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</si>
  <si>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</si>
  <si>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</si>
  <si>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</si>
  <si>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</si>
  <si>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</si>
  <si>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</si>
  <si>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</si>
  <si>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</si>
  <si>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</si>
  <si>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</si>
  <si>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</si>
  <si>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</si>
  <si>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</si>
  <si>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</si>
  <si>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</si>
  <si>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</si>
  <si>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</si>
  <si>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</si>
  <si>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</si>
  <si>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</si>
  <si>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</si>
  <si>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</si>
  <si>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</si>
  <si>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</si>
  <si>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</si>
  <si>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</si>
  <si>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</si>
  <si>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</si>
  <si>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</si>
  <si>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</si>
  <si>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</si>
  <si>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</si>
  <si>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</si>
  <si>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</si>
  <si>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</si>
  <si>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</si>
  <si>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</si>
  <si>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</si>
  <si>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</si>
  <si>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</si>
  <si>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</si>
  <si>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</si>
  <si>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</si>
  <si>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</si>
  <si>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</si>
  <si>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</si>
  <si>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</si>
  <si>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</si>
  <si>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</si>
  <si>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</si>
  <si>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</si>
  <si>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</si>
  <si>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</si>
  <si>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</si>
  <si>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</si>
  <si>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</si>
  <si>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</si>
  <si>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</si>
  <si>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</si>
  <si>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</si>
  <si>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</si>
  <si>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</si>
  <si>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</si>
  <si>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</si>
  <si>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</si>
  <si>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</si>
  <si>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</si>
  <si>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</si>
  <si>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</si>
  <si>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</si>
  <si>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</si>
  <si>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</si>
  <si>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</si>
  <si>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</si>
  <si>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</si>
  <si>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</si>
  <si>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</si>
  <si>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</si>
  <si>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</si>
  <si>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</si>
  <si>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</si>
  <si>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</si>
  <si>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</si>
  <si>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</si>
  <si>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</si>
  <si>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</si>
  <si>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</si>
  <si>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</si>
  <si>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End Time:</t>
  </si>
  <si>
    <t>A</t>
  </si>
  <si>
    <t>B</t>
  </si>
  <si>
    <t>C</t>
  </si>
  <si>
    <t>D</t>
  </si>
  <si>
    <t>E</t>
  </si>
  <si>
    <t>F</t>
  </si>
  <si>
    <t>G</t>
  </si>
  <si>
    <t>H</t>
  </si>
  <si>
    <t>type 1</t>
  </si>
  <si>
    <t>type 2</t>
  </si>
  <si>
    <t>W1</t>
  </si>
  <si>
    <t>W2</t>
  </si>
  <si>
    <t>W3</t>
  </si>
  <si>
    <t>type 3</t>
  </si>
  <si>
    <t>W4</t>
  </si>
  <si>
    <t>type 4</t>
  </si>
  <si>
    <t>white border definition</t>
  </si>
  <si>
    <t>white inner application</t>
  </si>
  <si>
    <t>Data sheet name</t>
  </si>
  <si>
    <t>Number of cycles</t>
  </si>
  <si>
    <t>Data</t>
  </si>
  <si>
    <t>type</t>
  </si>
  <si>
    <t>nb</t>
  </si>
  <si>
    <t>average</t>
  </si>
  <si>
    <t>min</t>
  </si>
  <si>
    <t>max</t>
  </si>
  <si>
    <t>Data last line @</t>
  </si>
  <si>
    <t>std dev</t>
  </si>
  <si>
    <t>experimental plan definition</t>
  </si>
  <si>
    <t>Condition name</t>
  </si>
  <si>
    <t>C13</t>
  </si>
  <si>
    <t>C14</t>
  </si>
  <si>
    <t>C15</t>
  </si>
  <si>
    <t>ID</t>
  </si>
  <si>
    <t>general configuration</t>
  </si>
  <si>
    <t>C16</t>
  </si>
  <si>
    <t>C17</t>
  </si>
  <si>
    <t>C18</t>
  </si>
  <si>
    <t>C24</t>
  </si>
  <si>
    <t>C26</t>
  </si>
  <si>
    <t>C25</t>
  </si>
  <si>
    <t>C19</t>
  </si>
  <si>
    <t>C20</t>
  </si>
  <si>
    <t>C21</t>
  </si>
  <si>
    <t>C22</t>
  </si>
  <si>
    <t>C23</t>
  </si>
  <si>
    <t>C27</t>
  </si>
  <si>
    <t>C28</t>
  </si>
  <si>
    <t>Data first line @</t>
  </si>
  <si>
    <t>W5</t>
  </si>
  <si>
    <t>W6</t>
  </si>
  <si>
    <t>type 5</t>
  </si>
  <si>
    <t>W7</t>
  </si>
  <si>
    <t>type 6</t>
  </si>
  <si>
    <t>W8</t>
  </si>
  <si>
    <t>type 7</t>
  </si>
  <si>
    <t>type 8</t>
  </si>
  <si>
    <t>T° Mini</t>
  </si>
  <si>
    <t>T° Maxi</t>
  </si>
  <si>
    <t>Temperature ?</t>
  </si>
  <si>
    <t>T growth mini (s)</t>
  </si>
  <si>
    <t>Index</t>
  </si>
  <si>
    <t>X-Axis</t>
  </si>
  <si>
    <t>Condition</t>
  </si>
  <si>
    <t>Well</t>
  </si>
  <si>
    <t>T x2 (min)</t>
  </si>
  <si>
    <t>R2 of fit</t>
  </si>
  <si>
    <t>Time</t>
  </si>
  <si>
    <t>Raw B2</t>
  </si>
  <si>
    <t>Raw B3</t>
  </si>
  <si>
    <t>White @ A1</t>
  </si>
  <si>
    <t>White @ A2</t>
  </si>
  <si>
    <t>White @ A3</t>
  </si>
  <si>
    <t>White @ A4</t>
  </si>
  <si>
    <t>White @ A5</t>
  </si>
  <si>
    <t>White @ A6</t>
  </si>
  <si>
    <t>White @ A7</t>
  </si>
  <si>
    <t>White @ A8</t>
  </si>
  <si>
    <t>White @ A9</t>
  </si>
  <si>
    <t>White @ A10</t>
  </si>
  <si>
    <t>White @ A11</t>
  </si>
  <si>
    <t>White @ A12</t>
  </si>
  <si>
    <t>White @ B1</t>
  </si>
  <si>
    <t>White @ B12</t>
  </si>
  <si>
    <t>White @ C1</t>
  </si>
  <si>
    <t>White @ C12</t>
  </si>
  <si>
    <t>White @ D1</t>
  </si>
  <si>
    <t>White @ D12</t>
  </si>
  <si>
    <t>White @ E1</t>
  </si>
  <si>
    <t>White @ E12</t>
  </si>
  <si>
    <t>White @ F1</t>
  </si>
  <si>
    <t>White @ F12</t>
  </si>
  <si>
    <t>White @ G1</t>
  </si>
  <si>
    <t>White @ G12</t>
  </si>
  <si>
    <t>White @ H1</t>
  </si>
  <si>
    <t>White @ H2</t>
  </si>
  <si>
    <t>White @ H3</t>
  </si>
  <si>
    <t>White @ H4</t>
  </si>
  <si>
    <t>White @ H5</t>
  </si>
  <si>
    <t>White @ H6</t>
  </si>
  <si>
    <t>White @ H7</t>
  </si>
  <si>
    <t>White @ H8</t>
  </si>
  <si>
    <t>White @ H9</t>
  </si>
  <si>
    <t>White @ H10</t>
  </si>
  <si>
    <t>White @ H11</t>
  </si>
  <si>
    <t>White @ H12</t>
  </si>
  <si>
    <t>B2 (-W1)</t>
  </si>
  <si>
    <t>B3 (-W1)</t>
  </si>
  <si>
    <t>B2 prog R2</t>
  </si>
  <si>
    <t>B3 prog R2</t>
  </si>
  <si>
    <t>y = b * m^t</t>
  </si>
  <si>
    <t>m</t>
  </si>
  <si>
    <t>std err(m)</t>
  </si>
  <si>
    <t>R2</t>
  </si>
  <si>
    <t>F stat</t>
  </si>
  <si>
    <t>sum2 regress.</t>
  </si>
  <si>
    <t>b</t>
  </si>
  <si>
    <t>std err(b)</t>
  </si>
  <si>
    <t>std err(y)</t>
  </si>
  <si>
    <t>deg. freedom</t>
  </si>
  <si>
    <t>sum2 resid.</t>
  </si>
  <si>
    <t>mu</t>
  </si>
  <si>
    <t>T x2 (s)</t>
  </si>
  <si>
    <t>B2 (model)</t>
  </si>
  <si>
    <t>B3 (model)</t>
  </si>
  <si>
    <t>1077std-BHI</t>
  </si>
  <si>
    <t>1077std-V1</t>
  </si>
  <si>
    <t>1077std-V0,5</t>
  </si>
  <si>
    <t>1077std-V0,25</t>
  </si>
  <si>
    <t>1077std-V0,125</t>
  </si>
  <si>
    <t>1077std-V0,06</t>
  </si>
  <si>
    <t>1077std-V0,03</t>
  </si>
  <si>
    <t>1077V24-BHI</t>
  </si>
  <si>
    <t>1077V24-V1</t>
  </si>
  <si>
    <t>1077V24-V0,5</t>
  </si>
  <si>
    <t>1077V24-V0,25</t>
  </si>
  <si>
    <t>1077V24-V0,125</t>
  </si>
  <si>
    <t>1077V24-V0,06</t>
  </si>
  <si>
    <t>1077V24-V0,03</t>
  </si>
  <si>
    <t>1077V16-BHI</t>
  </si>
  <si>
    <t>1077V16-V1</t>
  </si>
  <si>
    <t>1077V16-V0,5</t>
  </si>
  <si>
    <t>1077V16-V0,25</t>
  </si>
  <si>
    <t>1077V16-V0,125</t>
  </si>
  <si>
    <t>1077V16-V0,06</t>
  </si>
  <si>
    <t>1077V16-V0,03</t>
  </si>
  <si>
    <t>Raw B4</t>
  </si>
  <si>
    <t>B4 (-W1)</t>
  </si>
  <si>
    <t>B4 prog R2</t>
  </si>
  <si>
    <t>B4 (model)</t>
  </si>
  <si>
    <t>Raw B9</t>
  </si>
  <si>
    <t>B9 (-W1)</t>
  </si>
  <si>
    <t>B9 prog R2</t>
  </si>
  <si>
    <t>B9 (model)</t>
  </si>
  <si>
    <t>Raw C2</t>
  </si>
  <si>
    <t>Raw C3</t>
  </si>
  <si>
    <t>Raw C4</t>
  </si>
  <si>
    <t>C2 (-W1)</t>
  </si>
  <si>
    <t>C3 (-W1)</t>
  </si>
  <si>
    <t>C4 (-W1)</t>
  </si>
  <si>
    <t>C2 prog R2</t>
  </si>
  <si>
    <t>C3 prog R2</t>
  </si>
  <si>
    <t>C4 prog R2</t>
  </si>
  <si>
    <t>C2 (model)</t>
  </si>
  <si>
    <t>C3 (model)</t>
  </si>
  <si>
    <t>C4 (model)</t>
  </si>
  <si>
    <t>Raw C5</t>
  </si>
  <si>
    <t>Raw C6</t>
  </si>
  <si>
    <t>Raw C7</t>
  </si>
  <si>
    <t>C5 (-W1)</t>
  </si>
  <si>
    <t>C6 (-W1)</t>
  </si>
  <si>
    <t>C7 (-W1)</t>
  </si>
  <si>
    <t>C5 prog R2</t>
  </si>
  <si>
    <t>C6 prog R2</t>
  </si>
  <si>
    <t>C7 prog R2</t>
  </si>
  <si>
    <t>C5 (model)</t>
  </si>
  <si>
    <t>C6 (model)</t>
  </si>
  <si>
    <t>C7 (model)</t>
  </si>
  <si>
    <t>Raw C8</t>
  </si>
  <si>
    <t>Raw C9</t>
  </si>
  <si>
    <t>Raw C10</t>
  </si>
  <si>
    <t>C8 (-W1)</t>
  </si>
  <si>
    <t>C9 (-W1)</t>
  </si>
  <si>
    <t>C10 (-W1)</t>
  </si>
  <si>
    <t>C8 prog R2</t>
  </si>
  <si>
    <t>C9 prog R2</t>
  </si>
  <si>
    <t>C10 prog R2</t>
  </si>
  <si>
    <t>C8 (model)</t>
  </si>
  <si>
    <t>C9 (model)</t>
  </si>
  <si>
    <t>C10 (model)</t>
  </si>
  <si>
    <t>Raw D2</t>
  </si>
  <si>
    <t>Raw D3</t>
  </si>
  <si>
    <t>Raw D4</t>
  </si>
  <si>
    <t>D2 (-W1)</t>
  </si>
  <si>
    <t>D3 (-W1)</t>
  </si>
  <si>
    <t>D4 (-W1)</t>
  </si>
  <si>
    <t>D2 prog R2</t>
  </si>
  <si>
    <t>D3 prog R2</t>
  </si>
  <si>
    <t>D4 prog R2</t>
  </si>
  <si>
    <t>D2 (model)</t>
  </si>
  <si>
    <t>D3 (model)</t>
  </si>
  <si>
    <t>D4 (model)</t>
  </si>
  <si>
    <t>Raw B10</t>
  </si>
  <si>
    <t>Raw B11</t>
  </si>
  <si>
    <t>B10 (-W1)</t>
  </si>
  <si>
    <t>B11 (-W1)</t>
  </si>
  <si>
    <t>B10 prog R2</t>
  </si>
  <si>
    <t>B11 prog R2</t>
  </si>
  <si>
    <t>B10 (model)</t>
  </si>
  <si>
    <t>B11 (model)</t>
  </si>
  <si>
    <t>Raw D5</t>
  </si>
  <si>
    <t>Raw D6</t>
  </si>
  <si>
    <t>Raw D7</t>
  </si>
  <si>
    <t>D5 (-W1)</t>
  </si>
  <si>
    <t>D6 (-W1)</t>
  </si>
  <si>
    <t>D7 (-W1)</t>
  </si>
  <si>
    <t>D5 prog R2</t>
  </si>
  <si>
    <t>D6 prog R2</t>
  </si>
  <si>
    <t>D7 prog R2</t>
  </si>
  <si>
    <t>D5 (model)</t>
  </si>
  <si>
    <t>D6 (model)</t>
  </si>
  <si>
    <t>D7 (model)</t>
  </si>
  <si>
    <t>Raw D8</t>
  </si>
  <si>
    <t>Raw D9</t>
  </si>
  <si>
    <t>Raw D10</t>
  </si>
  <si>
    <t>D8 (-W1)</t>
  </si>
  <si>
    <t>D9 (-W1)</t>
  </si>
  <si>
    <t>D10 (-W1)</t>
  </si>
  <si>
    <t>D8 prog R2</t>
  </si>
  <si>
    <t>D9 prog R2</t>
  </si>
  <si>
    <t>D10 prog R2</t>
  </si>
  <si>
    <t>D8 (model)</t>
  </si>
  <si>
    <t>D9 (model)</t>
  </si>
  <si>
    <t>D10 (model)</t>
  </si>
  <si>
    <t>Raw E2</t>
  </si>
  <si>
    <t>Raw E3</t>
  </si>
  <si>
    <t>Raw E4</t>
  </si>
  <si>
    <t>E2 (-W1)</t>
  </si>
  <si>
    <t>E3 (-W1)</t>
  </si>
  <si>
    <t>E4 (-W1)</t>
  </si>
  <si>
    <t>E2 prog R2</t>
  </si>
  <si>
    <t>E3 prog R2</t>
  </si>
  <si>
    <t>E4 prog R2</t>
  </si>
  <si>
    <t>E2 (model)</t>
  </si>
  <si>
    <t>E3 (model)</t>
  </si>
  <si>
    <t>E4 (model)</t>
  </si>
  <si>
    <t>Raw E5</t>
  </si>
  <si>
    <t>Raw E6</t>
  </si>
  <si>
    <t>Raw E7</t>
  </si>
  <si>
    <t>E5 (-W1)</t>
  </si>
  <si>
    <t>E6 (-W1)</t>
  </si>
  <si>
    <t>E7 (-W1)</t>
  </si>
  <si>
    <t>E5 prog R2</t>
  </si>
  <si>
    <t>E6 prog R2</t>
  </si>
  <si>
    <t>E7 prog R2</t>
  </si>
  <si>
    <t>E5 (model)</t>
  </si>
  <si>
    <t>E6 (model)</t>
  </si>
  <si>
    <t>E7 (model)</t>
  </si>
  <si>
    <t>Raw E8</t>
  </si>
  <si>
    <t>Raw E9</t>
  </si>
  <si>
    <t>Raw E10</t>
  </si>
  <si>
    <t>E8 (-W1)</t>
  </si>
  <si>
    <t>E9 (-W1)</t>
  </si>
  <si>
    <t>E10 (-W1)</t>
  </si>
  <si>
    <t>E8 prog R2</t>
  </si>
  <si>
    <t>E9 prog R2</t>
  </si>
  <si>
    <t>E10 prog R2</t>
  </si>
  <si>
    <t>E8 (model)</t>
  </si>
  <si>
    <t>E9 (model)</t>
  </si>
  <si>
    <t>E10 (model)</t>
  </si>
  <si>
    <t>Raw F2</t>
  </si>
  <si>
    <t>Raw F3</t>
  </si>
  <si>
    <t>Raw F4</t>
  </si>
  <si>
    <t>F2 (-W1)</t>
  </si>
  <si>
    <t>F3 (-W1)</t>
  </si>
  <si>
    <t>F4 (-W1)</t>
  </si>
  <si>
    <t>F2 prog R2</t>
  </si>
  <si>
    <t>F3 prog R2</t>
  </si>
  <si>
    <t>F4 prog R2</t>
  </si>
  <si>
    <t>F2 (model)</t>
  </si>
  <si>
    <t>F3 (model)</t>
  </si>
  <si>
    <t>F4 (model)</t>
  </si>
  <si>
    <t>Raw C11</t>
  </si>
  <si>
    <t>Raw D11</t>
  </si>
  <si>
    <t>C11 (-W1)</t>
  </si>
  <si>
    <t>D11 (-W1)</t>
  </si>
  <si>
    <t>C11 prog R2</t>
  </si>
  <si>
    <t>D11 prog R2</t>
  </si>
  <si>
    <t>C11 (model)</t>
  </si>
  <si>
    <t>D11 (model)</t>
  </si>
  <si>
    <t>Raw F5</t>
  </si>
  <si>
    <t>Raw F6</t>
  </si>
  <si>
    <t>Raw F7</t>
  </si>
  <si>
    <t>F5 (-W1)</t>
  </si>
  <si>
    <t>F6 (-W1)</t>
  </si>
  <si>
    <t>F7 (-W1)</t>
  </si>
  <si>
    <t>F5 prog R2</t>
  </si>
  <si>
    <t>F6 prog R2</t>
  </si>
  <si>
    <t>F7 prog R2</t>
  </si>
  <si>
    <t>F5 (model)</t>
  </si>
  <si>
    <t>F6 (model)</t>
  </si>
  <si>
    <t>F7 (model)</t>
  </si>
  <si>
    <t>Raw F8</t>
  </si>
  <si>
    <t>Raw F9</t>
  </si>
  <si>
    <t>Raw F10</t>
  </si>
  <si>
    <t>F8 (-W1)</t>
  </si>
  <si>
    <t>F9 (-W1)</t>
  </si>
  <si>
    <t>F10 (-W1)</t>
  </si>
  <si>
    <t>F8 prog R2</t>
  </si>
  <si>
    <t>F9 prog R2</t>
  </si>
  <si>
    <t>F10 prog R2</t>
  </si>
  <si>
    <t>F8 (model)</t>
  </si>
  <si>
    <t>F9 (model)</t>
  </si>
  <si>
    <t>F10 (model)</t>
  </si>
  <si>
    <t>Raw G2</t>
  </si>
  <si>
    <t>Raw G3</t>
  </si>
  <si>
    <t>Raw G4</t>
  </si>
  <si>
    <t>G2 (-W1)</t>
  </si>
  <si>
    <t>G3 (-W1)</t>
  </si>
  <si>
    <t>G4 (-W1)</t>
  </si>
  <si>
    <t>G2 prog R2</t>
  </si>
  <si>
    <t>G3 prog R2</t>
  </si>
  <si>
    <t>G4 prog R2</t>
  </si>
  <si>
    <t>G2 (model)</t>
  </si>
  <si>
    <t>G3 (model)</t>
  </si>
  <si>
    <t>G4 (model)</t>
  </si>
  <si>
    <t>Raw G5</t>
  </si>
  <si>
    <t>Raw G6</t>
  </si>
  <si>
    <t>Raw G7</t>
  </si>
  <si>
    <t>G5 (-W1)</t>
  </si>
  <si>
    <t>G6 (-W1)</t>
  </si>
  <si>
    <t>G7 (-W1)</t>
  </si>
  <si>
    <t>G5 prog R2</t>
  </si>
  <si>
    <t>G6 prog R2</t>
  </si>
  <si>
    <t>G7 prog R2</t>
  </si>
  <si>
    <t>G5 (model)</t>
  </si>
  <si>
    <t>G6 (model)</t>
  </si>
  <si>
    <t>G7 (model)</t>
  </si>
  <si>
    <t>Raw G8</t>
  </si>
  <si>
    <t>Raw G9</t>
  </si>
  <si>
    <t>Raw G10</t>
  </si>
  <si>
    <t>G8 (-W1)</t>
  </si>
  <si>
    <t>G9 (-W1)</t>
  </si>
  <si>
    <t>G10 (-W1)</t>
  </si>
  <si>
    <t>G8 prog R2</t>
  </si>
  <si>
    <t>G9 prog R2</t>
  </si>
  <si>
    <t>G10 prog R2</t>
  </si>
  <si>
    <t>G8 (model)</t>
  </si>
  <si>
    <t>G9 (model)</t>
  </si>
  <si>
    <t>G10 (model)</t>
  </si>
  <si>
    <t>Raw E11</t>
  </si>
  <si>
    <t>Raw F11</t>
  </si>
  <si>
    <t>Raw G11</t>
  </si>
  <si>
    <t>E11 (-W1)</t>
  </si>
  <si>
    <t>F11 (-W1)</t>
  </si>
  <si>
    <t>G11 (-W1)</t>
  </si>
  <si>
    <t>E11 prog R2</t>
  </si>
  <si>
    <t>F11 prog R2</t>
  </si>
  <si>
    <t>G11 prog R2</t>
  </si>
  <si>
    <t>E11 (model)</t>
  </si>
  <si>
    <t>F11 (model)</t>
  </si>
  <si>
    <t>G11 (model)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</si>
</sst>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"/>
  </numFmts>
  <fonts count="20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Calibri"/>
      <family val="2"/>
    </font>
    <font>
      <b/>
      <sz val="11"/>
      <color indexed="48"/>
      <name val="Calibri"/>
      <family val="2"/>
      <scheme val="minor"/>
    </font>
    <font>
      <b/>
      <sz val="11"/>
      <color indexed="21"/>
      <name val="Calibri"/>
      <family val="2"/>
      <scheme val="minor"/>
    </font>
    <font>
      <i/>
      <sz val="11"/>
      <color indexed="48"/>
      <name val="Calibri"/>
      <family val="2"/>
      <scheme val="minor"/>
    </font>
    <font>
      <i/>
      <sz val="11"/>
      <color indexed="21"/>
      <name val="Calibri"/>
      <family val="2"/>
      <scheme val="minor"/>
    </font>
    <font>
      <b/>
      <sz val="11"/>
      <color indexed="53"/>
      <name val="Calibri"/>
      <family val="2"/>
      <scheme val="minor"/>
    </font>
    <font>
      <sz val="16"/>
      <color rgb="FF000000"/>
      <name val="Lucida Grande"/>
      <family val="2"/>
    </font>
    <font>
      <i/>
      <sz val="11"/>
      <color indexed="5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6FF"/>
        <bgColor indexed="64"/>
      </patternFill>
    </fill>
    <fill>
      <patternFill patternType="solid">
        <fgColor rgb="FFCFEEFA"/>
        <bgColor indexed="64"/>
      </patternFill>
    </fill>
    <fill>
      <patternFill patternType="solid">
        <fgColor rgb="FF6AF5F5"/>
        <bgColor indexed="64"/>
      </patternFill>
    </fill>
    <fill>
      <patternFill patternType="solid">
        <fgColor rgb="FF2EA5F0"/>
        <bgColor indexed="64"/>
      </patternFill>
    </fill>
    <fill>
      <patternFill patternType="solid">
        <fgColor rgb="FF5147EB"/>
        <bgColor indexed="64"/>
      </patternFill>
    </fill>
    <fill>
      <patternFill patternType="solid">
        <fgColor rgb="FFB431E6"/>
        <bgColor indexed="64"/>
      </patternFill>
    </fill>
    <fill>
      <patternFill patternType="solid">
        <fgColor rgb="FFFB79E1"/>
        <bgColor indexed="64"/>
      </patternFill>
    </fill>
    <fill>
      <patternFill patternType="solid">
        <fgColor rgb="FFE5DBDC"/>
        <bgColor indexed="64"/>
      </patternFill>
    </fill>
    <fill>
      <patternFill patternType="solid">
        <fgColor rgb="FF87FED7"/>
        <bgColor indexed="64"/>
      </patternFill>
    </fill>
    <fill>
      <patternFill patternType="solid">
        <fgColor rgb="FF36C1D2"/>
        <bgColor indexed="64"/>
      </patternFill>
    </fill>
    <fill>
      <patternFill patternType="solid">
        <fgColor rgb="FF3E5DCD"/>
        <bgColor indexed="64"/>
      </patternFill>
    </fill>
    <fill>
      <patternFill patternType="solid">
        <fgColor rgb="FF962DC8"/>
        <bgColor indexed="64"/>
      </patternFill>
    </fill>
    <fill>
      <patternFill patternType="solid">
        <fgColor rgb="FFEF5EC3"/>
        <bgColor indexed="64"/>
      </patternFill>
    </fill>
    <fill>
      <patternFill patternType="solid">
        <fgColor rgb="FFF5C2BE"/>
        <bgColor indexed="64"/>
      </patternFill>
    </fill>
    <fill>
      <patternFill patternType="solid">
        <fgColor rgb="FFA4FEB9"/>
        <bgColor indexed="64"/>
      </patternFill>
    </fill>
    <fill>
      <patternFill patternType="solid">
        <fgColor rgb="FF46DAB4"/>
        <bgColor indexed="64"/>
      </patternFill>
    </fill>
    <fill>
      <patternFill patternType="solid">
        <fgColor rgb="FF3178AF"/>
        <bgColor indexed="64"/>
      </patternFill>
    </fill>
    <fill>
      <patternFill patternType="solid">
        <fgColor rgb="FF7931AA"/>
        <bgColor indexed="64"/>
      </patternFill>
    </fill>
    <fill>
      <patternFill patternType="solid">
        <fgColor rgb="FFDB47A5"/>
        <bgColor indexed="64"/>
      </patternFill>
    </fill>
    <fill>
      <patternFill patternType="solid">
        <fgColor rgb="FFFEA6A0"/>
        <bgColor indexed="64"/>
      </patternFill>
    </fill>
    <fill>
      <patternFill patternType="solid">
        <fgColor rgb="FFC1F69B"/>
        <bgColor indexed="64"/>
      </patternFill>
    </fill>
    <fill>
      <patternFill patternType="solid">
        <fgColor rgb="FF5CEE96"/>
        <bgColor indexed="64"/>
      </patternFill>
    </fill>
    <fill>
      <patternFill patternType="solid">
        <fgColor rgb="FF2D9591"/>
        <bgColor indexed="64"/>
      </patternFill>
    </fill>
    <fill>
      <patternFill patternType="solid">
        <fgColor rgb="FF5E3D8C"/>
        <bgColor indexed="64"/>
      </patternFill>
    </fill>
    <fill>
      <patternFill patternType="solid">
        <fgColor rgb="FFC33787"/>
        <bgColor indexed="64"/>
      </patternFill>
    </fill>
    <fill>
      <patternFill patternType="solid">
        <fgColor rgb="FFFE8882"/>
        <bgColor indexed="64"/>
      </patternFill>
    </fill>
    <fill>
      <patternFill patternType="solid">
        <fgColor rgb="FFDAE67D"/>
        <bgColor indexed="64"/>
      </patternFill>
    </fill>
    <fill>
      <patternFill patternType="solid">
        <fgColor rgb="FF77FA78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CCC0DA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6" tint="0.39997558519241921"/>
        <bgColor rgb="FF000000"/>
      </patternFill>
    </fill>
    <fill>
      <patternFill patternType="solid">
        <fgColor theme="2" tint="-0.499984740745262"/>
        <bgColor rgb="FF000000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ADFF2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3E5DCD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36C1D2"/>
        <bgColor rgb="FF000000"/>
      </patternFill>
    </fill>
    <fill>
      <patternFill patternType="solid">
        <fgColor rgb="FF87FED7"/>
        <bgColor rgb="FF000000"/>
      </patternFill>
    </fill>
    <fill>
      <patternFill patternType="solid">
        <fgColor indexed="31"/>
        <bgColor indexed="64"/>
      </patternFill>
    </fill>
  </fills>
  <borders count="32">
    <border>
      <left/>
      <right/>
      <top/>
      <bottom/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 style="thin">
        <color theme="9" tint="0.59999389629810485"/>
      </left>
      <right/>
      <top/>
      <bottom style="thin">
        <color theme="9" tint="0.79998168889431442"/>
      </bottom>
      <diagonal/>
    </border>
    <border>
      <left/>
      <right/>
      <top/>
      <bottom style="thin">
        <color theme="9" tint="0.59999389629810485"/>
      </bottom>
      <diagonal/>
    </border>
    <border>
      <left/>
      <right/>
      <top/>
      <bottom style="thin">
        <color theme="9" tint="0.79998168889431442"/>
      </bottom>
      <diagonal/>
    </border>
    <border>
      <left/>
      <right/>
      <top style="thin">
        <color theme="9" tint="0.79998168889431442"/>
      </top>
      <bottom/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/>
    </border>
    <border>
      <left style="thin">
        <color rgb="FFCCC0DA"/>
      </left>
      <right style="thin">
        <color rgb="FFCCC0DA"/>
      </right>
      <top style="thin">
        <color rgb="FFCCC0DA"/>
      </top>
      <bottom style="thin">
        <color rgb="FFCCC0DA"/>
      </bottom>
      <diagonal/>
    </border>
    <border>
      <left/>
      <right style="thin">
        <color rgb="FFCCC0DA"/>
      </right>
      <top style="thin">
        <color rgb="FFCCC0DA"/>
      </top>
      <bottom style="thin">
        <color rgb="FFCCC0DA"/>
      </bottom>
      <diagonal/>
    </border>
    <border>
      <left/>
      <right style="thin">
        <color rgb="FFFCD5B4"/>
      </right>
      <top style="thin">
        <color rgb="FFFCD5B4"/>
      </top>
      <bottom/>
      <diagonal/>
    </border>
    <border>
      <left/>
      <right/>
      <top/>
      <bottom style="medium">
        <color rgb="FF808080"/>
      </bottom>
      <diagonal/>
    </border>
    <border>
      <left style="thin">
        <color rgb="FFD8E4BC"/>
      </left>
      <right style="thin">
        <color rgb="FFD8E4BC"/>
      </right>
      <top style="thin">
        <color rgb="FFD8E4BC"/>
      </top>
      <bottom style="thin">
        <color rgb="FFD8E4BC"/>
      </bottom>
      <diagonal/>
    </border>
    <border>
      <left/>
      <right style="thin">
        <color rgb="FFFCD5B4"/>
      </right>
      <top style="thin">
        <color rgb="FFFCD5B4"/>
      </top>
      <bottom style="thin">
        <color rgb="FFFCD5B4"/>
      </bottom>
      <diagonal/>
    </border>
    <border>
      <left/>
      <right style="thin">
        <color rgb="FFFCD5B4"/>
      </right>
      <top/>
      <bottom style="thin">
        <color rgb="FFFCD5B4"/>
      </bottom>
      <diagonal/>
    </border>
    <border>
      <left style="thin">
        <color rgb="FFE6B8B7"/>
      </left>
      <right style="thin">
        <color rgb="FFE6B8B7"/>
      </right>
      <top style="thin">
        <color rgb="FFE6B8B7"/>
      </top>
      <bottom style="thin">
        <color rgb="FFE6B8B7"/>
      </bottom>
      <diagonal/>
    </border>
    <border>
      <left/>
      <right style="thin">
        <color rgb="FFE6B8B7"/>
      </right>
      <top style="thin">
        <color rgb="FFE6B8B7"/>
      </top>
      <bottom style="thin">
        <color rgb="FFE6B8B7"/>
      </bottom>
      <diagonal/>
    </border>
  </borders>
  <cellStyleXfs count="300">
    <xf numFmtId="0" fontId="0" fillId="0" borderId="0"/>
    <xf numFmtId="0" fontId="1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70">
    <xf numFmtId="0" fontId="0" fillId="0" borderId="0" xfId="0"/>
    <xf numFmtId="0" fontId="1" fillId="9" borderId="0" xfId="0" applyFont="1" applyFill="1"/>
    <xf numFmtId="0" fontId="0" fillId="0" borderId="0" xfId="0" applyAlignment="1">
      <alignment horizontal="center"/>
    </xf>
    <xf numFmtId="0" fontId="5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7" fillId="10" borderId="0" xfId="0" applyFont="1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12" borderId="9" xfId="0" applyFill="1" applyBorder="1" applyAlignment="1"/>
    <xf numFmtId="0" fontId="0" fillId="12" borderId="10" xfId="0" applyFill="1" applyBorder="1" applyAlignment="1"/>
    <xf numFmtId="0" fontId="0" fillId="12" borderId="11" xfId="0" applyFill="1" applyBorder="1" applyAlignment="1"/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9" xfId="0" applyFill="1" applyBorder="1" applyAlignment="1"/>
    <xf numFmtId="0" fontId="0" fillId="13" borderId="10" xfId="0" applyFill="1" applyBorder="1" applyAlignment="1"/>
    <xf numFmtId="0" fontId="0" fillId="13" borderId="11" xfId="0" applyFill="1" applyBorder="1" applyAlignment="1"/>
    <xf numFmtId="0" fontId="0" fillId="17" borderId="9" xfId="0" applyFill="1" applyBorder="1" applyAlignment="1"/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16" xfId="0" applyFill="1" applyBorder="1" applyAlignment="1">
      <alignment horizontal="center"/>
    </xf>
    <xf numFmtId="0" fontId="0" fillId="17" borderId="17" xfId="0" applyFill="1" applyBorder="1" applyAlignment="1">
      <alignment horizontal="center"/>
    </xf>
    <xf numFmtId="0" fontId="0" fillId="17" borderId="18" xfId="0" applyFill="1" applyBorder="1" applyAlignment="1">
      <alignment horizontal="center"/>
    </xf>
    <xf numFmtId="0" fontId="0" fillId="17" borderId="19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2" fillId="16" borderId="15" xfId="0" applyFont="1" applyFill="1" applyBorder="1" applyAlignment="1">
      <alignment horizontal="center"/>
    </xf>
    <xf numFmtId="0" fontId="2" fillId="16" borderId="0" xfId="0" applyFont="1" applyFill="1" applyBorder="1" applyAlignment="1">
      <alignment horizontal="center"/>
    </xf>
    <xf numFmtId="0" fontId="2" fillId="16" borderId="16" xfId="0" applyFont="1" applyFill="1" applyBorder="1" applyAlignment="1">
      <alignment horizontal="center"/>
    </xf>
    <xf numFmtId="0" fontId="0" fillId="10" borderId="17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15" borderId="20" xfId="0" applyFill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10" borderId="9" xfId="0" applyFill="1" applyBorder="1" applyAlignment="1"/>
    <xf numFmtId="0" fontId="0" fillId="10" borderId="10" xfId="0" applyFill="1" applyBorder="1" applyAlignment="1"/>
    <xf numFmtId="0" fontId="0" fillId="10" borderId="11" xfId="0" applyFill="1" applyBorder="1" applyAlignment="1"/>
    <xf numFmtId="0" fontId="0" fillId="8" borderId="2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2" borderId="4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6" borderId="4" xfId="0" applyFill="1" applyBorder="1" applyAlignment="1">
      <alignment horizontal="center"/>
    </xf>
    <xf numFmtId="0" fontId="0" fillId="27" borderId="4" xfId="0" applyFill="1" applyBorder="1" applyAlignment="1">
      <alignment horizontal="center"/>
    </xf>
    <xf numFmtId="0" fontId="0" fillId="28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0" fillId="30" borderId="4" xfId="0" applyFill="1" applyBorder="1" applyAlignment="1">
      <alignment horizontal="center"/>
    </xf>
    <xf numFmtId="0" fontId="0" fillId="31" borderId="4" xfId="0" applyFill="1" applyBorder="1" applyAlignment="1">
      <alignment horizontal="center"/>
    </xf>
    <xf numFmtId="0" fontId="0" fillId="32" borderId="4" xfId="0" applyFill="1" applyBorder="1" applyAlignment="1">
      <alignment horizontal="center"/>
    </xf>
    <xf numFmtId="0" fontId="0" fillId="33" borderId="4" xfId="0" applyFill="1" applyBorder="1" applyAlignment="1">
      <alignment horizontal="center"/>
    </xf>
    <xf numFmtId="0" fontId="0" fillId="34" borderId="4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0" fillId="37" borderId="4" xfId="0" applyFill="1" applyBorder="1" applyAlignment="1">
      <alignment horizontal="center"/>
    </xf>
    <xf numFmtId="0" fontId="0" fillId="38" borderId="4" xfId="0" applyFill="1" applyBorder="1" applyAlignment="1">
      <alignment horizontal="center"/>
    </xf>
    <xf numFmtId="0" fontId="0" fillId="39" borderId="4" xfId="0" applyFill="1" applyBorder="1" applyAlignment="1">
      <alignment horizontal="center"/>
    </xf>
    <xf numFmtId="0" fontId="0" fillId="40" borderId="4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0" fontId="0" fillId="44" borderId="4" xfId="0" applyFill="1" applyBorder="1" applyAlignment="1">
      <alignment horizontal="center"/>
    </xf>
    <xf numFmtId="0" fontId="0" fillId="45" borderId="4" xfId="0" applyFill="1" applyBorder="1" applyAlignment="1">
      <alignment horizontal="center"/>
    </xf>
    <xf numFmtId="0" fontId="0" fillId="19" borderId="22" xfId="0" applyFill="1" applyBorder="1" applyAlignment="1">
      <alignment horizontal="center"/>
    </xf>
    <xf numFmtId="0" fontId="0" fillId="20" borderId="22" xfId="0" applyFill="1" applyBorder="1" applyAlignment="1">
      <alignment horizontal="center"/>
    </xf>
    <xf numFmtId="0" fontId="0" fillId="21" borderId="22" xfId="0" applyFill="1" applyBorder="1" applyAlignment="1">
      <alignment horizontal="center"/>
    </xf>
    <xf numFmtId="0" fontId="0" fillId="22" borderId="22" xfId="0" applyFill="1" applyBorder="1" applyAlignment="1">
      <alignment horizontal="center"/>
    </xf>
    <xf numFmtId="0" fontId="0" fillId="23" borderId="22" xfId="0" applyFill="1" applyBorder="1" applyAlignment="1">
      <alignment horizontal="center"/>
    </xf>
    <xf numFmtId="0" fontId="0" fillId="24" borderId="22" xfId="0" applyFill="1" applyBorder="1" applyAlignment="1">
      <alignment horizontal="center"/>
    </xf>
    <xf numFmtId="0" fontId="0" fillId="30" borderId="22" xfId="0" applyFill="1" applyBorder="1" applyAlignment="1">
      <alignment horizontal="center"/>
    </xf>
    <xf numFmtId="0" fontId="0" fillId="32" borderId="22" xfId="0" applyFill="1" applyBorder="1" applyAlignment="1">
      <alignment horizontal="center"/>
    </xf>
    <xf numFmtId="0" fontId="2" fillId="16" borderId="26" xfId="0" applyFont="1" applyFill="1" applyBorder="1" applyAlignment="1">
      <alignment horizontal="center"/>
    </xf>
    <xf numFmtId="164" fontId="7" fillId="0" borderId="20" xfId="0" applyNumberFormat="1" applyFont="1" applyBorder="1" applyAlignment="1"/>
    <xf numFmtId="164" fontId="0" fillId="0" borderId="20" xfId="0" applyNumberFormat="1" applyFont="1" applyBorder="1" applyAlignment="1"/>
    <xf numFmtId="164" fontId="0" fillId="0" borderId="20" xfId="0" applyNumberFormat="1" applyBorder="1" applyAlignment="1"/>
    <xf numFmtId="0" fontId="0" fillId="11" borderId="0" xfId="0" applyFill="1"/>
    <xf numFmtId="0" fontId="10" fillId="16" borderId="0" xfId="0" applyFont="1" applyFill="1" applyAlignment="1">
      <alignment horizontal="center"/>
    </xf>
    <xf numFmtId="0" fontId="2" fillId="47" borderId="0" xfId="0" applyFont="1" applyFill="1" applyBorder="1" applyAlignment="1">
      <alignment horizontal="center"/>
    </xf>
    <xf numFmtId="0" fontId="7" fillId="10" borderId="0" xfId="0" applyFont="1" applyFill="1" applyBorder="1" applyAlignment="1">
      <alignment horizontal="right" vertical="center"/>
    </xf>
    <xf numFmtId="0" fontId="0" fillId="10" borderId="8" xfId="0" applyFill="1" applyBorder="1" applyAlignment="1">
      <alignment horizontal="right" vertical="center"/>
    </xf>
    <xf numFmtId="0" fontId="0" fillId="10" borderId="7" xfId="0" applyFill="1" applyBorder="1" applyAlignment="1">
      <alignment horizontal="right" vertical="center"/>
    </xf>
    <xf numFmtId="0" fontId="2" fillId="16" borderId="0" xfId="0" applyFont="1" applyFill="1" applyAlignment="1">
      <alignment horizontal="right" vertical="center"/>
    </xf>
    <xf numFmtId="0" fontId="0" fillId="10" borderId="0" xfId="0" applyFill="1" applyBorder="1" applyAlignment="1">
      <alignment horizontal="right" vertical="center"/>
    </xf>
    <xf numFmtId="0" fontId="2" fillId="16" borderId="0" xfId="0" applyFont="1" applyFill="1" applyBorder="1" applyAlignment="1">
      <alignment horizontal="right" vertical="center"/>
    </xf>
    <xf numFmtId="0" fontId="0" fillId="14" borderId="0" xfId="0" applyFont="1" applyFill="1" applyBorder="1" applyAlignment="1">
      <alignment horizontal="center"/>
    </xf>
    <xf numFmtId="0" fontId="2" fillId="48" borderId="23" xfId="0" applyFont="1" applyFill="1" applyBorder="1" applyAlignment="1">
      <alignment horizontal="center"/>
    </xf>
    <xf numFmtId="0" fontId="2" fillId="48" borderId="24" xfId="0" applyFont="1" applyFill="1" applyBorder="1" applyAlignment="1">
      <alignment horizontal="center"/>
    </xf>
    <xf numFmtId="0" fontId="10" fillId="48" borderId="24" xfId="0" applyFont="1" applyFill="1" applyBorder="1" applyAlignment="1">
      <alignment horizontal="center" vertical="center"/>
    </xf>
    <xf numFmtId="0" fontId="2" fillId="48" borderId="24" xfId="0" applyFont="1" applyFill="1" applyBorder="1" applyAlignment="1">
      <alignment horizontal="center" vertical="center"/>
    </xf>
    <xf numFmtId="0" fontId="1" fillId="49" borderId="23" xfId="0" applyFont="1" applyFill="1" applyBorder="1" applyAlignment="1">
      <alignment horizontal="center"/>
    </xf>
    <xf numFmtId="0" fontId="11" fillId="16" borderId="23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1" borderId="23" xfId="0" applyFont="1" applyFill="1" applyBorder="1" applyAlignment="1">
      <alignment horizontal="center"/>
    </xf>
    <xf numFmtId="0" fontId="11" fillId="52" borderId="23" xfId="0" applyFont="1" applyFill="1" applyBorder="1" applyAlignment="1">
      <alignment horizontal="center"/>
    </xf>
    <xf numFmtId="0" fontId="11" fillId="53" borderId="23" xfId="0" applyFont="1" applyFill="1" applyBorder="1" applyAlignment="1">
      <alignment horizontal="center"/>
    </xf>
    <xf numFmtId="0" fontId="11" fillId="54" borderId="23" xfId="0" applyFont="1" applyFill="1" applyBorder="1" applyAlignment="1">
      <alignment horizontal="center"/>
    </xf>
    <xf numFmtId="0" fontId="11" fillId="55" borderId="23" xfId="0" applyFont="1" applyFill="1" applyBorder="1" applyAlignment="1">
      <alignment horizontal="center"/>
    </xf>
    <xf numFmtId="0" fontId="0" fillId="14" borderId="1" xfId="0" applyFont="1" applyFill="1" applyBorder="1" applyAlignment="1">
      <alignment horizontal="center"/>
    </xf>
    <xf numFmtId="0" fontId="0" fillId="14" borderId="2" xfId="0" applyFont="1" applyFill="1" applyBorder="1" applyAlignment="1">
      <alignment horizontal="center"/>
    </xf>
    <xf numFmtId="0" fontId="0" fillId="14" borderId="3" xfId="0" applyFont="1" applyFill="1" applyBorder="1" applyAlignment="1">
      <alignment horizontal="center"/>
    </xf>
    <xf numFmtId="0" fontId="2" fillId="46" borderId="25" xfId="0" applyFont="1" applyFill="1" applyBorder="1" applyAlignment="1">
      <alignment horizontal="center"/>
    </xf>
    <xf numFmtId="0" fontId="2" fillId="56" borderId="0" xfId="0" applyFont="1" applyFill="1" applyAlignment="1">
      <alignment horizontal="center"/>
    </xf>
    <xf numFmtId="0" fontId="2" fillId="0" borderId="0" xfId="0" applyFont="1"/>
    <xf numFmtId="14" fontId="2" fillId="0" borderId="0" xfId="0" applyNumberFormat="1" applyFont="1"/>
    <xf numFmtId="0" fontId="2" fillId="0" borderId="0" xfId="0" applyNumberFormat="1" applyFont="1"/>
    <xf numFmtId="0" fontId="2" fillId="57" borderId="0" xfId="0" applyFont="1" applyFill="1"/>
    <xf numFmtId="21" fontId="2" fillId="0" borderId="0" xfId="0" applyNumberFormat="1" applyFont="1"/>
    <xf numFmtId="0" fontId="1" fillId="58" borderId="0" xfId="0" applyFont="1" applyFill="1"/>
    <xf numFmtId="0" fontId="1" fillId="49" borderId="27" xfId="0" applyFont="1" applyFill="1" applyBorder="1" applyAlignment="1">
      <alignment horizontal="center"/>
    </xf>
    <xf numFmtId="0" fontId="2" fillId="46" borderId="28" xfId="0" applyFont="1" applyFill="1" applyBorder="1" applyAlignment="1">
      <alignment horizontal="center"/>
    </xf>
    <xf numFmtId="0" fontId="2" fillId="46" borderId="29" xfId="0" applyFont="1" applyFill="1" applyBorder="1" applyAlignment="1">
      <alignment horizontal="center"/>
    </xf>
    <xf numFmtId="0" fontId="2" fillId="59" borderId="31" xfId="0" applyFont="1" applyFill="1" applyBorder="1" applyAlignment="1">
      <alignment horizontal="center"/>
    </xf>
    <xf numFmtId="0" fontId="0" fillId="33" borderId="22" xfId="0" applyFill="1" applyBorder="1" applyAlignment="1">
      <alignment horizontal="center"/>
    </xf>
    <xf numFmtId="0" fontId="0" fillId="34" borderId="22" xfId="0" applyFill="1" applyBorder="1" applyAlignment="1">
      <alignment horizontal="center"/>
    </xf>
    <xf numFmtId="0" fontId="0" fillId="35" borderId="22" xfId="0" applyFill="1" applyBorder="1" applyAlignment="1">
      <alignment horizontal="center"/>
    </xf>
    <xf numFmtId="0" fontId="0" fillId="36" borderId="22" xfId="0" applyFill="1" applyBorder="1" applyAlignment="1">
      <alignment horizontal="center"/>
    </xf>
    <xf numFmtId="0" fontId="2" fillId="60" borderId="0" xfId="0" applyFont="1" applyFill="1" applyAlignment="1">
      <alignment horizontal="center"/>
    </xf>
    <xf numFmtId="0" fontId="0" fillId="14" borderId="6" xfId="0" applyFill="1" applyBorder="1" applyAlignment="1">
      <alignment horizontal="center"/>
    </xf>
    <xf numFmtId="0" fontId="0" fillId="25" borderId="22" xfId="0" applyFill="1" applyBorder="1" applyAlignment="1">
      <alignment horizontal="center"/>
    </xf>
    <xf numFmtId="0" fontId="2" fillId="61" borderId="30" xfId="0" applyFont="1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0" fontId="0" fillId="31" borderId="22" xfId="0" applyFill="1" applyBorder="1" applyAlignment="1">
      <alignment horizontal="center"/>
    </xf>
    <xf numFmtId="0" fontId="2" fillId="61" borderId="31" xfId="0" applyFont="1" applyFill="1" applyBorder="1" applyAlignment="1">
      <alignment horizontal="center"/>
    </xf>
    <xf numFmtId="20" fontId="0" fillId="13" borderId="0" xfId="0" applyNumberFormat="1" applyFill="1" applyBorder="1" applyAlignment="1">
      <alignment horizontal="center"/>
    </xf>
    <xf numFmtId="0" fontId="2" fillId="62" borderId="31" xfId="0" applyFont="1" applyFill="1" applyBorder="1" applyAlignment="1">
      <alignment horizontal="center"/>
    </xf>
    <xf numFmtId="0" fontId="0" fillId="29" borderId="22" xfId="0" applyFill="1" applyBorder="1" applyAlignment="1">
      <alignment horizontal="center"/>
    </xf>
    <xf numFmtId="0" fontId="2" fillId="59" borderId="30" xfId="0" applyFont="1" applyFill="1" applyBorder="1" applyAlignment="1">
      <alignment horizontal="center"/>
    </xf>
    <xf numFmtId="0" fontId="7" fillId="0" borderId="0" xfId="0" applyFont="1"/>
    <xf numFmtId="0" fontId="13" fillId="0" borderId="0" xfId="0" applyFont="1"/>
    <xf numFmtId="0" fontId="14" fillId="0" borderId="0" xfId="0" applyFont="1"/>
    <xf numFmtId="0" fontId="8" fillId="0" borderId="0" xfId="0" applyFont="1"/>
    <xf numFmtId="0" fontId="0" fillId="63" borderId="0" xfId="0" applyFill="1"/>
    <xf numFmtId="0" fontId="15" fillId="0" borderId="0" xfId="0" applyFont="1"/>
    <xf numFmtId="0" fontId="16" fillId="0" borderId="0" xfId="0" applyFont="1"/>
    <xf numFmtId="0" fontId="0" fillId="38" borderId="22" xfId="0" applyFill="1" applyBorder="1" applyAlignment="1">
      <alignment horizontal="center"/>
    </xf>
    <xf numFmtId="0" fontId="2" fillId="62" borderId="30" xfId="0" applyFont="1" applyFill="1" applyBorder="1" applyAlignment="1">
      <alignment horizontal="center"/>
    </xf>
    <xf numFmtId="0" fontId="0" fillId="0" borderId="0" xfId="0"/>
    <xf numFmtId="0" fontId="1" fillId="9" borderId="0" xfId="0" applyFont="1" applyFill="1"/>
    <xf numFmtId="0" fontId="0" fillId="0" borderId="0" xfId="0"/>
    <xf numFmtId="0" fontId="1" fillId="9" borderId="0" xfId="0" applyFont="1" applyFill="1"/>
    <xf numFmtId="0" fontId="17" fillId="0" borderId="0" xfId="0" applyFont="1"/>
    <xf numFmtId="0" fontId="19" fillId="0" borderId="0" xfId="0" applyFont="1"/>
  </cellXfs>
  <cellStyles count="300"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Normal" xfId="0" builtinId="0"/>
    <cellStyle name="Tecan.At.Excel.Attenuation" xfId="6" xr:uid="{00000000-0005-0000-0000-000025010000}"/>
    <cellStyle name="Tecan.At.Excel.AutoGain_0" xfId="7" xr:uid="{00000000-0005-0000-0000-000026010000}"/>
    <cellStyle name="Tecan.At.Excel.Error" xfId="1" xr:uid="{00000000-0005-0000-0000-000027010000}"/>
    <cellStyle name="Tecan.At.Excel.GFactorAndMeasurementBlank" xfId="5" xr:uid="{00000000-0005-0000-0000-000028010000}"/>
    <cellStyle name="Tecan.At.Excel.GFactorBlank" xfId="3" xr:uid="{00000000-0005-0000-0000-000029010000}"/>
    <cellStyle name="Tecan.At.Excel.GFactorReference" xfId="4" xr:uid="{00000000-0005-0000-0000-00002A010000}"/>
    <cellStyle name="Tecan.At.Excel.MeasurementBlank" xfId="2" xr:uid="{00000000-0005-0000-0000-00002B010000}"/>
  </cellStyles>
  <dxfs count="21"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theme="0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ont>
        <color auto="1"/>
      </font>
      <fill>
        <patternFill patternType="solid">
          <fgColor indexed="64"/>
          <bgColor theme="9" tint="0.59999389629810485"/>
        </patternFill>
      </fill>
    </dxf>
    <dxf>
      <font>
        <color auto="1"/>
      </font>
      <fill>
        <patternFill patternType="solid">
          <fgColor indexed="64"/>
          <bgColor theme="7" tint="0.59999389629810485"/>
        </patternFill>
      </fill>
    </dxf>
    <dxf>
      <font>
        <color auto="1"/>
      </font>
      <fill>
        <patternFill patternType="solid">
          <fgColor indexed="64"/>
          <bgColor theme="0" tint="-0.14999847407452621"/>
        </patternFill>
      </fill>
    </dxf>
    <dxf>
      <fill>
        <patternFill>
          <bgColor theme="6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D79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</c:marker>
          <c:dLbls>
            <c:dLbl>
              <c:idx val="0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1077std-BHI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7B-B941-BAB4-9C35719D7B35}"/>
                </c:ext>
              </c:extLst>
            </c:dLbl>
            <c:dLbl>
              <c:idx val="1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1077std-BHI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7B-B941-BAB4-9C35719D7B35}"/>
                </c:ext>
              </c:extLst>
            </c:dLbl>
            <c:dLbl>
              <c:idx val="2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1077std-V1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E7B-B941-BAB4-9C35719D7B35}"/>
                </c:ext>
              </c:extLst>
            </c:dLbl>
            <c:dLbl>
              <c:idx val="3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1077std-V0,5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7B-B941-BAB4-9C35719D7B35}"/>
                </c:ext>
              </c:extLst>
            </c:dLbl>
            <c:dLbl>
              <c:idx val="4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1077std-V0,25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7B-B941-BAB4-9C35719D7B35}"/>
                </c:ext>
              </c:extLst>
            </c:dLbl>
            <c:dLbl>
              <c:idx val="5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1077std-V0,25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7B-B941-BAB4-9C35719D7B35}"/>
                </c:ext>
              </c:extLst>
            </c:dLbl>
            <c:dLbl>
              <c:idx val="6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1077std-V0,25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E7B-B941-BAB4-9C35719D7B35}"/>
                </c:ext>
              </c:extLst>
            </c:dLbl>
            <c:dLbl>
              <c:idx val="7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1077std-V0,125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7B-B941-BAB4-9C35719D7B35}"/>
                </c:ext>
              </c:extLst>
            </c:dLbl>
            <c:dLbl>
              <c:idx val="8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1077std-V0,125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7B-B941-BAB4-9C35719D7B35}"/>
                </c:ext>
              </c:extLst>
            </c:dLbl>
            <c:dLbl>
              <c:idx val="9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1077std-V0,125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7B-B941-BAB4-9C35719D7B35}"/>
                </c:ext>
              </c:extLst>
            </c:dLbl>
            <c:dLbl>
              <c:idx val="10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1077std-V0,06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E7B-B941-BAB4-9C35719D7B35}"/>
                </c:ext>
              </c:extLst>
            </c:dLbl>
            <c:dLbl>
              <c:idx val="11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1077std-V0,06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E7B-B941-BAB4-9C35719D7B35}"/>
                </c:ext>
              </c:extLst>
            </c:dLbl>
            <c:dLbl>
              <c:idx val="12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1077std-V0,06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E7B-B941-BAB4-9C35719D7B35}"/>
                </c:ext>
              </c:extLst>
            </c:dLbl>
            <c:dLbl>
              <c:idx val="13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1077std-V0,03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E7B-B941-BAB4-9C35719D7B35}"/>
                </c:ext>
              </c:extLst>
            </c:dLbl>
            <c:dLbl>
              <c:idx val="14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1077std-V0,03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E7B-B941-BAB4-9C35719D7B35}"/>
                </c:ext>
              </c:extLst>
            </c:dLbl>
            <c:dLbl>
              <c:idx val="15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1077std-V0,03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E7B-B941-BAB4-9C35719D7B35}"/>
                </c:ext>
              </c:extLst>
            </c:dLbl>
            <c:dLbl>
              <c:idx val="16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1077V24-BHI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E7B-B941-BAB4-9C35719D7B35}"/>
                </c:ext>
              </c:extLst>
            </c:dLbl>
            <c:dLbl>
              <c:idx val="17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1077V24-BHI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E7B-B941-BAB4-9C35719D7B35}"/>
                </c:ext>
              </c:extLst>
            </c:dLbl>
            <c:dLbl>
              <c:idx val="18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1077V24-V1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E7B-B941-BAB4-9C35719D7B35}"/>
                </c:ext>
              </c:extLst>
            </c:dLbl>
            <c:dLbl>
              <c:idx val="19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1077V24-V1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E7B-B941-BAB4-9C35719D7B35}"/>
                </c:ext>
              </c:extLst>
            </c:dLbl>
            <c:dLbl>
              <c:idx val="20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1077V24-V1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E7B-B941-BAB4-9C35719D7B35}"/>
                </c:ext>
              </c:extLst>
            </c:dLbl>
            <c:dLbl>
              <c:idx val="21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1077V24-V0,5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E7B-B941-BAB4-9C35719D7B35}"/>
                </c:ext>
              </c:extLst>
            </c:dLbl>
            <c:dLbl>
              <c:idx val="22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1077V24-V0,5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E7B-B941-BAB4-9C35719D7B35}"/>
                </c:ext>
              </c:extLst>
            </c:dLbl>
            <c:dLbl>
              <c:idx val="23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1077V24-V0,5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E7B-B941-BAB4-9C35719D7B35}"/>
                </c:ext>
              </c:extLst>
            </c:dLbl>
            <c:dLbl>
              <c:idx val="24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1077V24-V0,25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E7B-B941-BAB4-9C35719D7B35}"/>
                </c:ext>
              </c:extLst>
            </c:dLbl>
            <c:dLbl>
              <c:idx val="25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1077V24-V0,25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E7B-B941-BAB4-9C35719D7B35}"/>
                </c:ext>
              </c:extLst>
            </c:dLbl>
            <c:dLbl>
              <c:idx val="26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1077V24-V0,25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E7B-B941-BAB4-9C35719D7B35}"/>
                </c:ext>
              </c:extLst>
            </c:dLbl>
            <c:dLbl>
              <c:idx val="27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1077V24-V0,125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7E7B-B941-BAB4-9C35719D7B35}"/>
                </c:ext>
              </c:extLst>
            </c:dLbl>
            <c:dLbl>
              <c:idx val="28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1077V24-V0,125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7E7B-B941-BAB4-9C35719D7B35}"/>
                </c:ext>
              </c:extLst>
            </c:dLbl>
            <c:dLbl>
              <c:idx val="29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1077V24-V0,125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E7B-B941-BAB4-9C35719D7B35}"/>
                </c:ext>
              </c:extLst>
            </c:dLbl>
            <c:dLbl>
              <c:idx val="30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1077V24-V0,06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7E7B-B941-BAB4-9C35719D7B35}"/>
                </c:ext>
              </c:extLst>
            </c:dLbl>
            <c:dLbl>
              <c:idx val="31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1077V24-V0,06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7E7B-B941-BAB4-9C35719D7B35}"/>
                </c:ext>
              </c:extLst>
            </c:dLbl>
            <c:dLbl>
              <c:idx val="32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1077V24-V0,06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7E7B-B941-BAB4-9C35719D7B35}"/>
                </c:ext>
              </c:extLst>
            </c:dLbl>
            <c:dLbl>
              <c:idx val="33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1077V24-V0,03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7E7B-B941-BAB4-9C35719D7B35}"/>
                </c:ext>
              </c:extLst>
            </c:dLbl>
            <c:dLbl>
              <c:idx val="34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1077V24-V0,03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7E7B-B941-BAB4-9C35719D7B35}"/>
                </c:ext>
              </c:extLst>
            </c:dLbl>
            <c:dLbl>
              <c:idx val="35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1077V24-V0,03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7E7B-B941-BAB4-9C35719D7B35}"/>
                </c:ext>
              </c:extLst>
            </c:dLbl>
            <c:dLbl>
              <c:idx val="36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1077V16-BHI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7E7B-B941-BAB4-9C35719D7B35}"/>
                </c:ext>
              </c:extLst>
            </c:dLbl>
            <c:dLbl>
              <c:idx val="37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1077V16-BHI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7E7B-B941-BAB4-9C35719D7B35}"/>
                </c:ext>
              </c:extLst>
            </c:dLbl>
            <c:dLbl>
              <c:idx val="38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1077V16-V1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7E7B-B941-BAB4-9C35719D7B35}"/>
                </c:ext>
              </c:extLst>
            </c:dLbl>
            <c:dLbl>
              <c:idx val="39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1077V16-V1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7E7B-B941-BAB4-9C35719D7B35}"/>
                </c:ext>
              </c:extLst>
            </c:dLbl>
            <c:dLbl>
              <c:idx val="40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1077V16-V1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7E7B-B941-BAB4-9C35719D7B35}"/>
                </c:ext>
              </c:extLst>
            </c:dLbl>
            <c:dLbl>
              <c:idx val="41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1077V16-V0,5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7E7B-B941-BAB4-9C35719D7B35}"/>
                </c:ext>
              </c:extLst>
            </c:dLbl>
            <c:dLbl>
              <c:idx val="42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1077V16-V0,5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7E7B-B941-BAB4-9C35719D7B35}"/>
                </c:ext>
              </c:extLst>
            </c:dLbl>
            <c:dLbl>
              <c:idx val="43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1077V16-V0,5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7E7B-B941-BAB4-9C35719D7B35}"/>
                </c:ext>
              </c:extLst>
            </c:dLbl>
            <c:dLbl>
              <c:idx val="44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1077V16-V0,25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7E7B-B941-BAB4-9C35719D7B35}"/>
                </c:ext>
              </c:extLst>
            </c:dLbl>
            <c:dLbl>
              <c:idx val="45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1077V16-V0,25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7E7B-B941-BAB4-9C35719D7B35}"/>
                </c:ext>
              </c:extLst>
            </c:dLbl>
            <c:dLbl>
              <c:idx val="46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1077V16-V0,25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7E7B-B941-BAB4-9C35719D7B35}"/>
                </c:ext>
              </c:extLst>
            </c:dLbl>
            <c:dLbl>
              <c:idx val="47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1077V16-V0,125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7E7B-B941-BAB4-9C35719D7B35}"/>
                </c:ext>
              </c:extLst>
            </c:dLbl>
            <c:dLbl>
              <c:idx val="48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1077V16-V0,125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7E7B-B941-BAB4-9C35719D7B35}"/>
                </c:ext>
              </c:extLst>
            </c:dLbl>
            <c:dLbl>
              <c:idx val="49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1077V16-V0,125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7E7B-B941-BAB4-9C35719D7B35}"/>
                </c:ext>
              </c:extLst>
            </c:dLbl>
            <c:dLbl>
              <c:idx val="50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1077V16-V0,06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7E7B-B941-BAB4-9C35719D7B35}"/>
                </c:ext>
              </c:extLst>
            </c:dLbl>
            <c:dLbl>
              <c:idx val="51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1077V16-V0,06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7E7B-B941-BAB4-9C35719D7B35}"/>
                </c:ext>
              </c:extLst>
            </c:dLbl>
            <c:dLbl>
              <c:idx val="52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1077V16-V0,06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7E7B-B941-BAB4-9C35719D7B35}"/>
                </c:ext>
              </c:extLst>
            </c:dLbl>
            <c:dLbl>
              <c:idx val="53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1077V16-V0,03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7E7B-B941-BAB4-9C35719D7B35}"/>
                </c:ext>
              </c:extLst>
            </c:dLbl>
            <c:dLbl>
              <c:idx val="54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1077V16-V0,03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7E7B-B941-BAB4-9C35719D7B35}"/>
                </c:ext>
              </c:extLst>
            </c:dLbl>
            <c:dLbl>
              <c:idx val="55"/>
              <c:tx>
                <c:rich>
                  <a:bodyPr rot="-2700000" vert="horz" wrap="square" lIns="38100" tIns="19050" rIns="38100" bIns="19050" anchor="ctr">
                    <a:spAutoFit/>
                  </a:bodyPr>
                  <a:lstStyle/>
                  <a:p>
                    <a:pPr>
                      <a:defRPr sz="1400" b="1">
                        <a:solidFill>
                          <a:srgbClr val="0000FF"/>
                        </a:solidFill>
                      </a:defRPr>
                    </a:pPr>
                    <a:r>
                      <a:rPr lang="en-US"/>
                      <a:t>1077V16-V0,03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7E7B-B941-BAB4-9C35719D7B3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Results!$A$2:$A$57</c:f>
              <c:numCache>
                <c:formatCode>General</c:formatCode>
                <c:ptCount val="5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8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13</c:v>
                </c:pt>
                <c:pt idx="31">
                  <c:v>13</c:v>
                </c:pt>
                <c:pt idx="32">
                  <c:v>13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15</c:v>
                </c:pt>
                <c:pt idx="37">
                  <c:v>15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21</c:v>
                </c:pt>
                <c:pt idx="54">
                  <c:v>21</c:v>
                </c:pt>
                <c:pt idx="55">
                  <c:v>21</c:v>
                </c:pt>
              </c:numCache>
            </c:numRef>
          </c:xVal>
          <c:yVal>
            <c:numRef>
              <c:f>Results!$B$2:$B$57</c:f>
              <c:numCache>
                <c:formatCode>General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7B-B941-BAB4-9C35719D7B3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50B4FF"/>
              </a:solidFill>
              <a:ln>
                <a:solidFill>
                  <a:srgbClr val="50B4FF"/>
                </a:solidFill>
                <a:prstDash val="solid"/>
              </a:ln>
            </c:spPr>
          </c:marker>
          <c:xVal>
            <c:numRef>
              <c:f>Results!$A$2:$A$57</c:f>
              <c:numCache>
                <c:formatCode>General</c:formatCode>
                <c:ptCount val="5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8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13</c:v>
                </c:pt>
                <c:pt idx="31">
                  <c:v>13</c:v>
                </c:pt>
                <c:pt idx="32">
                  <c:v>13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15</c:v>
                </c:pt>
                <c:pt idx="37">
                  <c:v>15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21</c:v>
                </c:pt>
                <c:pt idx="54">
                  <c:v>21</c:v>
                </c:pt>
                <c:pt idx="55">
                  <c:v>21</c:v>
                </c:pt>
              </c:numCache>
            </c:numRef>
          </c:xVal>
          <c:yVal>
            <c:numRef>
              <c:f>Results!$E$2:$E$57</c:f>
              <c:numCache>
                <c:formatCode>General</c:formatCode>
                <c:ptCount val="56"/>
                <c:pt idx="0">
                  <c:v>25.3</c:v>
                </c:pt>
                <c:pt idx="1">
                  <c:v>27.8</c:v>
                </c:pt>
                <c:pt idx="2">
                  <c:v>39.700000000000003</c:v>
                </c:pt>
                <c:pt idx="3">
                  <c:v>24.5</c:v>
                </c:pt>
                <c:pt idx="4">
                  <c:v>25.7</c:v>
                </c:pt>
                <c:pt idx="5">
                  <c:v>26.6</c:v>
                </c:pt>
                <c:pt idx="6">
                  <c:v>25.6</c:v>
                </c:pt>
                <c:pt idx="7">
                  <c:v>23.6</c:v>
                </c:pt>
                <c:pt idx="8">
                  <c:v>23.2</c:v>
                </c:pt>
                <c:pt idx="9">
                  <c:v>28.7</c:v>
                </c:pt>
                <c:pt idx="10">
                  <c:v>26.6</c:v>
                </c:pt>
                <c:pt idx="11">
                  <c:v>23.6</c:v>
                </c:pt>
                <c:pt idx="12">
                  <c:v>25.9</c:v>
                </c:pt>
                <c:pt idx="13">
                  <c:v>25.3</c:v>
                </c:pt>
                <c:pt idx="14">
                  <c:v>24.6</c:v>
                </c:pt>
                <c:pt idx="15">
                  <c:v>25.4</c:v>
                </c:pt>
                <c:pt idx="16">
                  <c:v>26.7</c:v>
                </c:pt>
                <c:pt idx="17">
                  <c:v>31.5</c:v>
                </c:pt>
                <c:pt idx="18">
                  <c:v>34.1</c:v>
                </c:pt>
                <c:pt idx="19">
                  <c:v>33.200000000000003</c:v>
                </c:pt>
                <c:pt idx="20">
                  <c:v>35.1</c:v>
                </c:pt>
                <c:pt idx="21">
                  <c:v>24.4</c:v>
                </c:pt>
                <c:pt idx="22">
                  <c:v>26.7</c:v>
                </c:pt>
                <c:pt idx="23">
                  <c:v>27.8</c:v>
                </c:pt>
                <c:pt idx="24">
                  <c:v>25.4</c:v>
                </c:pt>
                <c:pt idx="25">
                  <c:v>26.3</c:v>
                </c:pt>
                <c:pt idx="26">
                  <c:v>25.5</c:v>
                </c:pt>
                <c:pt idx="27">
                  <c:v>24.5</c:v>
                </c:pt>
                <c:pt idx="28">
                  <c:v>23.8</c:v>
                </c:pt>
                <c:pt idx="29">
                  <c:v>23.5</c:v>
                </c:pt>
                <c:pt idx="30">
                  <c:v>26.4</c:v>
                </c:pt>
                <c:pt idx="31">
                  <c:v>29.4</c:v>
                </c:pt>
                <c:pt idx="32">
                  <c:v>26.9</c:v>
                </c:pt>
                <c:pt idx="33">
                  <c:v>26.6</c:v>
                </c:pt>
                <c:pt idx="34">
                  <c:v>28.9</c:v>
                </c:pt>
                <c:pt idx="35">
                  <c:v>41.6</c:v>
                </c:pt>
                <c:pt idx="36">
                  <c:v>32</c:v>
                </c:pt>
                <c:pt idx="37">
                  <c:v>34.700000000000003</c:v>
                </c:pt>
                <c:pt idx="38">
                  <c:v>32</c:v>
                </c:pt>
                <c:pt idx="39">
                  <c:v>30.7</c:v>
                </c:pt>
                <c:pt idx="40">
                  <c:v>28.4</c:v>
                </c:pt>
                <c:pt idx="41">
                  <c:v>27.3</c:v>
                </c:pt>
                <c:pt idx="42">
                  <c:v>26.4</c:v>
                </c:pt>
                <c:pt idx="43">
                  <c:v>32</c:v>
                </c:pt>
                <c:pt idx="44">
                  <c:v>28.7</c:v>
                </c:pt>
                <c:pt idx="45">
                  <c:v>26.8</c:v>
                </c:pt>
                <c:pt idx="46">
                  <c:v>27.6</c:v>
                </c:pt>
                <c:pt idx="47">
                  <c:v>36.700000000000003</c:v>
                </c:pt>
                <c:pt idx="48">
                  <c:v>27.7</c:v>
                </c:pt>
                <c:pt idx="49">
                  <c:v>27</c:v>
                </c:pt>
                <c:pt idx="50">
                  <c:v>30.2</c:v>
                </c:pt>
                <c:pt idx="51">
                  <c:v>29.1</c:v>
                </c:pt>
                <c:pt idx="52">
                  <c:v>30</c:v>
                </c:pt>
                <c:pt idx="53">
                  <c:v>32.200000000000003</c:v>
                </c:pt>
                <c:pt idx="54">
                  <c:v>28.7</c:v>
                </c:pt>
                <c:pt idx="55">
                  <c:v>24.9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7E7B-B941-BAB4-9C35719D7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716831"/>
        <c:axId val="430718559"/>
      </c:scatterChart>
      <c:valAx>
        <c:axId val="430716831"/>
        <c:scaling>
          <c:orientation val="minMax"/>
        </c:scaling>
        <c:delete val="0"/>
        <c:axPos val="b"/>
        <c:majorGridlines>
          <c:spPr>
            <a:ln w="12700">
              <a:solidFill>
                <a:srgbClr val="B4B4B4"/>
              </a:solidFill>
              <a:prstDash val="sysDash"/>
            </a:ln>
          </c:spPr>
        </c:majorGridlines>
        <c:numFmt formatCode="General" sourceLinked="1"/>
        <c:majorTickMark val="none"/>
        <c:minorTickMark val="none"/>
        <c:tickLblPos val="none"/>
        <c:spPr>
          <a:ln w="9525">
            <a:noFill/>
          </a:ln>
        </c:spPr>
        <c:crossAx val="430718559"/>
        <c:crosses val="autoZero"/>
        <c:crossBetween val="midCat"/>
        <c:majorUnit val="1"/>
      </c:valAx>
      <c:valAx>
        <c:axId val="43071855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07168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B2 (-W1)</c:v>
          </c:tx>
          <c:spPr>
            <a:ln w="28575">
              <a:noFill/>
            </a:ln>
          </c:spPr>
          <c:marker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'1077std-BHI'!$B$54:$AF$54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'1077std-BHI'!$B$93:$AF$93</c:f>
              <c:numCache>
                <c:formatCode>General</c:formatCode>
                <c:ptCount val="31"/>
                <c:pt idx="0">
                  <c:v>6.4583215862512589E-4</c:v>
                </c:pt>
                <c:pt idx="1">
                  <c:v>6.6250159094731476E-4</c:v>
                </c:pt>
                <c:pt idx="2">
                  <c:v>9.7499694675207138E-4</c:v>
                </c:pt>
                <c:pt idx="3">
                  <c:v>1.1666671683390889E-3</c:v>
                </c:pt>
                <c:pt idx="4">
                  <c:v>1.7750014861424718E-3</c:v>
                </c:pt>
                <c:pt idx="5">
                  <c:v>2.6083346456289291E-3</c:v>
                </c:pt>
                <c:pt idx="6">
                  <c:v>4.1999962801734653E-3</c:v>
                </c:pt>
                <c:pt idx="7">
                  <c:v>6.9499965757131577E-3</c:v>
                </c:pt>
                <c:pt idx="8">
                  <c:v>1.1191667678455516E-2</c:v>
                </c:pt>
                <c:pt idx="9">
                  <c:v>1.8229166977107525E-2</c:v>
                </c:pt>
                <c:pt idx="10">
                  <c:v>2.96249995008111E-2</c:v>
                </c:pt>
                <c:pt idx="11">
                  <c:v>4.5995838319261864E-2</c:v>
                </c:pt>
                <c:pt idx="12">
                  <c:v>6.8549996241927147E-2</c:v>
                </c:pt>
                <c:pt idx="13">
                  <c:v>9.6425003372132778E-2</c:v>
                </c:pt>
                <c:pt idx="14">
                  <c:v>0.130129170914491</c:v>
                </c:pt>
                <c:pt idx="15">
                  <c:v>0.16982500627636909</c:v>
                </c:pt>
                <c:pt idx="16">
                  <c:v>0.21601668000221252</c:v>
                </c:pt>
                <c:pt idx="17">
                  <c:v>0.26287498697638512</c:v>
                </c:pt>
                <c:pt idx="18">
                  <c:v>0.30324583531667787</c:v>
                </c:pt>
                <c:pt idx="19">
                  <c:v>0.34038333967328072</c:v>
                </c:pt>
                <c:pt idx="20">
                  <c:v>0.35555626048396033</c:v>
                </c:pt>
                <c:pt idx="21">
                  <c:v>0.37072918129463989</c:v>
                </c:pt>
                <c:pt idx="22">
                  <c:v>0.37878334708511829</c:v>
                </c:pt>
                <c:pt idx="23">
                  <c:v>0.38338333275169134</c:v>
                </c:pt>
                <c:pt idx="24">
                  <c:v>0.38562498893588781</c:v>
                </c:pt>
                <c:pt idx="25">
                  <c:v>0.39036667440086603</c:v>
                </c:pt>
                <c:pt idx="26">
                  <c:v>0.39746667320529622</c:v>
                </c:pt>
                <c:pt idx="27">
                  <c:v>0.4048208597426613</c:v>
                </c:pt>
                <c:pt idx="28">
                  <c:v>0.41464998386800289</c:v>
                </c:pt>
                <c:pt idx="29">
                  <c:v>0.42624583498885232</c:v>
                </c:pt>
                <c:pt idx="30">
                  <c:v>0.44030001666396856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AE-AB4E-8539-48F9BEE28C5E}"/>
            </c:ext>
          </c:extLst>
        </c:ser>
        <c:ser>
          <c:idx val="1"/>
          <c:order val="1"/>
          <c:tx>
            <c:v>B3 (-W1)</c:v>
          </c:tx>
          <c:spPr>
            <a:ln w="28575">
              <a:noFill/>
            </a:ln>
          </c:spPr>
          <c:marker>
            <c:spPr>
              <a:solidFill>
                <a:srgbClr val="00808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'1077std-BHI'!$B$54:$AF$54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'1077std-BHI'!$B$94:$AF$94</c:f>
              <c:numCache>
                <c:formatCode>General</c:formatCode>
                <c:ptCount val="31"/>
                <c:pt idx="0">
                  <c:v>6.4000089963277274E-4</c:v>
                </c:pt>
                <c:pt idx="1">
                  <c:v>8.1333319346109378E-4</c:v>
                </c:pt>
                <c:pt idx="2">
                  <c:v>1.1000027259190914E-3</c:v>
                </c:pt>
                <c:pt idx="3">
                  <c:v>1.6733313600222205E-3</c:v>
                </c:pt>
                <c:pt idx="4">
                  <c:v>1.6866708795229557E-3</c:v>
                </c:pt>
                <c:pt idx="5">
                  <c:v>2.3533334334691347E-3</c:v>
                </c:pt>
                <c:pt idx="6">
                  <c:v>3.4333353241284698E-3</c:v>
                </c:pt>
                <c:pt idx="7">
                  <c:v>5.4799973964691218E-3</c:v>
                </c:pt>
                <c:pt idx="8">
                  <c:v>8.5266709327697782E-3</c:v>
                </c:pt>
                <c:pt idx="9">
                  <c:v>1.38799970348676E-2</c:v>
                </c:pt>
                <c:pt idx="10">
                  <c:v>2.2453326980272928E-2</c:v>
                </c:pt>
                <c:pt idx="11">
                  <c:v>3.5113328695297236E-2</c:v>
                </c:pt>
                <c:pt idx="12">
                  <c:v>5.3453338642915085E-2</c:v>
                </c:pt>
                <c:pt idx="13">
                  <c:v>7.7013332645098367E-2</c:v>
                </c:pt>
                <c:pt idx="14">
                  <c:v>0.10572000493605932</c:v>
                </c:pt>
                <c:pt idx="15">
                  <c:v>0.14081333726644515</c:v>
                </c:pt>
                <c:pt idx="16">
                  <c:v>0.18271333078543345</c:v>
                </c:pt>
                <c:pt idx="17">
                  <c:v>0.23079999138911567</c:v>
                </c:pt>
                <c:pt idx="18">
                  <c:v>0.27820000598827999</c:v>
                </c:pt>
                <c:pt idx="19">
                  <c:v>0.31694000711043674</c:v>
                </c:pt>
                <c:pt idx="20">
                  <c:v>0.34431334262092905</c:v>
                </c:pt>
                <c:pt idx="21">
                  <c:v>0.37168667813142142</c:v>
                </c:pt>
                <c:pt idx="22">
                  <c:v>0.38203333864609401</c:v>
                </c:pt>
                <c:pt idx="23">
                  <c:v>0.39061333239078522</c:v>
                </c:pt>
                <c:pt idx="24">
                  <c:v>0.39422001143296559</c:v>
                </c:pt>
                <c:pt idx="25">
                  <c:v>0.39636665334304172</c:v>
                </c:pt>
                <c:pt idx="26">
                  <c:v>0.40093335111935935</c:v>
                </c:pt>
                <c:pt idx="27">
                  <c:v>0.40576664706071219</c:v>
                </c:pt>
                <c:pt idx="28">
                  <c:v>0.41193331281344098</c:v>
                </c:pt>
                <c:pt idx="29">
                  <c:v>0.42241999357938764</c:v>
                </c:pt>
                <c:pt idx="30">
                  <c:v>0.43536665489276249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AE-AB4E-8539-48F9BEE28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209327"/>
        <c:axId val="447211023"/>
      </c:scatterChart>
      <c:valAx>
        <c:axId val="4472093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211023"/>
        <c:crosses val="autoZero"/>
        <c:crossBetween val="midCat"/>
      </c:valAx>
      <c:valAx>
        <c:axId val="44721102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720932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B2</c:v>
          </c:tx>
          <c:spPr>
            <a:ln w="28575">
              <a:noFill/>
            </a:ln>
          </c:spPr>
          <c:xVal>
            <c:numRef>
              <c:f>'1077std-BHI'!$B$54:$Q$54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'1077std-BHI'!$B$93:$Q$93</c:f>
              <c:numCache>
                <c:formatCode>General</c:formatCode>
                <c:ptCount val="16"/>
                <c:pt idx="0">
                  <c:v>6.4583215862512589E-4</c:v>
                </c:pt>
                <c:pt idx="1">
                  <c:v>6.6250159094731476E-4</c:v>
                </c:pt>
                <c:pt idx="2">
                  <c:v>9.7499694675207138E-4</c:v>
                </c:pt>
                <c:pt idx="3">
                  <c:v>1.1666671683390889E-3</c:v>
                </c:pt>
                <c:pt idx="4">
                  <c:v>1.7750014861424718E-3</c:v>
                </c:pt>
                <c:pt idx="5">
                  <c:v>2.6083346456289291E-3</c:v>
                </c:pt>
                <c:pt idx="6">
                  <c:v>4.1999962801734653E-3</c:v>
                </c:pt>
                <c:pt idx="7">
                  <c:v>6.9499965757131577E-3</c:v>
                </c:pt>
                <c:pt idx="8">
                  <c:v>1.1191667678455516E-2</c:v>
                </c:pt>
                <c:pt idx="9">
                  <c:v>1.8229166977107525E-2</c:v>
                </c:pt>
                <c:pt idx="10">
                  <c:v>2.96249995008111E-2</c:v>
                </c:pt>
                <c:pt idx="11">
                  <c:v>4.5995838319261864E-2</c:v>
                </c:pt>
                <c:pt idx="12">
                  <c:v>6.8549996241927147E-2</c:v>
                </c:pt>
                <c:pt idx="13">
                  <c:v>9.6425003372132778E-2</c:v>
                </c:pt>
                <c:pt idx="14">
                  <c:v>0.130129170914491</c:v>
                </c:pt>
                <c:pt idx="15">
                  <c:v>0.16982500627636909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64-384B-8C52-94E88592DE4E}"/>
            </c:ext>
          </c:extLst>
        </c:ser>
        <c:ser>
          <c:idx val="1"/>
          <c:order val="1"/>
          <c:tx>
            <c:v>Model: B2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'1077std-BHI'!$B$54:$Q$54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'1077std-BHI'!$B$97:$Q$97</c:f>
              <c:numCache>
                <c:formatCode>General</c:formatCode>
                <c:ptCount val="16"/>
                <c:pt idx="0">
                  <c:v>4.2329439392081595E-4</c:v>
                </c:pt>
                <c:pt idx="1">
                  <c:v>6.3823269779742929E-4</c:v>
                </c:pt>
                <c:pt idx="2">
                  <c:v>9.6231129537232771E-4</c:v>
                </c:pt>
                <c:pt idx="3">
                  <c:v>1.4509488974742051E-3</c:v>
                </c:pt>
                <c:pt idx="4">
                  <c:v>2.1877044499067919E-3</c:v>
                </c:pt>
                <c:pt idx="5">
                  <c:v>3.2985660407981853E-3</c:v>
                </c:pt>
                <c:pt idx="6">
                  <c:v>4.9734953576432966E-3</c:v>
                </c:pt>
                <c:pt idx="7">
                  <c:v>7.4989118806649399E-3</c:v>
                </c:pt>
                <c:pt idx="8">
                  <c:v>1.130667173692191E-2</c:v>
                </c:pt>
                <c:pt idx="9">
                  <c:v>1.7047916791252237E-2</c:v>
                </c:pt>
                <c:pt idx="10">
                  <c:v>2.5704422458149526E-2</c:v>
                </c:pt>
                <c:pt idx="11">
                  <c:v>3.8756485146974322E-2</c:v>
                </c:pt>
                <c:pt idx="12">
                  <c:v>5.8436058751882798E-2</c:v>
                </c:pt>
                <c:pt idx="13">
                  <c:v>8.8108427518744842E-2</c:v>
                </c:pt>
                <c:pt idx="14">
                  <c:v>0.13284768284575296</c:v>
                </c:pt>
                <c:pt idx="15">
                  <c:v>0.20030441280694852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64-384B-8C52-94E88592D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772063"/>
        <c:axId val="368360431"/>
      </c:scatterChart>
      <c:valAx>
        <c:axId val="4457720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8360431"/>
        <c:crosses val="autoZero"/>
        <c:crossBetween val="midCat"/>
      </c:valAx>
      <c:valAx>
        <c:axId val="3683604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77206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B3</c:v>
          </c:tx>
          <c:spPr>
            <a:ln w="28575">
              <a:noFill/>
            </a:ln>
          </c:spPr>
          <c:xVal>
            <c:numRef>
              <c:f>'1077std-BHI'!$B$54:$S$54</c:f>
              <c:numCache>
                <c:formatCode>General</c:formatCode>
                <c:ptCount val="18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</c:numCache>
            </c:numRef>
          </c:xVal>
          <c:yVal>
            <c:numRef>
              <c:f>'1077std-BHI'!$B$94:$S$94</c:f>
              <c:numCache>
                <c:formatCode>General</c:formatCode>
                <c:ptCount val="18"/>
                <c:pt idx="0">
                  <c:v>6.4000089963277274E-4</c:v>
                </c:pt>
                <c:pt idx="1">
                  <c:v>8.1333319346109378E-4</c:v>
                </c:pt>
                <c:pt idx="2">
                  <c:v>1.1000027259190914E-3</c:v>
                </c:pt>
                <c:pt idx="3">
                  <c:v>1.6733313600222205E-3</c:v>
                </c:pt>
                <c:pt idx="4">
                  <c:v>1.6866708795229557E-3</c:v>
                </c:pt>
                <c:pt idx="5">
                  <c:v>2.3533334334691347E-3</c:v>
                </c:pt>
                <c:pt idx="6">
                  <c:v>3.4333353241284698E-3</c:v>
                </c:pt>
                <c:pt idx="7">
                  <c:v>5.4799973964691218E-3</c:v>
                </c:pt>
                <c:pt idx="8">
                  <c:v>8.5266709327697782E-3</c:v>
                </c:pt>
                <c:pt idx="9">
                  <c:v>1.38799970348676E-2</c:v>
                </c:pt>
                <c:pt idx="10">
                  <c:v>2.2453326980272928E-2</c:v>
                </c:pt>
                <c:pt idx="11">
                  <c:v>3.5113328695297236E-2</c:v>
                </c:pt>
                <c:pt idx="12">
                  <c:v>5.3453338642915085E-2</c:v>
                </c:pt>
                <c:pt idx="13">
                  <c:v>7.7013332645098367E-2</c:v>
                </c:pt>
                <c:pt idx="14">
                  <c:v>0.10572000493605932</c:v>
                </c:pt>
                <c:pt idx="15">
                  <c:v>0.14081333726644515</c:v>
                </c:pt>
                <c:pt idx="16">
                  <c:v>0.18271333078543345</c:v>
                </c:pt>
                <c:pt idx="17">
                  <c:v>0.23079999138911567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2B-BF49-8EED-D49F3B4CE7B9}"/>
            </c:ext>
          </c:extLst>
        </c:ser>
        <c:ser>
          <c:idx val="1"/>
          <c:order val="1"/>
          <c:tx>
            <c:v>Model: B3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'1077std-BHI'!$B$54:$S$54</c:f>
              <c:numCache>
                <c:formatCode>General</c:formatCode>
                <c:ptCount val="18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</c:numCache>
            </c:numRef>
          </c:xVal>
          <c:yVal>
            <c:numRef>
              <c:f>'1077std-BHI'!$B$98:$S$98</c:f>
              <c:numCache>
                <c:formatCode>General</c:formatCode>
                <c:ptCount val="18"/>
                <c:pt idx="0">
                  <c:v>4.8684888572384367E-4</c:v>
                </c:pt>
                <c:pt idx="1">
                  <c:v>7.077872541141378E-4</c:v>
                </c:pt>
                <c:pt idx="2">
                  <c:v>1.0289903330919674E-3</c:v>
                </c:pt>
                <c:pt idx="3">
                  <c:v>1.4959595548551267E-3</c:v>
                </c:pt>
                <c:pt idx="4">
                  <c:v>2.1748454944545471E-3</c:v>
                </c:pt>
                <c:pt idx="5">
                  <c:v>3.1618187198966786E-3</c:v>
                </c:pt>
                <c:pt idx="6">
                  <c:v>4.5966932561323651E-3</c:v>
                </c:pt>
                <c:pt idx="7">
                  <c:v>6.6827325545290046E-3</c:v>
                </c:pt>
                <c:pt idx="8">
                  <c:v>9.7154436693775732E-3</c:v>
                </c:pt>
                <c:pt idx="9">
                  <c:v>1.4124438606910743E-2</c:v>
                </c:pt>
                <c:pt idx="10">
                  <c:v>2.0534292899993912E-2</c:v>
                </c:pt>
                <c:pt idx="11">
                  <c:v>2.9853022597049216E-2</c:v>
                </c:pt>
                <c:pt idx="12">
                  <c:v>4.3400713261482426E-2</c:v>
                </c:pt>
                <c:pt idx="13">
                  <c:v>6.3096522487193621E-2</c:v>
                </c:pt>
                <c:pt idx="14">
                  <c:v>9.1730546592426063E-2</c:v>
                </c:pt>
                <c:pt idx="15">
                  <c:v>0.13335906396193364</c:v>
                </c:pt>
                <c:pt idx="16">
                  <c:v>0.19387914496817749</c:v>
                </c:pt>
                <c:pt idx="17">
                  <c:v>0.28186402736240773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2B-BF49-8EED-D49F3B4CE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510815"/>
        <c:axId val="446199951"/>
      </c:scatterChart>
      <c:valAx>
        <c:axId val="4465108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6199951"/>
        <c:crosses val="autoZero"/>
        <c:crossBetween val="midCat"/>
      </c:valAx>
      <c:valAx>
        <c:axId val="44619995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510815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B4 (-W1)</c:v>
          </c:tx>
          <c:spPr>
            <a:ln w="28575">
              <a:noFill/>
            </a:ln>
          </c:spPr>
          <c:marker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'1077std-V1'!$B$54:$AF$54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'1077std-V1'!$B$92:$AF$92</c:f>
              <c:numCache>
                <c:formatCode>General</c:formatCode>
                <c:ptCount val="31"/>
                <c:pt idx="0">
                  <c:v>6.999969482421875E-4</c:v>
                </c:pt>
                <c:pt idx="1">
                  <c:v>7.9999864101409912E-4</c:v>
                </c:pt>
                <c:pt idx="2">
                  <c:v>1.100003719329834E-3</c:v>
                </c:pt>
                <c:pt idx="3">
                  <c:v>1.1999979615211487E-3</c:v>
                </c:pt>
                <c:pt idx="4">
                  <c:v>1.8000006675720215E-3</c:v>
                </c:pt>
                <c:pt idx="5">
                  <c:v>2.499997615814209E-3</c:v>
                </c:pt>
                <c:pt idx="6">
                  <c:v>3.2999962568283081E-3</c:v>
                </c:pt>
                <c:pt idx="7">
                  <c:v>4.1000023484230042E-3</c:v>
                </c:pt>
                <c:pt idx="8">
                  <c:v>5.1000043749809265E-3</c:v>
                </c:pt>
                <c:pt idx="9">
                  <c:v>6.4000040292739868E-3</c:v>
                </c:pt>
                <c:pt idx="10">
                  <c:v>8.299998939037323E-3</c:v>
                </c:pt>
                <c:pt idx="11">
                  <c:v>1.0800004005432129E-2</c:v>
                </c:pt>
                <c:pt idx="12">
                  <c:v>1.4499999582767487E-2</c:v>
                </c:pt>
                <c:pt idx="13">
                  <c:v>1.940000057220459E-2</c:v>
                </c:pt>
                <c:pt idx="14">
                  <c:v>2.7300000190734863E-2</c:v>
                </c:pt>
                <c:pt idx="15">
                  <c:v>3.9299994707107544E-2</c:v>
                </c:pt>
                <c:pt idx="16">
                  <c:v>5.8100000023841858E-2</c:v>
                </c:pt>
                <c:pt idx="17">
                  <c:v>8.4100000560283661E-2</c:v>
                </c:pt>
                <c:pt idx="18">
                  <c:v>0.1169000044465065</c:v>
                </c:pt>
                <c:pt idx="19">
                  <c:v>0.15610000491142273</c:v>
                </c:pt>
                <c:pt idx="20">
                  <c:v>0.19795000180602074</c:v>
                </c:pt>
                <c:pt idx="21">
                  <c:v>0.23979999870061874</c:v>
                </c:pt>
                <c:pt idx="22">
                  <c:v>0.27969998866319656</c:v>
                </c:pt>
                <c:pt idx="23">
                  <c:v>0.31759999692440033</c:v>
                </c:pt>
                <c:pt idx="24">
                  <c:v>0.34260000288486481</c:v>
                </c:pt>
                <c:pt idx="25">
                  <c:v>0.35460001230239868</c:v>
                </c:pt>
                <c:pt idx="26">
                  <c:v>0.3635999858379364</c:v>
                </c:pt>
                <c:pt idx="27">
                  <c:v>0.36810000240802765</c:v>
                </c:pt>
                <c:pt idx="28">
                  <c:v>0.37199999392032623</c:v>
                </c:pt>
                <c:pt idx="29">
                  <c:v>0.37920001149177551</c:v>
                </c:pt>
                <c:pt idx="30">
                  <c:v>0.38820001482963562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40-3E4F-A93E-4331ABCF04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515055"/>
        <c:axId val="446512767"/>
      </c:scatterChart>
      <c:valAx>
        <c:axId val="4465150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6512767"/>
        <c:crosses val="autoZero"/>
        <c:crossBetween val="midCat"/>
      </c:valAx>
      <c:valAx>
        <c:axId val="4465127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515055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B4</c:v>
          </c:tx>
          <c:spPr>
            <a:ln w="28575">
              <a:noFill/>
            </a:ln>
          </c:spPr>
          <c:xVal>
            <c:numRef>
              <c:f>'1077std-V1'!$B$54:$P$54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'1077std-V1'!$B$92:$P$92</c:f>
              <c:numCache>
                <c:formatCode>General</c:formatCode>
                <c:ptCount val="15"/>
                <c:pt idx="0">
                  <c:v>6.999969482421875E-4</c:v>
                </c:pt>
                <c:pt idx="1">
                  <c:v>7.9999864101409912E-4</c:v>
                </c:pt>
                <c:pt idx="2">
                  <c:v>1.100003719329834E-3</c:v>
                </c:pt>
                <c:pt idx="3">
                  <c:v>1.1999979615211487E-3</c:v>
                </c:pt>
                <c:pt idx="4">
                  <c:v>1.8000006675720215E-3</c:v>
                </c:pt>
                <c:pt idx="5">
                  <c:v>2.499997615814209E-3</c:v>
                </c:pt>
                <c:pt idx="6">
                  <c:v>3.2999962568283081E-3</c:v>
                </c:pt>
                <c:pt idx="7">
                  <c:v>4.1000023484230042E-3</c:v>
                </c:pt>
                <c:pt idx="8">
                  <c:v>5.1000043749809265E-3</c:v>
                </c:pt>
                <c:pt idx="9">
                  <c:v>6.4000040292739868E-3</c:v>
                </c:pt>
                <c:pt idx="10">
                  <c:v>8.299998939037323E-3</c:v>
                </c:pt>
                <c:pt idx="11">
                  <c:v>1.0800004005432129E-2</c:v>
                </c:pt>
                <c:pt idx="12">
                  <c:v>1.4499999582767487E-2</c:v>
                </c:pt>
                <c:pt idx="13">
                  <c:v>1.940000057220459E-2</c:v>
                </c:pt>
                <c:pt idx="14">
                  <c:v>2.7300000190734863E-2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7B-C443-88A2-612C284894AF}"/>
            </c:ext>
          </c:extLst>
        </c:ser>
        <c:ser>
          <c:idx val="1"/>
          <c:order val="1"/>
          <c:tx>
            <c:v>Model: B4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'1077std-V1'!$B$54:$P$54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'1077std-V1'!$B$94:$P$94</c:f>
              <c:numCache>
                <c:formatCode>General</c:formatCode>
                <c:ptCount val="15"/>
                <c:pt idx="0">
                  <c:v>6.3655395589319076E-4</c:v>
                </c:pt>
                <c:pt idx="1">
                  <c:v>8.272166840199573E-4</c:v>
                </c:pt>
                <c:pt idx="2">
                  <c:v>1.0749873376575045E-3</c:v>
                </c:pt>
                <c:pt idx="3">
                  <c:v>1.3969710699114604E-3</c:v>
                </c:pt>
                <c:pt idx="4">
                  <c:v>1.8153964254333705E-3</c:v>
                </c:pt>
                <c:pt idx="5">
                  <c:v>2.359149915456115E-3</c:v>
                </c:pt>
                <c:pt idx="6">
                  <c:v>3.0657702337757884E-3</c:v>
                </c:pt>
                <c:pt idx="7">
                  <c:v>3.9840397868435018E-3</c:v>
                </c:pt>
                <c:pt idx="8">
                  <c:v>5.1773524474479074E-3</c:v>
                </c:pt>
                <c:pt idx="9">
                  <c:v>6.7280900290235422E-3</c:v>
                </c:pt>
                <c:pt idx="10">
                  <c:v>8.7433096158944616E-3</c:v>
                </c:pt>
                <c:pt idx="11">
                  <c:v>1.136213438132117E-2</c:v>
                </c:pt>
                <c:pt idx="12">
                  <c:v>1.4765358127603446E-2</c:v>
                </c:pt>
                <c:pt idx="13">
                  <c:v>1.918792660952796E-2</c:v>
                </c:pt>
                <c:pt idx="14">
                  <c:v>2.4935157304741221E-2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7B-C443-88A2-612C28489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91"/>
        <c:axId val="447071295"/>
      </c:scatterChart>
      <c:valAx>
        <c:axId val="4098777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071295"/>
        <c:crosses val="autoZero"/>
        <c:crossBetween val="midCat"/>
      </c:valAx>
      <c:valAx>
        <c:axId val="4470712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9877791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B9 (-W1)</c:v>
          </c:tx>
          <c:spPr>
            <a:ln w="28575">
              <a:noFill/>
            </a:ln>
          </c:spPr>
          <c:marker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'1077std-V0,5'!$B$54:$AF$54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'1077std-V0,5'!$B$92:$AF$92</c:f>
              <c:numCache>
                <c:formatCode>General</c:formatCode>
                <c:ptCount val="31"/>
                <c:pt idx="0">
                  <c:v>3.9999932050704956E-4</c:v>
                </c:pt>
                <c:pt idx="1">
                  <c:v>5.0000101327896118E-4</c:v>
                </c:pt>
                <c:pt idx="2">
                  <c:v>7.0000439882278442E-4</c:v>
                </c:pt>
                <c:pt idx="3">
                  <c:v>9.0000033378601074E-4</c:v>
                </c:pt>
                <c:pt idx="4">
                  <c:v>1.2999996542930603E-3</c:v>
                </c:pt>
                <c:pt idx="5">
                  <c:v>2.199999988079071E-3</c:v>
                </c:pt>
                <c:pt idx="6">
                  <c:v>3.3999979496002197E-3</c:v>
                </c:pt>
                <c:pt idx="7">
                  <c:v>5.3000003099441528E-3</c:v>
                </c:pt>
                <c:pt idx="8">
                  <c:v>8.6000040173530579E-3</c:v>
                </c:pt>
                <c:pt idx="9">
                  <c:v>1.430000364780426E-2</c:v>
                </c:pt>
                <c:pt idx="10">
                  <c:v>2.3299999535083771E-2</c:v>
                </c:pt>
                <c:pt idx="11">
                  <c:v>3.6399997770786285E-2</c:v>
                </c:pt>
                <c:pt idx="12">
                  <c:v>5.5299997329711914E-2</c:v>
                </c:pt>
                <c:pt idx="13">
                  <c:v>8.0400004982948303E-2</c:v>
                </c:pt>
                <c:pt idx="14">
                  <c:v>0.11210000514984131</c:v>
                </c:pt>
                <c:pt idx="15">
                  <c:v>0.1502000093460083</c:v>
                </c:pt>
                <c:pt idx="16">
                  <c:v>0.19300000369548798</c:v>
                </c:pt>
                <c:pt idx="17">
                  <c:v>0.24169998615980148</c:v>
                </c:pt>
                <c:pt idx="18">
                  <c:v>0.28339999169111252</c:v>
                </c:pt>
                <c:pt idx="19">
                  <c:v>0.31439998745918274</c:v>
                </c:pt>
                <c:pt idx="20">
                  <c:v>0.33309998735785484</c:v>
                </c:pt>
                <c:pt idx="21">
                  <c:v>0.35179998725652695</c:v>
                </c:pt>
                <c:pt idx="22">
                  <c:v>0.36100000888109207</c:v>
                </c:pt>
                <c:pt idx="23">
                  <c:v>0.36349998414516449</c:v>
                </c:pt>
                <c:pt idx="24">
                  <c:v>0.36290000379085541</c:v>
                </c:pt>
                <c:pt idx="25">
                  <c:v>0.36559998989105225</c:v>
                </c:pt>
                <c:pt idx="26">
                  <c:v>0.36550000309944153</c:v>
                </c:pt>
                <c:pt idx="27">
                  <c:v>0.3710000067949295</c:v>
                </c:pt>
                <c:pt idx="28">
                  <c:v>0.37669999897480011</c:v>
                </c:pt>
                <c:pt idx="29">
                  <c:v>0.39010000228881836</c:v>
                </c:pt>
                <c:pt idx="30">
                  <c:v>0.40239998698234558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8-CF49-8C2B-893FCC5A1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434367"/>
        <c:axId val="446436063"/>
      </c:scatterChart>
      <c:valAx>
        <c:axId val="4464343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6436063"/>
        <c:crosses val="autoZero"/>
        <c:crossBetween val="midCat"/>
      </c:valAx>
      <c:valAx>
        <c:axId val="44643606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43436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B9</c:v>
          </c:tx>
          <c:spPr>
            <a:ln w="28575">
              <a:noFill/>
            </a:ln>
          </c:spPr>
          <c:xVal>
            <c:numRef>
              <c:f>'1077std-V0,5'!$B$54:$Q$54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'1077std-V0,5'!$B$92:$Q$92</c:f>
              <c:numCache>
                <c:formatCode>General</c:formatCode>
                <c:ptCount val="16"/>
                <c:pt idx="0">
                  <c:v>3.9999932050704956E-4</c:v>
                </c:pt>
                <c:pt idx="1">
                  <c:v>5.0000101327896118E-4</c:v>
                </c:pt>
                <c:pt idx="2">
                  <c:v>7.0000439882278442E-4</c:v>
                </c:pt>
                <c:pt idx="3">
                  <c:v>9.0000033378601074E-4</c:v>
                </c:pt>
                <c:pt idx="4">
                  <c:v>1.2999996542930603E-3</c:v>
                </c:pt>
                <c:pt idx="5">
                  <c:v>2.199999988079071E-3</c:v>
                </c:pt>
                <c:pt idx="6">
                  <c:v>3.3999979496002197E-3</c:v>
                </c:pt>
                <c:pt idx="7">
                  <c:v>5.3000003099441528E-3</c:v>
                </c:pt>
                <c:pt idx="8">
                  <c:v>8.6000040173530579E-3</c:v>
                </c:pt>
                <c:pt idx="9">
                  <c:v>1.430000364780426E-2</c:v>
                </c:pt>
                <c:pt idx="10">
                  <c:v>2.3299999535083771E-2</c:v>
                </c:pt>
                <c:pt idx="11">
                  <c:v>3.6399997770786285E-2</c:v>
                </c:pt>
                <c:pt idx="12">
                  <c:v>5.5299997329711914E-2</c:v>
                </c:pt>
                <c:pt idx="13">
                  <c:v>8.0400004982948303E-2</c:v>
                </c:pt>
                <c:pt idx="14">
                  <c:v>0.11210000514984131</c:v>
                </c:pt>
                <c:pt idx="15">
                  <c:v>0.1502000093460083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4C-054F-9BE2-705B4C7588C5}"/>
            </c:ext>
          </c:extLst>
        </c:ser>
        <c:ser>
          <c:idx val="1"/>
          <c:order val="1"/>
          <c:tx>
            <c:v>Model: B9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'1077std-V0,5'!$B$54:$Q$54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'1077std-V0,5'!$B$94:$Q$94</c:f>
              <c:numCache>
                <c:formatCode>General</c:formatCode>
                <c:ptCount val="16"/>
                <c:pt idx="0">
                  <c:v>2.9846153582945803E-4</c:v>
                </c:pt>
                <c:pt idx="1">
                  <c:v>4.5615447976576185E-4</c:v>
                </c:pt>
                <c:pt idx="2">
                  <c:v>6.9716490881179644E-4</c:v>
                </c:pt>
                <c:pt idx="3">
                  <c:v>1.0655138371723203E-3</c:v>
                </c:pt>
                <c:pt idx="4">
                  <c:v>1.6284808986451265E-3</c:v>
                </c:pt>
                <c:pt idx="5">
                  <c:v>2.4888930999618273E-3</c:v>
                </c:pt>
                <c:pt idx="6">
                  <c:v>3.8039063695444082E-3</c:v>
                </c:pt>
                <c:pt idx="7">
                  <c:v>5.8137103873534936E-3</c:v>
                </c:pt>
                <c:pt idx="8">
                  <c:v>8.8853996877084115E-3</c:v>
                </c:pt>
                <c:pt idx="9">
                  <c:v>1.3580024175622599E-2</c:v>
                </c:pt>
                <c:pt idx="10">
                  <c:v>2.0755065961254066E-2</c:v>
                </c:pt>
                <c:pt idx="11">
                  <c:v>3.1721060101592771E-2</c:v>
                </c:pt>
                <c:pt idx="12">
                  <c:v>4.848096632635622E-2</c:v>
                </c:pt>
                <c:pt idx="13">
                  <c:v>7.4096013450044393E-2</c:v>
                </c:pt>
                <c:pt idx="14">
                  <c:v>0.1132448386492754</c:v>
                </c:pt>
                <c:pt idx="15">
                  <c:v>0.17307804946006489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4C-054F-9BE2-705B4C758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95759"/>
        <c:axId val="215569935"/>
      </c:scatterChart>
      <c:valAx>
        <c:axId val="215795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5569935"/>
        <c:crosses val="autoZero"/>
        <c:crossBetween val="midCat"/>
      </c:valAx>
      <c:valAx>
        <c:axId val="2155699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9575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C2 (-W1)</c:v>
          </c:tx>
          <c:spPr>
            <a:ln w="28575">
              <a:noFill/>
            </a:ln>
          </c:spPr>
          <c:marker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'1077std-V0,25'!$B$54:$AF$54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'1077std-V0,25'!$B$94:$AF$94</c:f>
              <c:numCache>
                <c:formatCode>General</c:formatCode>
                <c:ptCount val="31"/>
                <c:pt idx="0">
                  <c:v>6.000027060508728E-4</c:v>
                </c:pt>
                <c:pt idx="1">
                  <c:v>6.000027060508728E-4</c:v>
                </c:pt>
                <c:pt idx="2">
                  <c:v>7.0000439882278442E-4</c:v>
                </c:pt>
                <c:pt idx="3">
                  <c:v>1.0999962687492371E-3</c:v>
                </c:pt>
                <c:pt idx="4">
                  <c:v>1.6000047326087952E-3</c:v>
                </c:pt>
                <c:pt idx="5">
                  <c:v>2.6999935507774353E-3</c:v>
                </c:pt>
                <c:pt idx="6">
                  <c:v>3.6999955773353577E-3</c:v>
                </c:pt>
                <c:pt idx="7">
                  <c:v>5.9000030159950256E-3</c:v>
                </c:pt>
                <c:pt idx="8">
                  <c:v>9.5999985933303833E-3</c:v>
                </c:pt>
                <c:pt idx="9">
                  <c:v>1.5600003302097321E-2</c:v>
                </c:pt>
                <c:pt idx="10">
                  <c:v>2.5500006973743439E-2</c:v>
                </c:pt>
                <c:pt idx="11">
                  <c:v>3.9800010621547699E-2</c:v>
                </c:pt>
                <c:pt idx="12">
                  <c:v>5.9799998998641968E-2</c:v>
                </c:pt>
                <c:pt idx="13">
                  <c:v>8.529999852180481E-2</c:v>
                </c:pt>
                <c:pt idx="14">
                  <c:v>0.11630000174045563</c:v>
                </c:pt>
                <c:pt idx="15">
                  <c:v>0.15270000696182251</c:v>
                </c:pt>
                <c:pt idx="16">
                  <c:v>0.19539998471736908</c:v>
                </c:pt>
                <c:pt idx="17">
                  <c:v>0.24149998277425766</c:v>
                </c:pt>
                <c:pt idx="18">
                  <c:v>0.28350000828504562</c:v>
                </c:pt>
                <c:pt idx="19">
                  <c:v>0.31949999928474426</c:v>
                </c:pt>
                <c:pt idx="20">
                  <c:v>0.33555000647902489</c:v>
                </c:pt>
                <c:pt idx="21">
                  <c:v>0.35160001367330551</c:v>
                </c:pt>
                <c:pt idx="22">
                  <c:v>0.35940001159906387</c:v>
                </c:pt>
                <c:pt idx="23">
                  <c:v>0.36319999396800995</c:v>
                </c:pt>
                <c:pt idx="24">
                  <c:v>0.36409999430179596</c:v>
                </c:pt>
                <c:pt idx="25">
                  <c:v>0.36800000071525574</c:v>
                </c:pt>
                <c:pt idx="26">
                  <c:v>0.37209999561309814</c:v>
                </c:pt>
                <c:pt idx="27">
                  <c:v>0.37759999930858612</c:v>
                </c:pt>
                <c:pt idx="28">
                  <c:v>0.38610000908374786</c:v>
                </c:pt>
                <c:pt idx="29">
                  <c:v>0.39839997887611389</c:v>
                </c:pt>
                <c:pt idx="30">
                  <c:v>0.41300001740455627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9E-9C43-8F36-5C8C1B03979F}"/>
            </c:ext>
          </c:extLst>
        </c:ser>
        <c:ser>
          <c:idx val="1"/>
          <c:order val="1"/>
          <c:tx>
            <c:v>C3 (-W1)</c:v>
          </c:tx>
          <c:spPr>
            <a:ln w="28575">
              <a:noFill/>
            </a:ln>
          </c:spPr>
          <c:marker>
            <c:spPr>
              <a:solidFill>
                <a:srgbClr val="00808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'1077std-V0,25'!$B$54:$AF$54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'1077std-V0,25'!$B$95:$AF$95</c:f>
              <c:numCache>
                <c:formatCode>General</c:formatCode>
                <c:ptCount val="31"/>
                <c:pt idx="0">
                  <c:v>9.0000033378601074E-4</c:v>
                </c:pt>
                <c:pt idx="1">
                  <c:v>1.0000020265579224E-3</c:v>
                </c:pt>
                <c:pt idx="2">
                  <c:v>1.1999979615211487E-3</c:v>
                </c:pt>
                <c:pt idx="3">
                  <c:v>1.6999989748001099E-3</c:v>
                </c:pt>
                <c:pt idx="4">
                  <c:v>2.3000016808509827E-3</c:v>
                </c:pt>
                <c:pt idx="5">
                  <c:v>3.4999996423721313E-3</c:v>
                </c:pt>
                <c:pt idx="6">
                  <c:v>5.4000020027160645E-3</c:v>
                </c:pt>
                <c:pt idx="7">
                  <c:v>8.7999999523162842E-3</c:v>
                </c:pt>
                <c:pt idx="8">
                  <c:v>1.3800002634525299E-2</c:v>
                </c:pt>
                <c:pt idx="9">
                  <c:v>2.2100009024143219E-2</c:v>
                </c:pt>
                <c:pt idx="10">
                  <c:v>3.500000387430191E-2</c:v>
                </c:pt>
                <c:pt idx="11">
                  <c:v>5.2900008857250214E-2</c:v>
                </c:pt>
                <c:pt idx="12">
                  <c:v>7.7500000596046448E-2</c:v>
                </c:pt>
                <c:pt idx="13">
                  <c:v>0.10639999806880951</c:v>
                </c:pt>
                <c:pt idx="14">
                  <c:v>0.1413000077009201</c:v>
                </c:pt>
                <c:pt idx="15">
                  <c:v>0.18169999122619629</c:v>
                </c:pt>
                <c:pt idx="16">
                  <c:v>0.22689999639987946</c:v>
                </c:pt>
                <c:pt idx="17">
                  <c:v>0.27149998396635056</c:v>
                </c:pt>
                <c:pt idx="18">
                  <c:v>0.30770000070333481</c:v>
                </c:pt>
                <c:pt idx="19">
                  <c:v>0.33950001001358032</c:v>
                </c:pt>
                <c:pt idx="20">
                  <c:v>0.34770001098513603</c:v>
                </c:pt>
                <c:pt idx="21">
                  <c:v>0.35590001195669174</c:v>
                </c:pt>
                <c:pt idx="22">
                  <c:v>0.3603999987244606</c:v>
                </c:pt>
                <c:pt idx="23">
                  <c:v>0.36060000956058502</c:v>
                </c:pt>
                <c:pt idx="24">
                  <c:v>0.36369998753070831</c:v>
                </c:pt>
                <c:pt idx="25">
                  <c:v>0.3668999969959259</c:v>
                </c:pt>
                <c:pt idx="26">
                  <c:v>0.37200000882148743</c:v>
                </c:pt>
                <c:pt idx="27">
                  <c:v>0.38030000030994415</c:v>
                </c:pt>
                <c:pt idx="28">
                  <c:v>0.39060001075267792</c:v>
                </c:pt>
                <c:pt idx="29">
                  <c:v>0.4041999876499176</c:v>
                </c:pt>
                <c:pt idx="30">
                  <c:v>0.41899999976158142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9E-9C43-8F36-5C8C1B03979F}"/>
            </c:ext>
          </c:extLst>
        </c:ser>
        <c:ser>
          <c:idx val="2"/>
          <c:order val="2"/>
          <c:tx>
            <c:v>C4 (-W1)</c:v>
          </c:tx>
          <c:spPr>
            <a:ln w="28575">
              <a:noFill/>
            </a:ln>
          </c:spPr>
          <c:marker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'1077std-V0,25'!$B$54:$AF$54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'1077std-V0,25'!$B$96:$AF$96</c:f>
              <c:numCache>
                <c:formatCode>General</c:formatCode>
                <c:ptCount val="31"/>
                <c:pt idx="0">
                  <c:v>9.0000033378601074E-4</c:v>
                </c:pt>
                <c:pt idx="1">
                  <c:v>1.0000020265579224E-3</c:v>
                </c:pt>
                <c:pt idx="2">
                  <c:v>1.2999996542930603E-3</c:v>
                </c:pt>
                <c:pt idx="3">
                  <c:v>1.6999989748001099E-3</c:v>
                </c:pt>
                <c:pt idx="4">
                  <c:v>2.5000050663948059E-3</c:v>
                </c:pt>
                <c:pt idx="5">
                  <c:v>4.0999948978424072E-3</c:v>
                </c:pt>
                <c:pt idx="6">
                  <c:v>6.2000006437301636E-3</c:v>
                </c:pt>
                <c:pt idx="7">
                  <c:v>9.9999979138374329E-3</c:v>
                </c:pt>
                <c:pt idx="8">
                  <c:v>1.640000194311142E-2</c:v>
                </c:pt>
                <c:pt idx="9">
                  <c:v>2.6599995791912079E-2</c:v>
                </c:pt>
                <c:pt idx="10">
                  <c:v>4.1400007903575897E-2</c:v>
                </c:pt>
                <c:pt idx="11">
                  <c:v>6.2300004065036774E-2</c:v>
                </c:pt>
                <c:pt idx="12">
                  <c:v>8.9200004935264587E-2</c:v>
                </c:pt>
                <c:pt idx="13">
                  <c:v>0.12109999358654022</c:v>
                </c:pt>
                <c:pt idx="14">
                  <c:v>0.15860000252723694</c:v>
                </c:pt>
                <c:pt idx="15">
                  <c:v>0.20109999179840088</c:v>
                </c:pt>
                <c:pt idx="16">
                  <c:v>0.24650000035762787</c:v>
                </c:pt>
                <c:pt idx="17">
                  <c:v>0.28719999641180038</c:v>
                </c:pt>
                <c:pt idx="18">
                  <c:v>0.32149999588727951</c:v>
                </c:pt>
                <c:pt idx="19">
                  <c:v>0.34860000014305115</c:v>
                </c:pt>
                <c:pt idx="20">
                  <c:v>0.35399999842047691</c:v>
                </c:pt>
                <c:pt idx="21">
                  <c:v>0.35939999669790268</c:v>
                </c:pt>
                <c:pt idx="22">
                  <c:v>0.36219999939203262</c:v>
                </c:pt>
                <c:pt idx="23">
                  <c:v>0.36249999701976776</c:v>
                </c:pt>
                <c:pt idx="24">
                  <c:v>0.36479999125003815</c:v>
                </c:pt>
                <c:pt idx="25">
                  <c:v>0.36939999461174011</c:v>
                </c:pt>
                <c:pt idx="26">
                  <c:v>0.37369999289512634</c:v>
                </c:pt>
                <c:pt idx="27">
                  <c:v>0.38189999759197235</c:v>
                </c:pt>
                <c:pt idx="28">
                  <c:v>0.3929000049829483</c:v>
                </c:pt>
                <c:pt idx="29">
                  <c:v>0.40790000557899475</c:v>
                </c:pt>
                <c:pt idx="30">
                  <c:v>0.41999998688697815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9E-9C43-8F36-5C8C1B039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025087"/>
        <c:axId val="447026783"/>
      </c:scatterChart>
      <c:valAx>
        <c:axId val="4470250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026783"/>
        <c:crosses val="autoZero"/>
        <c:crossBetween val="midCat"/>
      </c:valAx>
      <c:valAx>
        <c:axId val="4470267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702508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C2</c:v>
          </c:tx>
          <c:spPr>
            <a:ln w="28575">
              <a:noFill/>
            </a:ln>
          </c:spPr>
          <c:xVal>
            <c:numRef>
              <c:f>'1077std-V0,25'!$B$54:$R$54</c:f>
              <c:numCache>
                <c:formatCode>General</c:formatCode>
                <c:ptCount val="17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</c:numCache>
            </c:numRef>
          </c:xVal>
          <c:yVal>
            <c:numRef>
              <c:f>'1077std-V0,25'!$B$94:$R$94</c:f>
              <c:numCache>
                <c:formatCode>General</c:formatCode>
                <c:ptCount val="17"/>
                <c:pt idx="0">
                  <c:v>6.000027060508728E-4</c:v>
                </c:pt>
                <c:pt idx="1">
                  <c:v>6.000027060508728E-4</c:v>
                </c:pt>
                <c:pt idx="2">
                  <c:v>7.0000439882278442E-4</c:v>
                </c:pt>
                <c:pt idx="3">
                  <c:v>1.0999962687492371E-3</c:v>
                </c:pt>
                <c:pt idx="4">
                  <c:v>1.6000047326087952E-3</c:v>
                </c:pt>
                <c:pt idx="5">
                  <c:v>2.6999935507774353E-3</c:v>
                </c:pt>
                <c:pt idx="6">
                  <c:v>3.6999955773353577E-3</c:v>
                </c:pt>
                <c:pt idx="7">
                  <c:v>5.9000030159950256E-3</c:v>
                </c:pt>
                <c:pt idx="8">
                  <c:v>9.5999985933303833E-3</c:v>
                </c:pt>
                <c:pt idx="9">
                  <c:v>1.5600003302097321E-2</c:v>
                </c:pt>
                <c:pt idx="10">
                  <c:v>2.5500006973743439E-2</c:v>
                </c:pt>
                <c:pt idx="11">
                  <c:v>3.9800010621547699E-2</c:v>
                </c:pt>
                <c:pt idx="12">
                  <c:v>5.9799998998641968E-2</c:v>
                </c:pt>
                <c:pt idx="13">
                  <c:v>8.529999852180481E-2</c:v>
                </c:pt>
                <c:pt idx="14">
                  <c:v>0.11630000174045563</c:v>
                </c:pt>
                <c:pt idx="15">
                  <c:v>0.15270000696182251</c:v>
                </c:pt>
                <c:pt idx="16">
                  <c:v>0.19539998471736908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24-0847-8C12-B667EBC059F5}"/>
            </c:ext>
          </c:extLst>
        </c:ser>
        <c:ser>
          <c:idx val="1"/>
          <c:order val="1"/>
          <c:tx>
            <c:v>Model: C2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'1077std-V0,25'!$B$54:$R$54</c:f>
              <c:numCache>
                <c:formatCode>General</c:formatCode>
                <c:ptCount val="17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</c:numCache>
            </c:numRef>
          </c:xVal>
          <c:yVal>
            <c:numRef>
              <c:f>'1077std-V0,25'!$B$100:$R$100</c:f>
              <c:numCache>
                <c:formatCode>General</c:formatCode>
                <c:ptCount val="17"/>
                <c:pt idx="0">
                  <c:v>3.8631430237387606E-4</c:v>
                </c:pt>
                <c:pt idx="1">
                  <c:v>5.7869440305455841E-4</c:v>
                </c:pt>
                <c:pt idx="2">
                  <c:v>8.6687759181788436E-4</c:v>
                </c:pt>
                <c:pt idx="3">
                  <c:v>1.2985727099301611E-3</c:v>
                </c:pt>
                <c:pt idx="4">
                  <c:v>1.94524705551464E-3</c:v>
                </c:pt>
                <c:pt idx="5">
                  <c:v>2.913957823117879E-3</c:v>
                </c:pt>
                <c:pt idx="6">
                  <c:v>4.3650754647529579E-3</c:v>
                </c:pt>
                <c:pt idx="7">
                  <c:v>6.5388330818738323E-3</c:v>
                </c:pt>
                <c:pt idx="8">
                  <c:v>9.7950971106584208E-3</c:v>
                </c:pt>
                <c:pt idx="9">
                  <c:v>1.467294335333213E-2</c:v>
                </c:pt>
                <c:pt idx="10">
                  <c:v>2.1979901191160483E-2</c:v>
                </c:pt>
                <c:pt idx="11">
                  <c:v>3.2925640393988535E-2</c:v>
                </c:pt>
                <c:pt idx="12">
                  <c:v>4.9322232430700566E-2</c:v>
                </c:pt>
                <c:pt idx="13">
                  <c:v>7.3884139620020897E-2</c:v>
                </c:pt>
                <c:pt idx="14">
                  <c:v>0.11067759544462306</c:v>
                </c:pt>
                <c:pt idx="15">
                  <c:v>0.16579377111788565</c:v>
                </c:pt>
                <c:pt idx="16">
                  <c:v>0.24835717139557037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24-0847-8C12-B667EBC05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434367"/>
        <c:axId val="445949583"/>
      </c:scatterChart>
      <c:valAx>
        <c:axId val="4464343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949583"/>
        <c:crosses val="autoZero"/>
        <c:crossBetween val="midCat"/>
      </c:valAx>
      <c:valAx>
        <c:axId val="4459495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43436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C3</c:v>
          </c:tx>
          <c:spPr>
            <a:ln w="28575">
              <a:noFill/>
            </a:ln>
          </c:spPr>
          <c:xVal>
            <c:numRef>
              <c:f>'1077std-V0,25'!$B$54:$Q$54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'1077std-V0,25'!$B$95:$Q$95</c:f>
              <c:numCache>
                <c:formatCode>General</c:formatCode>
                <c:ptCount val="16"/>
                <c:pt idx="0">
                  <c:v>9.0000033378601074E-4</c:v>
                </c:pt>
                <c:pt idx="1">
                  <c:v>1.0000020265579224E-3</c:v>
                </c:pt>
                <c:pt idx="2">
                  <c:v>1.1999979615211487E-3</c:v>
                </c:pt>
                <c:pt idx="3">
                  <c:v>1.6999989748001099E-3</c:v>
                </c:pt>
                <c:pt idx="4">
                  <c:v>2.3000016808509827E-3</c:v>
                </c:pt>
                <c:pt idx="5">
                  <c:v>3.4999996423721313E-3</c:v>
                </c:pt>
                <c:pt idx="6">
                  <c:v>5.4000020027160645E-3</c:v>
                </c:pt>
                <c:pt idx="7">
                  <c:v>8.7999999523162842E-3</c:v>
                </c:pt>
                <c:pt idx="8">
                  <c:v>1.3800002634525299E-2</c:v>
                </c:pt>
                <c:pt idx="9">
                  <c:v>2.2100009024143219E-2</c:v>
                </c:pt>
                <c:pt idx="10">
                  <c:v>3.500000387430191E-2</c:v>
                </c:pt>
                <c:pt idx="11">
                  <c:v>5.2900008857250214E-2</c:v>
                </c:pt>
                <c:pt idx="12">
                  <c:v>7.7500000596046448E-2</c:v>
                </c:pt>
                <c:pt idx="13">
                  <c:v>0.10639999806880951</c:v>
                </c:pt>
                <c:pt idx="14">
                  <c:v>0.1413000077009201</c:v>
                </c:pt>
                <c:pt idx="15">
                  <c:v>0.18169999122619629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87-7041-B5D1-64A58FB9B8F6}"/>
            </c:ext>
          </c:extLst>
        </c:ser>
        <c:ser>
          <c:idx val="1"/>
          <c:order val="1"/>
          <c:tx>
            <c:v>Model: C3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'1077std-V0,25'!$B$54:$Q$54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'1077std-V0,25'!$B$101:$Q$101</c:f>
              <c:numCache>
                <c:formatCode>General</c:formatCode>
                <c:ptCount val="16"/>
                <c:pt idx="0">
                  <c:v>6.0875419591086119E-4</c:v>
                </c:pt>
                <c:pt idx="1">
                  <c:v>8.9994724083033962E-4</c:v>
                </c:pt>
                <c:pt idx="2">
                  <c:v>1.3304303144330758E-3</c:v>
                </c:pt>
                <c:pt idx="3">
                  <c:v>1.9668317666370694E-3</c:v>
                </c:pt>
                <c:pt idx="4">
                  <c:v>2.9076511233142735E-3</c:v>
                </c:pt>
                <c:pt idx="5">
                  <c:v>4.2985044264189035E-3</c:v>
                </c:pt>
                <c:pt idx="6">
                  <c:v>6.3546620692519085E-3</c:v>
                </c:pt>
                <c:pt idx="7">
                  <c:v>9.3943674377069495E-3</c:v>
                </c:pt>
                <c:pt idx="8">
                  <c:v>1.3888093275908566E-2</c:v>
                </c:pt>
                <c:pt idx="9">
                  <c:v>2.0531359468244956E-2</c:v>
                </c:pt>
                <c:pt idx="10">
                  <c:v>3.035238266620258E-2</c:v>
                </c:pt>
                <c:pt idx="11">
                  <c:v>4.487121931406847E-2</c:v>
                </c:pt>
                <c:pt idx="12">
                  <c:v>6.6335033558112808E-2</c:v>
                </c:pt>
                <c:pt idx="13">
                  <c:v>9.8065903811450805E-2</c:v>
                </c:pt>
                <c:pt idx="14">
                  <c:v>0.14497500000405997</c:v>
                </c:pt>
                <c:pt idx="15">
                  <c:v>0.21432271369861189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87-7041-B5D1-64A58FB9B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481103"/>
        <c:axId val="446482799"/>
      </c:scatterChart>
      <c:valAx>
        <c:axId val="4464811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6482799"/>
        <c:crosses val="autoZero"/>
        <c:crossBetween val="midCat"/>
      </c:valAx>
      <c:valAx>
        <c:axId val="44648279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48110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C4</c:v>
          </c:tx>
          <c:spPr>
            <a:ln w="28575">
              <a:noFill/>
            </a:ln>
          </c:spPr>
          <c:xVal>
            <c:numRef>
              <c:f>'1077std-V0,25'!$B$54:$P$54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'1077std-V0,25'!$B$96:$P$96</c:f>
              <c:numCache>
                <c:formatCode>General</c:formatCode>
                <c:ptCount val="15"/>
                <c:pt idx="0">
                  <c:v>9.0000033378601074E-4</c:v>
                </c:pt>
                <c:pt idx="1">
                  <c:v>1.0000020265579224E-3</c:v>
                </c:pt>
                <c:pt idx="2">
                  <c:v>1.2999996542930603E-3</c:v>
                </c:pt>
                <c:pt idx="3">
                  <c:v>1.6999989748001099E-3</c:v>
                </c:pt>
                <c:pt idx="4">
                  <c:v>2.5000050663948059E-3</c:v>
                </c:pt>
                <c:pt idx="5">
                  <c:v>4.0999948978424072E-3</c:v>
                </c:pt>
                <c:pt idx="6">
                  <c:v>6.2000006437301636E-3</c:v>
                </c:pt>
                <c:pt idx="7">
                  <c:v>9.9999979138374329E-3</c:v>
                </c:pt>
                <c:pt idx="8">
                  <c:v>1.640000194311142E-2</c:v>
                </c:pt>
                <c:pt idx="9">
                  <c:v>2.6599995791912079E-2</c:v>
                </c:pt>
                <c:pt idx="10">
                  <c:v>4.1400007903575897E-2</c:v>
                </c:pt>
                <c:pt idx="11">
                  <c:v>6.2300004065036774E-2</c:v>
                </c:pt>
                <c:pt idx="12">
                  <c:v>8.9200004935264587E-2</c:v>
                </c:pt>
                <c:pt idx="13">
                  <c:v>0.12109999358654022</c:v>
                </c:pt>
                <c:pt idx="14">
                  <c:v>0.15860000252723694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08-6640-8689-E7251E8D1E05}"/>
            </c:ext>
          </c:extLst>
        </c:ser>
        <c:ser>
          <c:idx val="1"/>
          <c:order val="1"/>
          <c:tx>
            <c:v>Model: C4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'1077std-V0,25'!$B$54:$P$54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'1077std-V0,25'!$B$102:$P$102</c:f>
              <c:numCache>
                <c:formatCode>General</c:formatCode>
                <c:ptCount val="15"/>
                <c:pt idx="0">
                  <c:v>6.1901440834943985E-4</c:v>
                </c:pt>
                <c:pt idx="1">
                  <c:v>9.2896324265333481E-4</c:v>
                </c:pt>
                <c:pt idx="2">
                  <c:v>1.3941076242507135E-3</c:v>
                </c:pt>
                <c:pt idx="3">
                  <c:v>2.0921560496223487E-3</c:v>
                </c:pt>
                <c:pt idx="4">
                  <c:v>3.139726703900603E-3</c:v>
                </c:pt>
                <c:pt idx="5">
                  <c:v>4.7118300649542704E-3</c:v>
                </c:pt>
                <c:pt idx="6">
                  <c:v>7.0711067092003232E-3</c:v>
                </c:pt>
                <c:pt idx="7">
                  <c:v>1.0611704879764814E-2</c:v>
                </c:pt>
                <c:pt idx="8">
                  <c:v>1.5925128142771226E-2</c:v>
                </c:pt>
                <c:pt idx="9">
                  <c:v>2.3899053850176856E-2</c:v>
                </c:pt>
                <c:pt idx="10">
                  <c:v>3.5865631335149938E-2</c:v>
                </c:pt>
                <c:pt idx="11">
                  <c:v>5.3824035007116793E-2</c:v>
                </c:pt>
                <c:pt idx="12">
                  <c:v>8.0774452772789107E-2</c:v>
                </c:pt>
                <c:pt idx="13">
                  <c:v>0.12121930694866782</c:v>
                </c:pt>
                <c:pt idx="14">
                  <c:v>0.18191544322124387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08-6640-8689-E7251E8D1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789823"/>
        <c:axId val="445791519"/>
      </c:scatterChart>
      <c:valAx>
        <c:axId val="4457898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791519"/>
        <c:crosses val="autoZero"/>
        <c:crossBetween val="midCat"/>
      </c:valAx>
      <c:valAx>
        <c:axId val="44579151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78982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C5 (-W1)</c:v>
          </c:tx>
          <c:spPr>
            <a:ln w="28575">
              <a:noFill/>
            </a:ln>
          </c:spPr>
          <c:marker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'1077std-V0,125'!$B$54:$AF$54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'1077std-V0,125'!$B$94:$AF$94</c:f>
              <c:numCache>
                <c:formatCode>General</c:formatCode>
                <c:ptCount val="31"/>
                <c:pt idx="0">
                  <c:v>5.5000185966491699E-4</c:v>
                </c:pt>
                <c:pt idx="1">
                  <c:v>7.0000439882278442E-4</c:v>
                </c:pt>
                <c:pt idx="2">
                  <c:v>9.0000033378601074E-4</c:v>
                </c:pt>
                <c:pt idx="3">
                  <c:v>1.7499998211860657E-3</c:v>
                </c:pt>
                <c:pt idx="4">
                  <c:v>2.1999962627887726E-3</c:v>
                </c:pt>
                <c:pt idx="5">
                  <c:v>3.599993884563446E-3</c:v>
                </c:pt>
                <c:pt idx="6">
                  <c:v>5.800001323223114E-3</c:v>
                </c:pt>
                <c:pt idx="7">
                  <c:v>9.5499977469444275E-3</c:v>
                </c:pt>
                <c:pt idx="8">
                  <c:v>1.5900000929832458E-2</c:v>
                </c:pt>
                <c:pt idx="9">
                  <c:v>2.5700002908706665E-2</c:v>
                </c:pt>
                <c:pt idx="10">
                  <c:v>4.0600001811981201E-2</c:v>
                </c:pt>
                <c:pt idx="11">
                  <c:v>6.1599995940923691E-2</c:v>
                </c:pt>
                <c:pt idx="12">
                  <c:v>8.8349997997283936E-2</c:v>
                </c:pt>
                <c:pt idx="13">
                  <c:v>0.12064999341964722</c:v>
                </c:pt>
                <c:pt idx="14">
                  <c:v>0.15840000659227371</c:v>
                </c:pt>
                <c:pt idx="15">
                  <c:v>0.20089999586343765</c:v>
                </c:pt>
                <c:pt idx="16">
                  <c:v>0.24725000560283661</c:v>
                </c:pt>
                <c:pt idx="17">
                  <c:v>0.28790000081062317</c:v>
                </c:pt>
                <c:pt idx="18">
                  <c:v>0.3218500092625618</c:v>
                </c:pt>
                <c:pt idx="19">
                  <c:v>0.35014998540282249</c:v>
                </c:pt>
                <c:pt idx="20">
                  <c:v>0.35542499087750912</c:v>
                </c:pt>
                <c:pt idx="21">
                  <c:v>0.36069999635219574</c:v>
                </c:pt>
                <c:pt idx="22">
                  <c:v>0.36304999142885208</c:v>
                </c:pt>
                <c:pt idx="23">
                  <c:v>0.36365001276135445</c:v>
                </c:pt>
                <c:pt idx="24">
                  <c:v>0.36449999734759331</c:v>
                </c:pt>
                <c:pt idx="25">
                  <c:v>0.36855000630021095</c:v>
                </c:pt>
                <c:pt idx="26">
                  <c:v>0.37404999509453773</c:v>
                </c:pt>
                <c:pt idx="27">
                  <c:v>0.38160000368952751</c:v>
                </c:pt>
                <c:pt idx="28">
                  <c:v>0.39255001023411751</c:v>
                </c:pt>
                <c:pt idx="29">
                  <c:v>0.40705001354217529</c:v>
                </c:pt>
                <c:pt idx="30">
                  <c:v>0.42035001516342163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EB-3348-B0E8-6559B20E50FE}"/>
            </c:ext>
          </c:extLst>
        </c:ser>
        <c:ser>
          <c:idx val="1"/>
          <c:order val="1"/>
          <c:tx>
            <c:v>C6 (-W1)</c:v>
          </c:tx>
          <c:spPr>
            <a:ln w="28575">
              <a:noFill/>
            </a:ln>
          </c:spPr>
          <c:marker>
            <c:spPr>
              <a:solidFill>
                <a:srgbClr val="00808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'1077std-V0,125'!$B$54:$AF$54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'1077std-V0,125'!$B$95:$AF$95</c:f>
              <c:numCache>
                <c:formatCode>General</c:formatCode>
                <c:ptCount val="31"/>
                <c:pt idx="0">
                  <c:v>6.7499466240406036E-4</c:v>
                </c:pt>
                <c:pt idx="1">
                  <c:v>7.9999677836894989E-4</c:v>
                </c:pt>
                <c:pt idx="2">
                  <c:v>1.2250039726495743E-3</c:v>
                </c:pt>
                <c:pt idx="3">
                  <c:v>1.8499996513128281E-3</c:v>
                </c:pt>
                <c:pt idx="4">
                  <c:v>2.9500015079975128E-3</c:v>
                </c:pt>
                <c:pt idx="5">
                  <c:v>4.6499986201524734E-3</c:v>
                </c:pt>
                <c:pt idx="6">
                  <c:v>7.5750015676021576E-3</c:v>
                </c:pt>
                <c:pt idx="7">
                  <c:v>1.2550001963973045E-2</c:v>
                </c:pt>
                <c:pt idx="8">
                  <c:v>2.0674997940659523E-2</c:v>
                </c:pt>
                <c:pt idx="9">
                  <c:v>3.3275002613663673E-2</c:v>
                </c:pt>
                <c:pt idx="10">
                  <c:v>5.1349995657801628E-2</c:v>
                </c:pt>
                <c:pt idx="11">
                  <c:v>7.6049994677305222E-2</c:v>
                </c:pt>
                <c:pt idx="12">
                  <c:v>0.10619999654591084</c:v>
                </c:pt>
                <c:pt idx="13">
                  <c:v>0.14182500168681145</c:v>
                </c:pt>
                <c:pt idx="14">
                  <c:v>0.18317501433193684</c:v>
                </c:pt>
                <c:pt idx="15">
                  <c:v>0.22837500460445881</c:v>
                </c:pt>
                <c:pt idx="16">
                  <c:v>0.27237500436604023</c:v>
                </c:pt>
                <c:pt idx="17">
                  <c:v>0.30659999884665012</c:v>
                </c:pt>
                <c:pt idx="18">
                  <c:v>0.3378750067204237</c:v>
                </c:pt>
                <c:pt idx="19">
                  <c:v>0.34869999811053276</c:v>
                </c:pt>
                <c:pt idx="20">
                  <c:v>0.35285000037401915</c:v>
                </c:pt>
                <c:pt idx="21">
                  <c:v>0.35700000263750553</c:v>
                </c:pt>
                <c:pt idx="22">
                  <c:v>0.35782498680055141</c:v>
                </c:pt>
                <c:pt idx="23">
                  <c:v>0.35884998552501202</c:v>
                </c:pt>
                <c:pt idx="24">
                  <c:v>0.36030000820755959</c:v>
                </c:pt>
                <c:pt idx="25">
                  <c:v>0.36517500132322311</c:v>
                </c:pt>
                <c:pt idx="26">
                  <c:v>0.37210001423954964</c:v>
                </c:pt>
                <c:pt idx="27">
                  <c:v>0.38239999487996101</c:v>
                </c:pt>
                <c:pt idx="28">
                  <c:v>0.39505000039935112</c:v>
                </c:pt>
                <c:pt idx="29">
                  <c:v>0.41004999913275242</c:v>
                </c:pt>
                <c:pt idx="30">
                  <c:v>0.42202502302825451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EB-3348-B0E8-6559B20E50FE}"/>
            </c:ext>
          </c:extLst>
        </c:ser>
        <c:ser>
          <c:idx val="2"/>
          <c:order val="2"/>
          <c:tx>
            <c:v>C7 (-W1)</c:v>
          </c:tx>
          <c:spPr>
            <a:ln w="28575">
              <a:noFill/>
            </a:ln>
          </c:spPr>
          <c:marker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'1077std-V0,125'!$B$54:$AF$54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'1077std-V0,125'!$B$96:$AF$96</c:f>
              <c:numCache>
                <c:formatCode>General</c:formatCode>
                <c:ptCount val="31"/>
                <c:pt idx="0">
                  <c:v>2.3206891170863414E-3</c:v>
                </c:pt>
                <c:pt idx="1">
                  <c:v>8.6551647761771988E-4</c:v>
                </c:pt>
                <c:pt idx="2">
                  <c:v>2.8655182184844225E-3</c:v>
                </c:pt>
                <c:pt idx="3">
                  <c:v>1.9655178846984117E-3</c:v>
                </c:pt>
                <c:pt idx="4">
                  <c:v>2.7758599869136119E-3</c:v>
                </c:pt>
                <c:pt idx="5">
                  <c:v>4.2827607228838188E-3</c:v>
                </c:pt>
                <c:pt idx="6">
                  <c:v>7.1000027759321738E-3</c:v>
                </c:pt>
                <c:pt idx="7">
                  <c:v>1.2037933386605359E-2</c:v>
                </c:pt>
                <c:pt idx="8">
                  <c:v>1.9689652683406042E-2</c:v>
                </c:pt>
                <c:pt idx="9">
                  <c:v>3.4220694211022612E-2</c:v>
                </c:pt>
                <c:pt idx="10">
                  <c:v>4.9910347009527276E-2</c:v>
                </c:pt>
                <c:pt idx="11">
                  <c:v>7.6589658342558764E-2</c:v>
                </c:pt>
                <c:pt idx="12">
                  <c:v>0.10626206469946894</c:v>
                </c:pt>
                <c:pt idx="13">
                  <c:v>0.14293793331960153</c:v>
                </c:pt>
                <c:pt idx="14">
                  <c:v>0.18695517141243506</c:v>
                </c:pt>
                <c:pt idx="15">
                  <c:v>0.23065173317646159</c:v>
                </c:pt>
                <c:pt idx="16">
                  <c:v>0.27623448880582019</c:v>
                </c:pt>
                <c:pt idx="17">
                  <c:v>0.31288619262391126</c:v>
                </c:pt>
                <c:pt idx="18">
                  <c:v>0.34504483871418856</c:v>
                </c:pt>
                <c:pt idx="19">
                  <c:v>0.35877931683227937</c:v>
                </c:pt>
                <c:pt idx="20">
                  <c:v>0.36296034809844246</c:v>
                </c:pt>
                <c:pt idx="21">
                  <c:v>0.36714137936460561</c:v>
                </c:pt>
                <c:pt idx="22">
                  <c:v>0.36580343750016442</c:v>
                </c:pt>
                <c:pt idx="23">
                  <c:v>0.36771724501560477</c:v>
                </c:pt>
                <c:pt idx="24">
                  <c:v>0.36787241620236433</c:v>
                </c:pt>
                <c:pt idx="25">
                  <c:v>0.3715275736718342</c:v>
                </c:pt>
                <c:pt idx="26">
                  <c:v>0.37812757877440289</c:v>
                </c:pt>
                <c:pt idx="27">
                  <c:v>0.38868276569350013</c:v>
                </c:pt>
                <c:pt idx="28">
                  <c:v>0.39869657929601343</c:v>
                </c:pt>
                <c:pt idx="29">
                  <c:v>0.41660691438050107</c:v>
                </c:pt>
                <c:pt idx="30">
                  <c:v>0.42435862149657877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EB-3348-B0E8-6559B20E5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548511"/>
        <c:axId val="429551359"/>
      </c:scatterChart>
      <c:valAx>
        <c:axId val="429548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551359"/>
        <c:crosses val="autoZero"/>
        <c:crossBetween val="midCat"/>
      </c:valAx>
      <c:valAx>
        <c:axId val="42955135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548511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C5</c:v>
          </c:tx>
          <c:spPr>
            <a:ln w="28575">
              <a:noFill/>
            </a:ln>
          </c:spPr>
          <c:xVal>
            <c:numRef>
              <c:f>'1077std-V0,125'!$B$54:$O$54</c:f>
              <c:numCache>
                <c:formatCode>General</c:formatCode>
                <c:ptCount val="14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</c:numCache>
            </c:numRef>
          </c:xVal>
          <c:yVal>
            <c:numRef>
              <c:f>'1077std-V0,125'!$B$94:$O$94</c:f>
              <c:numCache>
                <c:formatCode>General</c:formatCode>
                <c:ptCount val="14"/>
                <c:pt idx="0">
                  <c:v>5.5000185966491699E-4</c:v>
                </c:pt>
                <c:pt idx="1">
                  <c:v>7.0000439882278442E-4</c:v>
                </c:pt>
                <c:pt idx="2">
                  <c:v>9.0000033378601074E-4</c:v>
                </c:pt>
                <c:pt idx="3">
                  <c:v>1.7499998211860657E-3</c:v>
                </c:pt>
                <c:pt idx="4">
                  <c:v>2.1999962627887726E-3</c:v>
                </c:pt>
                <c:pt idx="5">
                  <c:v>3.599993884563446E-3</c:v>
                </c:pt>
                <c:pt idx="6">
                  <c:v>5.800001323223114E-3</c:v>
                </c:pt>
                <c:pt idx="7">
                  <c:v>9.5499977469444275E-3</c:v>
                </c:pt>
                <c:pt idx="8">
                  <c:v>1.5900000929832458E-2</c:v>
                </c:pt>
                <c:pt idx="9">
                  <c:v>2.5700002908706665E-2</c:v>
                </c:pt>
                <c:pt idx="10">
                  <c:v>4.0600001811981201E-2</c:v>
                </c:pt>
                <c:pt idx="11">
                  <c:v>6.1599995940923691E-2</c:v>
                </c:pt>
                <c:pt idx="12">
                  <c:v>8.8349997997283936E-2</c:v>
                </c:pt>
                <c:pt idx="13">
                  <c:v>0.12064999341964722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4B-B641-AF88-3AE77D803C29}"/>
            </c:ext>
          </c:extLst>
        </c:ser>
        <c:ser>
          <c:idx val="1"/>
          <c:order val="1"/>
          <c:tx>
            <c:v>Model: C5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'1077std-V0,125'!$B$54:$O$54</c:f>
              <c:numCache>
                <c:formatCode>General</c:formatCode>
                <c:ptCount val="14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</c:numCache>
            </c:numRef>
          </c:xVal>
          <c:yVal>
            <c:numRef>
              <c:f>'1077std-V0,125'!$B$100:$O$100</c:f>
              <c:numCache>
                <c:formatCode>General</c:formatCode>
                <c:ptCount val="14"/>
                <c:pt idx="0">
                  <c:v>4.4225652628966357E-4</c:v>
                </c:pt>
                <c:pt idx="1">
                  <c:v>6.8727689773055516E-4</c:v>
                </c:pt>
                <c:pt idx="2">
                  <c:v>1.0680442369430689E-3</c:v>
                </c:pt>
                <c:pt idx="3">
                  <c:v>1.6597655120287741E-3</c:v>
                </c:pt>
                <c:pt idx="4">
                  <c:v>2.5793140954581844E-3</c:v>
                </c:pt>
                <c:pt idx="5">
                  <c:v>4.008313918330131E-3</c:v>
                </c:pt>
                <c:pt idx="6">
                  <c:v>6.2290127814096305E-3</c:v>
                </c:pt>
                <c:pt idx="7">
                  <c:v>9.6800303123785545E-3</c:v>
                </c:pt>
                <c:pt idx="8">
                  <c:v>1.5042991584191716E-2</c:v>
                </c:pt>
                <c:pt idx="9">
                  <c:v>2.3377157767025494E-2</c:v>
                </c:pt>
                <c:pt idx="10">
                  <c:v>3.6328645283475049E-2</c:v>
                </c:pt>
                <c:pt idx="11">
                  <c:v>5.6455557227497809E-2</c:v>
                </c:pt>
                <c:pt idx="12">
                  <c:v>8.773324512921131E-2</c:v>
                </c:pt>
                <c:pt idx="13">
                  <c:v>0.13633949745434853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4B-B641-AF88-3AE77D803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868383"/>
        <c:axId val="429870079"/>
      </c:scatterChart>
      <c:valAx>
        <c:axId val="4298683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870079"/>
        <c:crosses val="autoZero"/>
        <c:crossBetween val="midCat"/>
      </c:valAx>
      <c:valAx>
        <c:axId val="42987007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86838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C6</c:v>
          </c:tx>
          <c:spPr>
            <a:ln w="28575">
              <a:noFill/>
            </a:ln>
          </c:spPr>
          <c:xVal>
            <c:numRef>
              <c:f>'1077std-V0,125'!$B$54:$N$54</c:f>
              <c:numCache>
                <c:formatCode>General</c:formatCode>
                <c:ptCount val="13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</c:numCache>
            </c:numRef>
          </c:xVal>
          <c:yVal>
            <c:numRef>
              <c:f>'1077std-V0,125'!$B$95:$N$95</c:f>
              <c:numCache>
                <c:formatCode>General</c:formatCode>
                <c:ptCount val="13"/>
                <c:pt idx="0">
                  <c:v>6.7499466240406036E-4</c:v>
                </c:pt>
                <c:pt idx="1">
                  <c:v>7.9999677836894989E-4</c:v>
                </c:pt>
                <c:pt idx="2">
                  <c:v>1.2250039726495743E-3</c:v>
                </c:pt>
                <c:pt idx="3">
                  <c:v>1.8499996513128281E-3</c:v>
                </c:pt>
                <c:pt idx="4">
                  <c:v>2.9500015079975128E-3</c:v>
                </c:pt>
                <c:pt idx="5">
                  <c:v>4.6499986201524734E-3</c:v>
                </c:pt>
                <c:pt idx="6">
                  <c:v>7.5750015676021576E-3</c:v>
                </c:pt>
                <c:pt idx="7">
                  <c:v>1.2550001963973045E-2</c:v>
                </c:pt>
                <c:pt idx="8">
                  <c:v>2.0674997940659523E-2</c:v>
                </c:pt>
                <c:pt idx="9">
                  <c:v>3.3275002613663673E-2</c:v>
                </c:pt>
                <c:pt idx="10">
                  <c:v>5.1349995657801628E-2</c:v>
                </c:pt>
                <c:pt idx="11">
                  <c:v>7.6049994677305222E-2</c:v>
                </c:pt>
                <c:pt idx="12">
                  <c:v>0.10619999654591084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E9-494C-A878-C1DB2C68E94B}"/>
            </c:ext>
          </c:extLst>
        </c:ser>
        <c:ser>
          <c:idx val="1"/>
          <c:order val="1"/>
          <c:tx>
            <c:v>Model: C6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'1077std-V0,125'!$B$54:$N$54</c:f>
              <c:numCache>
                <c:formatCode>General</c:formatCode>
                <c:ptCount val="13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</c:numCache>
            </c:numRef>
          </c:xVal>
          <c:yVal>
            <c:numRef>
              <c:f>'1077std-V0,125'!$B$101:$N$101</c:f>
              <c:numCache>
                <c:formatCode>General</c:formatCode>
                <c:ptCount val="13"/>
                <c:pt idx="0">
                  <c:v>5.3478926926105955E-4</c:v>
                </c:pt>
                <c:pt idx="1">
                  <c:v>8.3743537188890485E-4</c:v>
                </c:pt>
                <c:pt idx="2">
                  <c:v>1.3113539152715624E-3</c:v>
                </c:pt>
                <c:pt idx="3">
                  <c:v>2.0534708095972178E-3</c:v>
                </c:pt>
                <c:pt idx="4">
                  <c:v>3.2155639425491219E-3</c:v>
                </c:pt>
                <c:pt idx="5">
                  <c:v>5.035304821620611E-3</c:v>
                </c:pt>
                <c:pt idx="6">
                  <c:v>7.8848671958102311E-3</c:v>
                </c:pt>
                <c:pt idx="7">
                  <c:v>1.2347044101205875E-2</c:v>
                </c:pt>
                <c:pt idx="8">
                  <c:v>1.9334440803027059E-2</c:v>
                </c:pt>
                <c:pt idx="9">
                  <c:v>3.0276120997190591E-2</c:v>
                </c:pt>
                <c:pt idx="10">
                  <c:v>4.7409879187869375E-2</c:v>
                </c:pt>
                <c:pt idx="11">
                  <c:v>7.4239914843019089E-2</c:v>
                </c:pt>
                <c:pt idx="12">
                  <c:v>0.11625351193278191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E9-494C-A878-C1DB2C68E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192911"/>
        <c:axId val="447194607"/>
      </c:scatterChart>
      <c:valAx>
        <c:axId val="447192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194607"/>
        <c:crosses val="autoZero"/>
        <c:crossBetween val="midCat"/>
      </c:valAx>
      <c:valAx>
        <c:axId val="4471946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7192911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C7</c:v>
          </c:tx>
          <c:spPr>
            <a:ln w="28575">
              <a:noFill/>
            </a:ln>
          </c:spPr>
          <c:xVal>
            <c:numRef>
              <c:f>'1077std-V0,125'!$B$54:$S$54</c:f>
              <c:numCache>
                <c:formatCode>General</c:formatCode>
                <c:ptCount val="18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</c:numCache>
            </c:numRef>
          </c:xVal>
          <c:yVal>
            <c:numRef>
              <c:f>'1077std-V0,125'!$B$96:$S$96</c:f>
              <c:numCache>
                <c:formatCode>General</c:formatCode>
                <c:ptCount val="18"/>
                <c:pt idx="0">
                  <c:v>2.3206891170863414E-3</c:v>
                </c:pt>
                <c:pt idx="1">
                  <c:v>8.6551647761771988E-4</c:v>
                </c:pt>
                <c:pt idx="2">
                  <c:v>2.8655182184844225E-3</c:v>
                </c:pt>
                <c:pt idx="3">
                  <c:v>1.9655178846984117E-3</c:v>
                </c:pt>
                <c:pt idx="4">
                  <c:v>2.7758599869136119E-3</c:v>
                </c:pt>
                <c:pt idx="5">
                  <c:v>4.2827607228838188E-3</c:v>
                </c:pt>
                <c:pt idx="6">
                  <c:v>7.1000027759321738E-3</c:v>
                </c:pt>
                <c:pt idx="7">
                  <c:v>1.2037933386605359E-2</c:v>
                </c:pt>
                <c:pt idx="8">
                  <c:v>1.9689652683406042E-2</c:v>
                </c:pt>
                <c:pt idx="9">
                  <c:v>3.4220694211022612E-2</c:v>
                </c:pt>
                <c:pt idx="10">
                  <c:v>4.9910347009527276E-2</c:v>
                </c:pt>
                <c:pt idx="11">
                  <c:v>7.6589658342558764E-2</c:v>
                </c:pt>
                <c:pt idx="12">
                  <c:v>0.10626206469946894</c:v>
                </c:pt>
                <c:pt idx="13">
                  <c:v>0.14293793331960153</c:v>
                </c:pt>
                <c:pt idx="14">
                  <c:v>0.18695517141243506</c:v>
                </c:pt>
                <c:pt idx="15">
                  <c:v>0.23065173317646159</c:v>
                </c:pt>
                <c:pt idx="16">
                  <c:v>0.27623448880582019</c:v>
                </c:pt>
                <c:pt idx="17">
                  <c:v>0.31288619262391126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7-A348-9FF8-407689815E9B}"/>
            </c:ext>
          </c:extLst>
        </c:ser>
        <c:ser>
          <c:idx val="1"/>
          <c:order val="1"/>
          <c:tx>
            <c:v>Model: C7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'1077std-V0,125'!$B$54:$S$54</c:f>
              <c:numCache>
                <c:formatCode>General</c:formatCode>
                <c:ptCount val="18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</c:numCache>
            </c:numRef>
          </c:xVal>
          <c:yVal>
            <c:numRef>
              <c:f>'1077std-V0,125'!$B$102:$S$102</c:f>
              <c:numCache>
                <c:formatCode>General</c:formatCode>
                <c:ptCount val="18"/>
                <c:pt idx="0">
                  <c:v>1.0140912093285941E-3</c:v>
                </c:pt>
                <c:pt idx="1">
                  <c:v>1.4577756006986524E-3</c:v>
                </c:pt>
                <c:pt idx="2">
                  <c:v>2.095580439356438E-3</c:v>
                </c:pt>
                <c:pt idx="3">
                  <c:v>3.0124371513068778E-3</c:v>
                </c:pt>
                <c:pt idx="4">
                  <c:v>4.3304362935172279E-3</c:v>
                </c:pt>
                <c:pt idx="5">
                  <c:v>6.2250853877817165E-3</c:v>
                </c:pt>
                <c:pt idx="6">
                  <c:v>8.9486798693207224E-3</c:v>
                </c:pt>
                <c:pt idx="7">
                  <c:v>1.286389927450002E-2</c:v>
                </c:pt>
                <c:pt idx="8">
                  <c:v>1.8492102406278556E-2</c:v>
                </c:pt>
                <c:pt idx="9">
                  <c:v>2.6582752562603833E-2</c:v>
                </c:pt>
                <c:pt idx="10">
                  <c:v>3.8213217636340641E-2</c:v>
                </c:pt>
                <c:pt idx="11">
                  <c:v>5.4932234676727615E-2</c:v>
                </c:pt>
                <c:pt idx="12">
                  <c:v>7.8966142953358492E-2</c:v>
                </c:pt>
                <c:pt idx="13">
                  <c:v>0.11351534794873393</c:v>
                </c:pt>
                <c:pt idx="14">
                  <c:v>0.16318049404455687</c:v>
                </c:pt>
                <c:pt idx="15">
                  <c:v>0.23457509594783085</c:v>
                </c:pt>
                <c:pt idx="16">
                  <c:v>0.33720620813851188</c:v>
                </c:pt>
                <c:pt idx="17">
                  <c:v>0.48474040412389685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C7-A348-9FF8-407689815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110607"/>
        <c:axId val="447112303"/>
      </c:scatterChart>
      <c:valAx>
        <c:axId val="4471106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112303"/>
        <c:crosses val="autoZero"/>
        <c:crossBetween val="midCat"/>
      </c:valAx>
      <c:valAx>
        <c:axId val="44711230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711060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C8 (-W1)</c:v>
          </c:tx>
          <c:spPr>
            <a:ln w="28575">
              <a:noFill/>
            </a:ln>
          </c:spPr>
          <c:marker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'1077std-V0,06'!$B$54:$AF$54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'1077std-V0,06'!$B$94:$AF$94</c:f>
              <c:numCache>
                <c:formatCode>General</c:formatCode>
                <c:ptCount val="31"/>
                <c:pt idx="0">
                  <c:v>1.351514323191208E-3</c:v>
                </c:pt>
                <c:pt idx="1">
                  <c:v>1.4878822998567048E-3</c:v>
                </c:pt>
                <c:pt idx="2">
                  <c:v>1.9969721183632355E-3</c:v>
                </c:pt>
                <c:pt idx="3">
                  <c:v>2.7212130300926507E-3</c:v>
                </c:pt>
                <c:pt idx="4">
                  <c:v>3.5121194792516325E-3</c:v>
                </c:pt>
                <c:pt idx="5">
                  <c:v>5.2333318374373633E-3</c:v>
                </c:pt>
                <c:pt idx="6">
                  <c:v>8.2454568508899539E-3</c:v>
                </c:pt>
                <c:pt idx="7">
                  <c:v>1.3578789026448226E-2</c:v>
                </c:pt>
                <c:pt idx="8">
                  <c:v>2.1936357021331787E-2</c:v>
                </c:pt>
                <c:pt idx="9">
                  <c:v>3.5351511655431808E-2</c:v>
                </c:pt>
                <c:pt idx="10">
                  <c:v>5.4845453663305802E-2</c:v>
                </c:pt>
                <c:pt idx="11">
                  <c:v>8.1027279071735611E-2</c:v>
                </c:pt>
                <c:pt idx="12">
                  <c:v>0.11349091091842363</c:v>
                </c:pt>
                <c:pt idx="13">
                  <c:v>0.15197273614731702</c:v>
                </c:pt>
                <c:pt idx="14">
                  <c:v>0.19638183080788815</c:v>
                </c:pt>
                <c:pt idx="15">
                  <c:v>0.24218486181714316</c:v>
                </c:pt>
                <c:pt idx="16">
                  <c:v>0.28686667662678345</c:v>
                </c:pt>
                <c:pt idx="17">
                  <c:v>0.31990301879969507</c:v>
                </c:pt>
                <c:pt idx="18">
                  <c:v>0.35027274037852429</c:v>
                </c:pt>
                <c:pt idx="19">
                  <c:v>0.35821515118533914</c:v>
                </c:pt>
                <c:pt idx="20">
                  <c:v>0.36079848388379271</c:v>
                </c:pt>
                <c:pt idx="21">
                  <c:v>0.36338181658224628</c:v>
                </c:pt>
                <c:pt idx="22">
                  <c:v>0.36463939624302316</c:v>
                </c:pt>
                <c:pt idx="23">
                  <c:v>0.36404847376274341</c:v>
                </c:pt>
                <c:pt idx="24">
                  <c:v>0.3653121130032973</c:v>
                </c:pt>
                <c:pt idx="25">
                  <c:v>0.36900605396790936</c:v>
                </c:pt>
                <c:pt idx="26">
                  <c:v>0.37493333491412073</c:v>
                </c:pt>
                <c:pt idx="27">
                  <c:v>0.38726362337668735</c:v>
                </c:pt>
                <c:pt idx="28">
                  <c:v>0.39950607536417065</c:v>
                </c:pt>
                <c:pt idx="29">
                  <c:v>0.41383636720252759</c:v>
                </c:pt>
                <c:pt idx="30">
                  <c:v>0.42425456281864282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CF-594D-A93D-E0E2B33C75B8}"/>
            </c:ext>
          </c:extLst>
        </c:ser>
        <c:ser>
          <c:idx val="1"/>
          <c:order val="1"/>
          <c:tx>
            <c:v>C9 (-W1)</c:v>
          </c:tx>
          <c:spPr>
            <a:ln w="28575">
              <a:noFill/>
            </a:ln>
          </c:spPr>
          <c:marker>
            <c:spPr>
              <a:solidFill>
                <a:srgbClr val="00808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'1077std-V0,06'!$B$54:$AF$54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'1077std-V0,06'!$B$95:$AF$95</c:f>
              <c:numCache>
                <c:formatCode>General</c:formatCode>
                <c:ptCount val="31"/>
                <c:pt idx="0">
                  <c:v>6.8947006213038176E-4</c:v>
                </c:pt>
                <c:pt idx="1">
                  <c:v>9.5262927444357548E-4</c:v>
                </c:pt>
                <c:pt idx="2">
                  <c:v>1.2578952469323862E-3</c:v>
                </c:pt>
                <c:pt idx="3">
                  <c:v>1.9315763523704149E-3</c:v>
                </c:pt>
                <c:pt idx="4">
                  <c:v>2.8368458151817322E-3</c:v>
                </c:pt>
                <c:pt idx="5">
                  <c:v>4.5000016689300537E-3</c:v>
                </c:pt>
                <c:pt idx="6">
                  <c:v>7.4947354824919515E-3</c:v>
                </c:pt>
                <c:pt idx="7">
                  <c:v>1.2742109204593455E-2</c:v>
                </c:pt>
                <c:pt idx="8">
                  <c:v>2.1378955558726667E-2</c:v>
                </c:pt>
                <c:pt idx="9">
                  <c:v>3.4342108196333834E-2</c:v>
                </c:pt>
                <c:pt idx="10">
                  <c:v>5.3215784461874707E-2</c:v>
                </c:pt>
                <c:pt idx="11">
                  <c:v>7.9668413651616948E-2</c:v>
                </c:pt>
                <c:pt idx="12">
                  <c:v>0.11110526362532064</c:v>
                </c:pt>
                <c:pt idx="13">
                  <c:v>0.15086840642125982</c:v>
                </c:pt>
                <c:pt idx="14">
                  <c:v>0.19696316044581563</c:v>
                </c:pt>
                <c:pt idx="15">
                  <c:v>0.24346315860748291</c:v>
                </c:pt>
                <c:pt idx="16">
                  <c:v>0.28685788457330907</c:v>
                </c:pt>
                <c:pt idx="17">
                  <c:v>0.32064210035299001</c:v>
                </c:pt>
                <c:pt idx="18">
                  <c:v>0.34994735451121078</c:v>
                </c:pt>
                <c:pt idx="19">
                  <c:v>0.35798946297482442</c:v>
                </c:pt>
                <c:pt idx="20">
                  <c:v>0.36047631796253354</c:v>
                </c:pt>
                <c:pt idx="21">
                  <c:v>0.36296317295024272</c:v>
                </c:pt>
                <c:pt idx="22">
                  <c:v>0.36360527143666621</c:v>
                </c:pt>
                <c:pt idx="23">
                  <c:v>0.3634841995019662</c:v>
                </c:pt>
                <c:pt idx="24">
                  <c:v>0.36488946801737737</c:v>
                </c:pt>
                <c:pt idx="25">
                  <c:v>0.3693157826599322</c:v>
                </c:pt>
                <c:pt idx="26">
                  <c:v>0.3761105282526267</c:v>
                </c:pt>
                <c:pt idx="27">
                  <c:v>0.38634736483034338</c:v>
                </c:pt>
                <c:pt idx="28">
                  <c:v>0.40009474166129766</c:v>
                </c:pt>
                <c:pt idx="29">
                  <c:v>0.41549473451940638</c:v>
                </c:pt>
                <c:pt idx="30">
                  <c:v>0.42448421136329051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CF-594D-A93D-E0E2B33C75B8}"/>
            </c:ext>
          </c:extLst>
        </c:ser>
        <c:ser>
          <c:idx val="2"/>
          <c:order val="2"/>
          <c:tx>
            <c:v>C10 (-W1)</c:v>
          </c:tx>
          <c:spPr>
            <a:ln w="28575">
              <a:noFill/>
            </a:ln>
          </c:spPr>
          <c:marker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'1077std-V0,06'!$B$54:$AF$54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'1077std-V0,06'!$B$96:$AF$96</c:f>
              <c:numCache>
                <c:formatCode>General</c:formatCode>
                <c:ptCount val="31"/>
                <c:pt idx="0">
                  <c:v>9.0000033378601074E-4</c:v>
                </c:pt>
                <c:pt idx="1">
                  <c:v>7.9999864101409912E-4</c:v>
                </c:pt>
                <c:pt idx="2">
                  <c:v>1.0000020265579224E-3</c:v>
                </c:pt>
                <c:pt idx="3">
                  <c:v>1.1999979615211487E-3</c:v>
                </c:pt>
                <c:pt idx="4">
                  <c:v>2.0000040531158447E-3</c:v>
                </c:pt>
                <c:pt idx="5">
                  <c:v>3.1000003218650818E-3</c:v>
                </c:pt>
                <c:pt idx="6">
                  <c:v>4.9000009894371033E-3</c:v>
                </c:pt>
                <c:pt idx="7">
                  <c:v>7.7999979257583618E-3</c:v>
                </c:pt>
                <c:pt idx="8">
                  <c:v>1.30000039935112E-2</c:v>
                </c:pt>
                <c:pt idx="9">
                  <c:v>2.1399997174739838E-2</c:v>
                </c:pt>
                <c:pt idx="10">
                  <c:v>3.4300006926059723E-2</c:v>
                </c:pt>
                <c:pt idx="11">
                  <c:v>5.2900008857250214E-2</c:v>
                </c:pt>
                <c:pt idx="12">
                  <c:v>7.7799990773200989E-2</c:v>
                </c:pt>
                <c:pt idx="13">
                  <c:v>0.1086999922990799</c:v>
                </c:pt>
                <c:pt idx="14">
                  <c:v>0.1468999981880188</c:v>
                </c:pt>
                <c:pt idx="15">
                  <c:v>0.19280001521110535</c:v>
                </c:pt>
                <c:pt idx="16">
                  <c:v>0.23920001089572906</c:v>
                </c:pt>
                <c:pt idx="17">
                  <c:v>0.28629999607801437</c:v>
                </c:pt>
                <c:pt idx="18">
                  <c:v>0.31969999521970749</c:v>
                </c:pt>
                <c:pt idx="19">
                  <c:v>0.34889999032020569</c:v>
                </c:pt>
                <c:pt idx="20">
                  <c:v>0.35864999517798424</c:v>
                </c:pt>
                <c:pt idx="21">
                  <c:v>0.36840000003576279</c:v>
                </c:pt>
                <c:pt idx="22">
                  <c:v>0.37120000272989273</c:v>
                </c:pt>
                <c:pt idx="23">
                  <c:v>0.37069998681545258</c:v>
                </c:pt>
                <c:pt idx="24">
                  <c:v>0.36949999630451202</c:v>
                </c:pt>
                <c:pt idx="25">
                  <c:v>0.37259998917579651</c:v>
                </c:pt>
                <c:pt idx="26">
                  <c:v>0.37430000305175781</c:v>
                </c:pt>
                <c:pt idx="27">
                  <c:v>0.38030000030994415</c:v>
                </c:pt>
                <c:pt idx="28">
                  <c:v>0.38900001347064972</c:v>
                </c:pt>
                <c:pt idx="29">
                  <c:v>0.40339997410774231</c:v>
                </c:pt>
                <c:pt idx="30">
                  <c:v>0.41550001502037048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CF-594D-A93D-E0E2B33C7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300015"/>
        <c:axId val="446301711"/>
      </c:scatterChart>
      <c:valAx>
        <c:axId val="4463000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6301711"/>
        <c:crosses val="autoZero"/>
        <c:crossBetween val="midCat"/>
      </c:valAx>
      <c:valAx>
        <c:axId val="44630171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300015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C8</c:v>
          </c:tx>
          <c:spPr>
            <a:ln w="28575">
              <a:noFill/>
            </a:ln>
          </c:spPr>
          <c:xVal>
            <c:numRef>
              <c:f>'1077std-V0,06'!$B$54:$P$54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'1077std-V0,06'!$B$94:$P$94</c:f>
              <c:numCache>
                <c:formatCode>General</c:formatCode>
                <c:ptCount val="15"/>
                <c:pt idx="0">
                  <c:v>1.351514323191208E-3</c:v>
                </c:pt>
                <c:pt idx="1">
                  <c:v>1.4878822998567048E-3</c:v>
                </c:pt>
                <c:pt idx="2">
                  <c:v>1.9969721183632355E-3</c:v>
                </c:pt>
                <c:pt idx="3">
                  <c:v>2.7212130300926507E-3</c:v>
                </c:pt>
                <c:pt idx="4">
                  <c:v>3.5121194792516325E-3</c:v>
                </c:pt>
                <c:pt idx="5">
                  <c:v>5.2333318374373633E-3</c:v>
                </c:pt>
                <c:pt idx="6">
                  <c:v>8.2454568508899539E-3</c:v>
                </c:pt>
                <c:pt idx="7">
                  <c:v>1.3578789026448226E-2</c:v>
                </c:pt>
                <c:pt idx="8">
                  <c:v>2.1936357021331787E-2</c:v>
                </c:pt>
                <c:pt idx="9">
                  <c:v>3.5351511655431808E-2</c:v>
                </c:pt>
                <c:pt idx="10">
                  <c:v>5.4845453663305802E-2</c:v>
                </c:pt>
                <c:pt idx="11">
                  <c:v>8.1027279071735611E-2</c:v>
                </c:pt>
                <c:pt idx="12">
                  <c:v>0.11349091091842363</c:v>
                </c:pt>
                <c:pt idx="13">
                  <c:v>0.15197273614731702</c:v>
                </c:pt>
                <c:pt idx="14">
                  <c:v>0.19638183080788815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9A-4546-803E-A8196B72505A}"/>
            </c:ext>
          </c:extLst>
        </c:ser>
        <c:ser>
          <c:idx val="1"/>
          <c:order val="1"/>
          <c:tx>
            <c:v>Model: C8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'1077std-V0,06'!$B$54:$P$54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'1077std-V0,06'!$B$100:$P$100</c:f>
              <c:numCache>
                <c:formatCode>General</c:formatCode>
                <c:ptCount val="15"/>
                <c:pt idx="0">
                  <c:v>9.4007470774915144E-4</c:v>
                </c:pt>
                <c:pt idx="1">
                  <c:v>1.3896092372231827E-3</c:v>
                </c:pt>
                <c:pt idx="2">
                  <c:v>2.054106781363663E-3</c:v>
                </c:pt>
                <c:pt idx="3">
                  <c:v>3.0363605510248378E-3</c:v>
                </c:pt>
                <c:pt idx="4">
                  <c:v>4.4883184649725473E-3</c:v>
                </c:pt>
                <c:pt idx="5">
                  <c:v>6.6345884503782471E-3</c:v>
                </c:pt>
                <c:pt idx="6">
                  <c:v>9.8071837480814064E-3</c:v>
                </c:pt>
                <c:pt idx="7">
                  <c:v>1.4496883082951226E-2</c:v>
                </c:pt>
                <c:pt idx="8">
                  <c:v>2.142915076531236E-2</c:v>
                </c:pt>
                <c:pt idx="9">
                  <c:v>3.1676361042225015E-2</c:v>
                </c:pt>
                <c:pt idx="10">
                  <c:v>4.6823687035773422E-2</c:v>
                </c:pt>
                <c:pt idx="11">
                  <c:v>6.9214316148925134E-2</c:v>
                </c:pt>
                <c:pt idx="12">
                  <c:v>0.10231192507978512</c:v>
                </c:pt>
                <c:pt idx="13">
                  <c:v>0.1512364868419511</c:v>
                </c:pt>
                <c:pt idx="14">
                  <c:v>0.22355629546076056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9A-4546-803E-A8196B725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483647"/>
        <c:axId val="429471327"/>
      </c:scatterChart>
      <c:valAx>
        <c:axId val="429483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471327"/>
        <c:crosses val="autoZero"/>
        <c:crossBetween val="midCat"/>
      </c:valAx>
      <c:valAx>
        <c:axId val="4294713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48364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C9</c:v>
          </c:tx>
          <c:spPr>
            <a:ln w="28575">
              <a:noFill/>
            </a:ln>
          </c:spPr>
          <c:xVal>
            <c:numRef>
              <c:f>'1077std-V0,06'!$B$54:$O$54</c:f>
              <c:numCache>
                <c:formatCode>General</c:formatCode>
                <c:ptCount val="14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</c:numCache>
            </c:numRef>
          </c:xVal>
          <c:yVal>
            <c:numRef>
              <c:f>'1077std-V0,06'!$B$95:$O$95</c:f>
              <c:numCache>
                <c:formatCode>General</c:formatCode>
                <c:ptCount val="14"/>
                <c:pt idx="0">
                  <c:v>6.8947006213038176E-4</c:v>
                </c:pt>
                <c:pt idx="1">
                  <c:v>9.5262927444357548E-4</c:v>
                </c:pt>
                <c:pt idx="2">
                  <c:v>1.2578952469323862E-3</c:v>
                </c:pt>
                <c:pt idx="3">
                  <c:v>1.9315763523704149E-3</c:v>
                </c:pt>
                <c:pt idx="4">
                  <c:v>2.8368458151817322E-3</c:v>
                </c:pt>
                <c:pt idx="5">
                  <c:v>4.5000016689300537E-3</c:v>
                </c:pt>
                <c:pt idx="6">
                  <c:v>7.4947354824919515E-3</c:v>
                </c:pt>
                <c:pt idx="7">
                  <c:v>1.2742109204593455E-2</c:v>
                </c:pt>
                <c:pt idx="8">
                  <c:v>2.1378955558726667E-2</c:v>
                </c:pt>
                <c:pt idx="9">
                  <c:v>3.4342108196333834E-2</c:v>
                </c:pt>
                <c:pt idx="10">
                  <c:v>5.3215784461874707E-2</c:v>
                </c:pt>
                <c:pt idx="11">
                  <c:v>7.9668413651616948E-2</c:v>
                </c:pt>
                <c:pt idx="12">
                  <c:v>0.11110526362532064</c:v>
                </c:pt>
                <c:pt idx="13">
                  <c:v>0.15086840642125982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7E-F44E-A3E3-87972B958194}"/>
            </c:ext>
          </c:extLst>
        </c:ser>
        <c:ser>
          <c:idx val="1"/>
          <c:order val="1"/>
          <c:tx>
            <c:v>Model: C9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'1077std-V0,06'!$B$54:$O$54</c:f>
              <c:numCache>
                <c:formatCode>General</c:formatCode>
                <c:ptCount val="14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</c:numCache>
            </c:numRef>
          </c:xVal>
          <c:yVal>
            <c:numRef>
              <c:f>'1077std-V0,06'!$B$101:$O$101</c:f>
              <c:numCache>
                <c:formatCode>General</c:formatCode>
                <c:ptCount val="14"/>
                <c:pt idx="0">
                  <c:v>5.698856487189785E-4</c:v>
                </c:pt>
                <c:pt idx="1">
                  <c:v>8.8567948405759631E-4</c:v>
                </c:pt>
                <c:pt idx="2">
                  <c:v>1.3764658756433199E-3</c:v>
                </c:pt>
                <c:pt idx="3">
                  <c:v>2.1392144008241698E-3</c:v>
                </c:pt>
                <c:pt idx="4">
                  <c:v>3.3246289164667541E-3</c:v>
                </c:pt>
                <c:pt idx="5">
                  <c:v>5.1669236276403524E-3</c:v>
                </c:pt>
                <c:pt idx="6">
                  <c:v>8.0300991312559668E-3</c:v>
                </c:pt>
                <c:pt idx="7">
                  <c:v>1.2479861655560386E-2</c:v>
                </c:pt>
                <c:pt idx="8">
                  <c:v>1.9395395299132073E-2</c:v>
                </c:pt>
                <c:pt idx="9">
                  <c:v>3.014307122883747E-2</c:v>
                </c:pt>
                <c:pt idx="10">
                  <c:v>4.6846415300822897E-2</c:v>
                </c:pt>
                <c:pt idx="11">
                  <c:v>7.2805674308251758E-2</c:v>
                </c:pt>
                <c:pt idx="12">
                  <c:v>0.11314987875680896</c:v>
                </c:pt>
                <c:pt idx="13">
                  <c:v>0.17585023673394479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7E-F44E-A3E3-87972B958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376079"/>
        <c:axId val="430380079"/>
      </c:scatterChart>
      <c:valAx>
        <c:axId val="4303760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0380079"/>
        <c:crosses val="autoZero"/>
        <c:crossBetween val="midCat"/>
      </c:valAx>
      <c:valAx>
        <c:axId val="43038007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037607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C10</c:v>
          </c:tx>
          <c:spPr>
            <a:ln w="28575">
              <a:noFill/>
            </a:ln>
          </c:spPr>
          <c:xVal>
            <c:numRef>
              <c:f>'1077std-V0,06'!$B$54:$R$54</c:f>
              <c:numCache>
                <c:formatCode>General</c:formatCode>
                <c:ptCount val="17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</c:numCache>
            </c:numRef>
          </c:xVal>
          <c:yVal>
            <c:numRef>
              <c:f>'1077std-V0,06'!$B$96:$R$96</c:f>
              <c:numCache>
                <c:formatCode>General</c:formatCode>
                <c:ptCount val="17"/>
                <c:pt idx="0">
                  <c:v>9.0000033378601074E-4</c:v>
                </c:pt>
                <c:pt idx="1">
                  <c:v>7.9999864101409912E-4</c:v>
                </c:pt>
                <c:pt idx="2">
                  <c:v>1.0000020265579224E-3</c:v>
                </c:pt>
                <c:pt idx="3">
                  <c:v>1.1999979615211487E-3</c:v>
                </c:pt>
                <c:pt idx="4">
                  <c:v>2.0000040531158447E-3</c:v>
                </c:pt>
                <c:pt idx="5">
                  <c:v>3.1000003218650818E-3</c:v>
                </c:pt>
                <c:pt idx="6">
                  <c:v>4.9000009894371033E-3</c:v>
                </c:pt>
                <c:pt idx="7">
                  <c:v>7.7999979257583618E-3</c:v>
                </c:pt>
                <c:pt idx="8">
                  <c:v>1.30000039935112E-2</c:v>
                </c:pt>
                <c:pt idx="9">
                  <c:v>2.1399997174739838E-2</c:v>
                </c:pt>
                <c:pt idx="10">
                  <c:v>3.4300006926059723E-2</c:v>
                </c:pt>
                <c:pt idx="11">
                  <c:v>5.2900008857250214E-2</c:v>
                </c:pt>
                <c:pt idx="12">
                  <c:v>7.7799990773200989E-2</c:v>
                </c:pt>
                <c:pt idx="13">
                  <c:v>0.1086999922990799</c:v>
                </c:pt>
                <c:pt idx="14">
                  <c:v>0.1468999981880188</c:v>
                </c:pt>
                <c:pt idx="15">
                  <c:v>0.19280001521110535</c:v>
                </c:pt>
                <c:pt idx="16">
                  <c:v>0.23920001089572906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3C-8B45-8000-44604F6661EC}"/>
            </c:ext>
          </c:extLst>
        </c:ser>
        <c:ser>
          <c:idx val="1"/>
          <c:order val="1"/>
          <c:tx>
            <c:v>Model: C10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'1077std-V0,06'!$B$54:$R$54</c:f>
              <c:numCache>
                <c:formatCode>General</c:formatCode>
                <c:ptCount val="17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</c:numCache>
            </c:numRef>
          </c:xVal>
          <c:yVal>
            <c:numRef>
              <c:f>'1077std-V0,06'!$B$102:$R$102</c:f>
              <c:numCache>
                <c:formatCode>General</c:formatCode>
                <c:ptCount val="17"/>
                <c:pt idx="0">
                  <c:v>5.1436804811182655E-4</c:v>
                </c:pt>
                <c:pt idx="1">
                  <c:v>7.68063467957627E-4</c:v>
                </c:pt>
                <c:pt idx="2">
                  <c:v>1.1468859564209254E-3</c:v>
                </c:pt>
                <c:pt idx="3">
                  <c:v>1.7125503970826881E-3</c:v>
                </c:pt>
                <c:pt idx="4">
                  <c:v>2.5572105457638702E-3</c:v>
                </c:pt>
                <c:pt idx="5">
                  <c:v>3.8184720207391407E-3</c:v>
                </c:pt>
                <c:pt idx="6">
                  <c:v>5.7018099652847397E-3</c:v>
                </c:pt>
                <c:pt idx="7">
                  <c:v>8.5140434979348815E-3</c:v>
                </c:pt>
                <c:pt idx="8">
                  <c:v>1.2713320353725131E-2</c:v>
                </c:pt>
                <c:pt idx="9">
                  <c:v>1.8983754834661734E-2</c:v>
                </c:pt>
                <c:pt idx="10">
                  <c:v>2.8346878517612983E-2</c:v>
                </c:pt>
                <c:pt idx="11">
                  <c:v>4.2328060422753937E-2</c:v>
                </c:pt>
                <c:pt idx="12">
                  <c:v>6.3205008552849232E-2</c:v>
                </c:pt>
                <c:pt idx="13">
                  <c:v>9.4378836787386899E-2</c:v>
                </c:pt>
                <c:pt idx="14">
                  <c:v>0.14092814853260036</c:v>
                </c:pt>
                <c:pt idx="15">
                  <c:v>0.21043640422871737</c:v>
                </c:pt>
                <c:pt idx="16">
                  <c:v>0.3142273611468625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3C-8B45-8000-44604F666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252655"/>
        <c:axId val="446254351"/>
      </c:scatterChart>
      <c:valAx>
        <c:axId val="446252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6254351"/>
        <c:crosses val="autoZero"/>
        <c:crossBetween val="midCat"/>
      </c:valAx>
      <c:valAx>
        <c:axId val="44625435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252655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D2 (-W1)</c:v>
          </c:tx>
          <c:spPr>
            <a:ln w="28575">
              <a:noFill/>
            </a:ln>
          </c:spPr>
          <c:marker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'1077std-V0,03'!$B$54:$AF$54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'1077std-V0,03'!$B$94:$AF$94</c:f>
              <c:numCache>
                <c:formatCode>General</c:formatCode>
                <c:ptCount val="31"/>
                <c:pt idx="0">
                  <c:v>7.3461607098579407E-4</c:v>
                </c:pt>
                <c:pt idx="1">
                  <c:v>1.1423104084455071E-3</c:v>
                </c:pt>
                <c:pt idx="2">
                  <c:v>1.5499998743717519E-3</c:v>
                </c:pt>
                <c:pt idx="3">
                  <c:v>2.1423044113012407E-3</c:v>
                </c:pt>
                <c:pt idx="4">
                  <c:v>3.0307721060055942E-3</c:v>
                </c:pt>
                <c:pt idx="5">
                  <c:v>4.3846116616175768E-3</c:v>
                </c:pt>
                <c:pt idx="6">
                  <c:v>6.9730777580004483E-3</c:v>
                </c:pt>
                <c:pt idx="7">
                  <c:v>1.1419230642227024E-2</c:v>
                </c:pt>
                <c:pt idx="8">
                  <c:v>1.8169232859061316E-2</c:v>
                </c:pt>
                <c:pt idx="9">
                  <c:v>2.939615169396767E-2</c:v>
                </c:pt>
                <c:pt idx="10">
                  <c:v>4.5280768034549862E-2</c:v>
                </c:pt>
                <c:pt idx="11">
                  <c:v>6.6946158328881636E-2</c:v>
                </c:pt>
                <c:pt idx="12">
                  <c:v>9.4599992896501839E-2</c:v>
                </c:pt>
                <c:pt idx="13">
                  <c:v>0.1276769216817159</c:v>
                </c:pt>
                <c:pt idx="14">
                  <c:v>0.1659884492938335</c:v>
                </c:pt>
                <c:pt idx="15">
                  <c:v>0.21007692756561133</c:v>
                </c:pt>
                <c:pt idx="16">
                  <c:v>0.25546922878577161</c:v>
                </c:pt>
                <c:pt idx="17">
                  <c:v>0.29511153726623607</c:v>
                </c:pt>
                <c:pt idx="18">
                  <c:v>0.33040769455524588</c:v>
                </c:pt>
                <c:pt idx="19">
                  <c:v>0.3483461631605258</c:v>
                </c:pt>
                <c:pt idx="20">
                  <c:v>0.35532116259519869</c:v>
                </c:pt>
                <c:pt idx="21">
                  <c:v>0.36229616202987158</c:v>
                </c:pt>
                <c:pt idx="22">
                  <c:v>0.36393075780226636</c:v>
                </c:pt>
                <c:pt idx="23">
                  <c:v>0.36664229430831397</c:v>
                </c:pt>
                <c:pt idx="24">
                  <c:v>0.37027692307646459</c:v>
                </c:pt>
                <c:pt idx="25">
                  <c:v>0.37714615005713242</c:v>
                </c:pt>
                <c:pt idx="26">
                  <c:v>0.38387691143613595</c:v>
                </c:pt>
                <c:pt idx="27">
                  <c:v>0.39439615664573813</c:v>
                </c:pt>
                <c:pt idx="28">
                  <c:v>0.40835767726485545</c:v>
                </c:pt>
                <c:pt idx="29">
                  <c:v>0.42258463226831877</c:v>
                </c:pt>
                <c:pt idx="30">
                  <c:v>0.4384961434854911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68-2949-BF0D-9390712D8F2C}"/>
            </c:ext>
          </c:extLst>
        </c:ser>
        <c:ser>
          <c:idx val="1"/>
          <c:order val="1"/>
          <c:tx>
            <c:v>D3 (-W1)</c:v>
          </c:tx>
          <c:spPr>
            <a:ln w="28575">
              <a:noFill/>
            </a:ln>
          </c:spPr>
          <c:marker>
            <c:spPr>
              <a:solidFill>
                <a:srgbClr val="00808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'1077std-V0,03'!$B$54:$AF$54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'1077std-V0,03'!$B$95:$AF$95</c:f>
              <c:numCache>
                <c:formatCode>General</c:formatCode>
                <c:ptCount val="31"/>
                <c:pt idx="0">
                  <c:v>6.7499466240406036E-4</c:v>
                </c:pt>
                <c:pt idx="1">
                  <c:v>7.0000253617763519E-4</c:v>
                </c:pt>
                <c:pt idx="2">
                  <c:v>9.2499889433383942E-4</c:v>
                </c:pt>
                <c:pt idx="3">
                  <c:v>1.5500020235776901E-3</c:v>
                </c:pt>
                <c:pt idx="4">
                  <c:v>2.1500028669834137E-3</c:v>
                </c:pt>
                <c:pt idx="5">
                  <c:v>3.3499989658594131E-3</c:v>
                </c:pt>
                <c:pt idx="6">
                  <c:v>5.3750015795230865E-3</c:v>
                </c:pt>
                <c:pt idx="7">
                  <c:v>8.7499972432851791E-3</c:v>
                </c:pt>
                <c:pt idx="8">
                  <c:v>1.4474997296929359E-2</c:v>
                </c:pt>
                <c:pt idx="9">
                  <c:v>2.3475000634789467E-2</c:v>
                </c:pt>
                <c:pt idx="10">
                  <c:v>3.7149993702769279E-2</c:v>
                </c:pt>
                <c:pt idx="11">
                  <c:v>5.6450005620718002E-2</c:v>
                </c:pt>
                <c:pt idx="12">
                  <c:v>8.1599997356534004E-2</c:v>
                </c:pt>
                <c:pt idx="13">
                  <c:v>0.11172499880194664</c:v>
                </c:pt>
                <c:pt idx="14">
                  <c:v>0.14767499454319477</c:v>
                </c:pt>
                <c:pt idx="15">
                  <c:v>0.18827499635517597</c:v>
                </c:pt>
                <c:pt idx="16">
                  <c:v>0.2323750127106905</c:v>
                </c:pt>
                <c:pt idx="17">
                  <c:v>0.27749999798834324</c:v>
                </c:pt>
                <c:pt idx="18">
                  <c:v>0.31337499432265759</c:v>
                </c:pt>
                <c:pt idx="19">
                  <c:v>0.34509999677538872</c:v>
                </c:pt>
                <c:pt idx="20">
                  <c:v>0.35385000240057707</c:v>
                </c:pt>
                <c:pt idx="21">
                  <c:v>0.36260000802576542</c:v>
                </c:pt>
                <c:pt idx="22">
                  <c:v>0.36792499385774136</c:v>
                </c:pt>
                <c:pt idx="23">
                  <c:v>0.36705000512301922</c:v>
                </c:pt>
                <c:pt idx="24">
                  <c:v>0.37160000577569008</c:v>
                </c:pt>
                <c:pt idx="25">
                  <c:v>0.37387498468160629</c:v>
                </c:pt>
                <c:pt idx="26">
                  <c:v>0.38039999082684517</c:v>
                </c:pt>
                <c:pt idx="27">
                  <c:v>0.38649998977780342</c:v>
                </c:pt>
                <c:pt idx="28">
                  <c:v>0.39755002781748772</c:v>
                </c:pt>
                <c:pt idx="29">
                  <c:v>0.41095002926886082</c:v>
                </c:pt>
                <c:pt idx="30">
                  <c:v>0.42672502808272839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68-2949-BF0D-9390712D8F2C}"/>
            </c:ext>
          </c:extLst>
        </c:ser>
        <c:ser>
          <c:idx val="2"/>
          <c:order val="2"/>
          <c:tx>
            <c:v>D4 (-W1)</c:v>
          </c:tx>
          <c:spPr>
            <a:ln w="28575">
              <a:noFill/>
            </a:ln>
          </c:spPr>
          <c:marker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'1077std-V0,03'!$B$54:$AF$54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'1077std-V0,03'!$B$96:$AF$96</c:f>
              <c:numCache>
                <c:formatCode>General</c:formatCode>
                <c:ptCount val="31"/>
                <c:pt idx="0">
                  <c:v>7.6666722695033218E-4</c:v>
                </c:pt>
                <c:pt idx="1">
                  <c:v>8.0000112454096939E-4</c:v>
                </c:pt>
                <c:pt idx="2">
                  <c:v>9.0000281731288101E-4</c:v>
                </c:pt>
                <c:pt idx="3">
                  <c:v>1.3333360354105678E-3</c:v>
                </c:pt>
                <c:pt idx="4">
                  <c:v>2.1333321928977966E-3</c:v>
                </c:pt>
                <c:pt idx="5">
                  <c:v>3.2666673262913976E-3</c:v>
                </c:pt>
                <c:pt idx="6">
                  <c:v>5.2999953428904262E-3</c:v>
                </c:pt>
                <c:pt idx="7">
                  <c:v>8.4666634599367824E-3</c:v>
                </c:pt>
                <c:pt idx="8">
                  <c:v>1.3899999360243484E-2</c:v>
                </c:pt>
                <c:pt idx="9">
                  <c:v>2.2400009135405227E-2</c:v>
                </c:pt>
                <c:pt idx="10">
                  <c:v>3.5699995855490371E-2</c:v>
                </c:pt>
                <c:pt idx="11">
                  <c:v>5.4399996995925903E-2</c:v>
                </c:pt>
                <c:pt idx="12">
                  <c:v>7.9133329292138413E-2</c:v>
                </c:pt>
                <c:pt idx="13">
                  <c:v>0.10853333522876103</c:v>
                </c:pt>
                <c:pt idx="14">
                  <c:v>0.14330000678698224</c:v>
                </c:pt>
                <c:pt idx="15">
                  <c:v>0.18309999505678815</c:v>
                </c:pt>
                <c:pt idx="16">
                  <c:v>0.22826668123404187</c:v>
                </c:pt>
                <c:pt idx="17">
                  <c:v>0.27256666620572406</c:v>
                </c:pt>
                <c:pt idx="18">
                  <c:v>0.30773333211739856</c:v>
                </c:pt>
                <c:pt idx="19">
                  <c:v>0.33976665884256363</c:v>
                </c:pt>
                <c:pt idx="20">
                  <c:v>0.34906666601697606</c:v>
                </c:pt>
                <c:pt idx="21">
                  <c:v>0.35836667319138843</c:v>
                </c:pt>
                <c:pt idx="22">
                  <c:v>0.36229999860127765</c:v>
                </c:pt>
                <c:pt idx="23">
                  <c:v>0.36370000243186951</c:v>
                </c:pt>
                <c:pt idx="24">
                  <c:v>0.36683334410190582</c:v>
                </c:pt>
                <c:pt idx="25">
                  <c:v>0.37043333053588867</c:v>
                </c:pt>
                <c:pt idx="26">
                  <c:v>0.37663334608078003</c:v>
                </c:pt>
                <c:pt idx="27">
                  <c:v>0.38250000774860382</c:v>
                </c:pt>
                <c:pt idx="28">
                  <c:v>0.39440000057220459</c:v>
                </c:pt>
                <c:pt idx="29">
                  <c:v>0.40650002410014469</c:v>
                </c:pt>
                <c:pt idx="30">
                  <c:v>0.42249999692042667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68-2949-BF0D-9390712D8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739903"/>
        <c:axId val="445740735"/>
      </c:scatterChart>
      <c:valAx>
        <c:axId val="4457399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740735"/>
        <c:crosses val="autoZero"/>
        <c:crossBetween val="midCat"/>
      </c:valAx>
      <c:valAx>
        <c:axId val="4457407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73990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D2</c:v>
          </c:tx>
          <c:spPr>
            <a:ln w="28575">
              <a:noFill/>
            </a:ln>
          </c:spPr>
          <c:xVal>
            <c:numRef>
              <c:f>'1077std-V0,03'!$B$54:$O$54</c:f>
              <c:numCache>
                <c:formatCode>General</c:formatCode>
                <c:ptCount val="14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</c:numCache>
            </c:numRef>
          </c:xVal>
          <c:yVal>
            <c:numRef>
              <c:f>'1077std-V0,03'!$B$94:$O$94</c:f>
              <c:numCache>
                <c:formatCode>General</c:formatCode>
                <c:ptCount val="14"/>
                <c:pt idx="0">
                  <c:v>7.3461607098579407E-4</c:v>
                </c:pt>
                <c:pt idx="1">
                  <c:v>1.1423104084455071E-3</c:v>
                </c:pt>
                <c:pt idx="2">
                  <c:v>1.5499998743717519E-3</c:v>
                </c:pt>
                <c:pt idx="3">
                  <c:v>2.1423044113012407E-3</c:v>
                </c:pt>
                <c:pt idx="4">
                  <c:v>3.0307721060055942E-3</c:v>
                </c:pt>
                <c:pt idx="5">
                  <c:v>4.3846116616175768E-3</c:v>
                </c:pt>
                <c:pt idx="6">
                  <c:v>6.9730777580004483E-3</c:v>
                </c:pt>
                <c:pt idx="7">
                  <c:v>1.1419230642227024E-2</c:v>
                </c:pt>
                <c:pt idx="8">
                  <c:v>1.8169232859061316E-2</c:v>
                </c:pt>
                <c:pt idx="9">
                  <c:v>2.939615169396767E-2</c:v>
                </c:pt>
                <c:pt idx="10">
                  <c:v>4.5280768034549862E-2</c:v>
                </c:pt>
                <c:pt idx="11">
                  <c:v>6.6946158328881636E-2</c:v>
                </c:pt>
                <c:pt idx="12">
                  <c:v>9.4599992896501839E-2</c:v>
                </c:pt>
                <c:pt idx="13">
                  <c:v>0.1276769216817159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0C-D54F-84FA-A76C84FEE19A}"/>
            </c:ext>
          </c:extLst>
        </c:ser>
        <c:ser>
          <c:idx val="1"/>
          <c:order val="1"/>
          <c:tx>
            <c:v>Model: D2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'1077std-V0,03'!$B$54:$O$54</c:f>
              <c:numCache>
                <c:formatCode>General</c:formatCode>
                <c:ptCount val="14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</c:numCache>
            </c:numRef>
          </c:xVal>
          <c:yVal>
            <c:numRef>
              <c:f>'1077std-V0,03'!$B$100:$O$100</c:f>
              <c:numCache>
                <c:formatCode>General</c:formatCode>
                <c:ptCount val="14"/>
                <c:pt idx="0">
                  <c:v>6.6484929116166652E-4</c:v>
                </c:pt>
                <c:pt idx="1">
                  <c:v>1.0028014404702967E-3</c:v>
                </c:pt>
                <c:pt idx="2">
                  <c:v>1.5125393715201766E-3</c:v>
                </c:pt>
                <c:pt idx="3">
                  <c:v>2.2813841884049583E-3</c:v>
                </c:pt>
                <c:pt idx="4">
                  <c:v>3.441043527926917E-3</c:v>
                </c:pt>
                <c:pt idx="5">
                  <c:v>5.190173852027205E-3</c:v>
                </c:pt>
                <c:pt idx="6">
                  <c:v>7.8284114675224326E-3</c:v>
                </c:pt>
                <c:pt idx="7">
                  <c:v>1.1807701986880473E-2</c:v>
                </c:pt>
                <c:pt idx="8">
                  <c:v>1.7809721268407706E-2</c:v>
                </c:pt>
                <c:pt idx="9">
                  <c:v>2.686265049802232E-2</c:v>
                </c:pt>
                <c:pt idx="10">
                  <c:v>4.0517309670586109E-2</c:v>
                </c:pt>
                <c:pt idx="11">
                  <c:v>6.1112822171551277E-2</c:v>
                </c:pt>
                <c:pt idx="12">
                  <c:v>9.2177320363472801E-2</c:v>
                </c:pt>
                <c:pt idx="13">
                  <c:v>0.13903233539991186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0C-D54F-84FA-A76C84FEE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573839"/>
        <c:axId val="429575535"/>
      </c:scatterChart>
      <c:valAx>
        <c:axId val="429573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575535"/>
        <c:crosses val="autoZero"/>
        <c:crossBetween val="midCat"/>
      </c:valAx>
      <c:valAx>
        <c:axId val="4295755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57383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D3</c:v>
          </c:tx>
          <c:spPr>
            <a:ln w="28575">
              <a:noFill/>
            </a:ln>
          </c:spPr>
          <c:xVal>
            <c:numRef>
              <c:f>'1077std-V0,03'!$B$54:$P$54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'1077std-V0,03'!$B$95:$P$95</c:f>
              <c:numCache>
                <c:formatCode>General</c:formatCode>
                <c:ptCount val="15"/>
                <c:pt idx="0">
                  <c:v>6.7499466240406036E-4</c:v>
                </c:pt>
                <c:pt idx="1">
                  <c:v>7.0000253617763519E-4</c:v>
                </c:pt>
                <c:pt idx="2">
                  <c:v>9.2499889433383942E-4</c:v>
                </c:pt>
                <c:pt idx="3">
                  <c:v>1.5500020235776901E-3</c:v>
                </c:pt>
                <c:pt idx="4">
                  <c:v>2.1500028669834137E-3</c:v>
                </c:pt>
                <c:pt idx="5">
                  <c:v>3.3499989658594131E-3</c:v>
                </c:pt>
                <c:pt idx="6">
                  <c:v>5.3750015795230865E-3</c:v>
                </c:pt>
                <c:pt idx="7">
                  <c:v>8.7499972432851791E-3</c:v>
                </c:pt>
                <c:pt idx="8">
                  <c:v>1.4474997296929359E-2</c:v>
                </c:pt>
                <c:pt idx="9">
                  <c:v>2.3475000634789467E-2</c:v>
                </c:pt>
                <c:pt idx="10">
                  <c:v>3.7149993702769279E-2</c:v>
                </c:pt>
                <c:pt idx="11">
                  <c:v>5.6450005620718002E-2</c:v>
                </c:pt>
                <c:pt idx="12">
                  <c:v>8.1599997356534004E-2</c:v>
                </c:pt>
                <c:pt idx="13">
                  <c:v>0.11172499880194664</c:v>
                </c:pt>
                <c:pt idx="14">
                  <c:v>0.14767499454319477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65-0D4A-9DF2-46385D2ED5F1}"/>
            </c:ext>
          </c:extLst>
        </c:ser>
        <c:ser>
          <c:idx val="1"/>
          <c:order val="1"/>
          <c:tx>
            <c:v>Model: D3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'1077std-V0,03'!$B$54:$P$54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'1077std-V0,03'!$B$101:$P$101</c:f>
              <c:numCache>
                <c:formatCode>General</c:formatCode>
                <c:ptCount val="15"/>
                <c:pt idx="0">
                  <c:v>4.6886622413779173E-4</c:v>
                </c:pt>
                <c:pt idx="1">
                  <c:v>7.1554913359923086E-4</c:v>
                </c:pt>
                <c:pt idx="2">
                  <c:v>1.0920184398783626E-3</c:v>
                </c:pt>
                <c:pt idx="3">
                  <c:v>1.6665581957119354E-3</c:v>
                </c:pt>
                <c:pt idx="4">
                  <c:v>2.5433784982641797E-3</c:v>
                </c:pt>
                <c:pt idx="5">
                  <c:v>3.8815171303808946E-3</c:v>
                </c:pt>
                <c:pt idx="6">
                  <c:v>5.923685854749023E-3</c:v>
                </c:pt>
                <c:pt idx="7">
                  <c:v>9.0402935056247604E-3</c:v>
                </c:pt>
                <c:pt idx="8">
                  <c:v>1.3796630792350465E-2</c:v>
                </c:pt>
                <c:pt idx="9">
                  <c:v>2.1055402803238778E-2</c:v>
                </c:pt>
                <c:pt idx="10">
                  <c:v>3.2133206568986376E-2</c:v>
                </c:pt>
                <c:pt idx="11">
                  <c:v>4.9039335606836328E-2</c:v>
                </c:pt>
                <c:pt idx="12">
                  <c:v>7.484022584540298E-2</c:v>
                </c:pt>
                <c:pt idx="13">
                  <c:v>0.11421564618037157</c:v>
                </c:pt>
                <c:pt idx="14">
                  <c:v>0.17430751557788279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65-0D4A-9DF2-46385D2ED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588687"/>
        <c:axId val="429590383"/>
      </c:scatterChart>
      <c:valAx>
        <c:axId val="4295886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590383"/>
        <c:crosses val="autoZero"/>
        <c:crossBetween val="midCat"/>
      </c:valAx>
      <c:valAx>
        <c:axId val="4295903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58868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D4</c:v>
          </c:tx>
          <c:spPr>
            <a:ln w="28575">
              <a:noFill/>
            </a:ln>
          </c:spPr>
          <c:xVal>
            <c:numRef>
              <c:f>'1077std-V0,03'!$B$54:$Q$54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'1077std-V0,03'!$B$96:$Q$96</c:f>
              <c:numCache>
                <c:formatCode>General</c:formatCode>
                <c:ptCount val="16"/>
                <c:pt idx="0">
                  <c:v>7.6666722695033218E-4</c:v>
                </c:pt>
                <c:pt idx="1">
                  <c:v>8.0000112454096939E-4</c:v>
                </c:pt>
                <c:pt idx="2">
                  <c:v>9.0000281731288101E-4</c:v>
                </c:pt>
                <c:pt idx="3">
                  <c:v>1.3333360354105678E-3</c:v>
                </c:pt>
                <c:pt idx="4">
                  <c:v>2.1333321928977966E-3</c:v>
                </c:pt>
                <c:pt idx="5">
                  <c:v>3.2666673262913976E-3</c:v>
                </c:pt>
                <c:pt idx="6">
                  <c:v>5.2999953428904262E-3</c:v>
                </c:pt>
                <c:pt idx="7">
                  <c:v>8.4666634599367824E-3</c:v>
                </c:pt>
                <c:pt idx="8">
                  <c:v>1.3899999360243484E-2</c:v>
                </c:pt>
                <c:pt idx="9">
                  <c:v>2.2400009135405227E-2</c:v>
                </c:pt>
                <c:pt idx="10">
                  <c:v>3.5699995855490371E-2</c:v>
                </c:pt>
                <c:pt idx="11">
                  <c:v>5.4399996995925903E-2</c:v>
                </c:pt>
                <c:pt idx="12">
                  <c:v>7.9133329292138413E-2</c:v>
                </c:pt>
                <c:pt idx="13">
                  <c:v>0.10853333522876103</c:v>
                </c:pt>
                <c:pt idx="14">
                  <c:v>0.14330000678698224</c:v>
                </c:pt>
                <c:pt idx="15">
                  <c:v>0.18309999505678815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B8-0A40-9D61-FEEDF476BFD0}"/>
            </c:ext>
          </c:extLst>
        </c:ser>
        <c:ser>
          <c:idx val="1"/>
          <c:order val="1"/>
          <c:tx>
            <c:v>Model: D4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'1077std-V0,03'!$B$54:$Q$54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'1077std-V0,03'!$B$102:$Q$102</c:f>
              <c:numCache>
                <c:formatCode>General</c:formatCode>
                <c:ptCount val="16"/>
                <c:pt idx="0">
                  <c:v>4.9776685274552823E-4</c:v>
                </c:pt>
                <c:pt idx="1">
                  <c:v>7.4970890709996098E-4</c:v>
                </c:pt>
                <c:pt idx="2">
                  <c:v>1.129170096973813E-3</c:v>
                </c:pt>
                <c:pt idx="3">
                  <c:v>1.7006935569592312E-3</c:v>
                </c:pt>
                <c:pt idx="4">
                  <c:v>2.5614905871437716E-3</c:v>
                </c:pt>
                <c:pt idx="5">
                  <c:v>3.8579754719347292E-3</c:v>
                </c:pt>
                <c:pt idx="6">
                  <c:v>5.8106693097969174E-3</c:v>
                </c:pt>
                <c:pt idx="7">
                  <c:v>8.7517087844219948E-3</c:v>
                </c:pt>
                <c:pt idx="8">
                  <c:v>1.3181339801628817E-2</c:v>
                </c:pt>
                <c:pt idx="9">
                  <c:v>1.9853005081164748E-2</c:v>
                </c:pt>
                <c:pt idx="10">
                  <c:v>2.9901498382133299E-2</c:v>
                </c:pt>
                <c:pt idx="11">
                  <c:v>4.5035983310404946E-2</c:v>
                </c:pt>
                <c:pt idx="12">
                  <c:v>6.7830707572399909E-2</c:v>
                </c:pt>
                <c:pt idx="13">
                  <c:v>0.10216286070763837</c:v>
                </c:pt>
                <c:pt idx="14">
                  <c:v>0.15387205119197683</c:v>
                </c:pt>
                <c:pt idx="15">
                  <c:v>0.23175357438142016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B8-0A40-9D61-FEEDF476B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147311"/>
        <c:axId val="446149007"/>
      </c:scatterChart>
      <c:valAx>
        <c:axId val="4461473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6149007"/>
        <c:crosses val="autoZero"/>
        <c:crossBetween val="midCat"/>
      </c:valAx>
      <c:valAx>
        <c:axId val="4461490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147311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B10 (-W1)</c:v>
          </c:tx>
          <c:spPr>
            <a:ln w="28575">
              <a:noFill/>
            </a:ln>
          </c:spPr>
          <c:marker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'1077V24-BHI'!$B$54:$AF$54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'1077V24-BHI'!$B$93:$AF$93</c:f>
              <c:numCache>
                <c:formatCode>General</c:formatCode>
                <c:ptCount val="31"/>
                <c:pt idx="0">
                  <c:v>6.8947006213038176E-4</c:v>
                </c:pt>
                <c:pt idx="1">
                  <c:v>8.5263503225226078E-4</c:v>
                </c:pt>
                <c:pt idx="2">
                  <c:v>1.1578935541604746E-3</c:v>
                </c:pt>
                <c:pt idx="3">
                  <c:v>1.4315827896720507E-3</c:v>
                </c:pt>
                <c:pt idx="4">
                  <c:v>1.8368437886238098E-3</c:v>
                </c:pt>
                <c:pt idx="5">
                  <c:v>2.499997615814209E-3</c:v>
                </c:pt>
                <c:pt idx="6">
                  <c:v>3.8947341473479086E-3</c:v>
                </c:pt>
                <c:pt idx="7">
                  <c:v>6.2421034825475563E-3</c:v>
                </c:pt>
                <c:pt idx="8">
                  <c:v>1.0178944782206892E-2</c:v>
                </c:pt>
                <c:pt idx="9">
                  <c:v>1.6742108291701266E-2</c:v>
                </c:pt>
                <c:pt idx="10">
                  <c:v>2.7315793068785413E-2</c:v>
                </c:pt>
                <c:pt idx="11">
                  <c:v>4.2468424690397161E-2</c:v>
                </c:pt>
                <c:pt idx="12">
                  <c:v>6.3605264221367086E-2</c:v>
                </c:pt>
                <c:pt idx="13">
                  <c:v>9.0268423682764956E-2</c:v>
                </c:pt>
                <c:pt idx="14">
                  <c:v>0.12186315577281148</c:v>
                </c:pt>
                <c:pt idx="15">
                  <c:v>0.16256314516067505</c:v>
                </c:pt>
                <c:pt idx="16">
                  <c:v>0.20895789210733615</c:v>
                </c:pt>
                <c:pt idx="17">
                  <c:v>0.26074211456273733</c:v>
                </c:pt>
                <c:pt idx="18">
                  <c:v>0.30634736152071701</c:v>
                </c:pt>
                <c:pt idx="19">
                  <c:v>0.34178948676899862</c:v>
                </c:pt>
                <c:pt idx="20">
                  <c:v>0.36397631760490567</c:v>
                </c:pt>
                <c:pt idx="21">
                  <c:v>0.38616314844081279</c:v>
                </c:pt>
                <c:pt idx="22">
                  <c:v>0.39580525026509639</c:v>
                </c:pt>
                <c:pt idx="23">
                  <c:v>0.40138420031258937</c:v>
                </c:pt>
                <c:pt idx="24">
                  <c:v>0.40328946239069891</c:v>
                </c:pt>
                <c:pt idx="25">
                  <c:v>0.40541581260530574</c:v>
                </c:pt>
                <c:pt idx="26">
                  <c:v>0.40811050369551305</c:v>
                </c:pt>
                <c:pt idx="27">
                  <c:v>0.41464735214647497</c:v>
                </c:pt>
                <c:pt idx="28">
                  <c:v>0.41959475882743535</c:v>
                </c:pt>
                <c:pt idx="29">
                  <c:v>0.43039476322500331</c:v>
                </c:pt>
                <c:pt idx="30">
                  <c:v>0.441484230913614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B-1147-9E1F-DEAC2ADE278F}"/>
            </c:ext>
          </c:extLst>
        </c:ser>
        <c:ser>
          <c:idx val="1"/>
          <c:order val="1"/>
          <c:tx>
            <c:v>B11 (-W1)</c:v>
          </c:tx>
          <c:spPr>
            <a:ln w="28575">
              <a:noFill/>
            </a:ln>
          </c:spPr>
          <c:marker>
            <c:spPr>
              <a:solidFill>
                <a:srgbClr val="00808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'1077V24-BHI'!$B$54:$AF$54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'1077V24-BHI'!$B$94:$AF$94</c:f>
              <c:numCache>
                <c:formatCode>General</c:formatCode>
                <c:ptCount val="31"/>
                <c:pt idx="0">
                  <c:v>1.962860780102868E-3</c:v>
                </c:pt>
                <c:pt idx="1">
                  <c:v>2.3000038095882941E-3</c:v>
                </c:pt>
                <c:pt idx="2">
                  <c:v>2.508569189480378E-3</c:v>
                </c:pt>
                <c:pt idx="3">
                  <c:v>2.9285699129104614E-3</c:v>
                </c:pt>
                <c:pt idx="4">
                  <c:v>3.5285713417189529E-3</c:v>
                </c:pt>
                <c:pt idx="5">
                  <c:v>4.4542872479983731E-3</c:v>
                </c:pt>
                <c:pt idx="6">
                  <c:v>6.2657143388475667E-3</c:v>
                </c:pt>
                <c:pt idx="7">
                  <c:v>9.3999988266399992E-3</c:v>
                </c:pt>
                <c:pt idx="8">
                  <c:v>1.4354286236422403E-2</c:v>
                </c:pt>
                <c:pt idx="9">
                  <c:v>2.207142497811998E-2</c:v>
                </c:pt>
                <c:pt idx="10">
                  <c:v>3.5862864128180919E-2</c:v>
                </c:pt>
                <c:pt idx="11">
                  <c:v>5.5845712976796288E-2</c:v>
                </c:pt>
                <c:pt idx="12">
                  <c:v>8.2002863926546918E-2</c:v>
                </c:pt>
                <c:pt idx="13">
                  <c:v>0.11667999412332263</c:v>
                </c:pt>
                <c:pt idx="14">
                  <c:v>0.16128855794668198</c:v>
                </c:pt>
                <c:pt idx="15">
                  <c:v>0.20988286180155619</c:v>
                </c:pt>
                <c:pt idx="16">
                  <c:v>0.25707714174474988</c:v>
                </c:pt>
                <c:pt idx="17">
                  <c:v>0.303411437358175</c:v>
                </c:pt>
                <c:pt idx="18">
                  <c:v>0.34218856820038385</c:v>
                </c:pt>
                <c:pt idx="19">
                  <c:v>0.37303142717906407</c:v>
                </c:pt>
                <c:pt idx="20">
                  <c:v>0.38130857646465299</c:v>
                </c:pt>
                <c:pt idx="21">
                  <c:v>0.38958572575024197</c:v>
                </c:pt>
                <c:pt idx="22">
                  <c:v>0.39733716398477553</c:v>
                </c:pt>
                <c:pt idx="23">
                  <c:v>0.39260572727237431</c:v>
                </c:pt>
                <c:pt idx="24">
                  <c:v>0.38747142553329467</c:v>
                </c:pt>
                <c:pt idx="25">
                  <c:v>0.38605427231107436</c:v>
                </c:pt>
                <c:pt idx="26">
                  <c:v>0.38637141798223767</c:v>
                </c:pt>
                <c:pt idx="27">
                  <c:v>0.3907114169427327</c:v>
                </c:pt>
                <c:pt idx="28">
                  <c:v>0.39545430881636484</c:v>
                </c:pt>
                <c:pt idx="29">
                  <c:v>0.4057885753256934</c:v>
                </c:pt>
                <c:pt idx="30">
                  <c:v>0.41142571036304748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3B-1147-9E1F-DEAC2ADE2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185487"/>
        <c:axId val="446187183"/>
      </c:scatterChart>
      <c:valAx>
        <c:axId val="446185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6187183"/>
        <c:crosses val="autoZero"/>
        <c:crossBetween val="midCat"/>
      </c:valAx>
      <c:valAx>
        <c:axId val="4461871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18548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B10</c:v>
          </c:tx>
          <c:spPr>
            <a:ln w="28575">
              <a:noFill/>
            </a:ln>
          </c:spPr>
          <c:xVal>
            <c:numRef>
              <c:f>'1077V24-BHI'!$B$54:$R$54</c:f>
              <c:numCache>
                <c:formatCode>General</c:formatCode>
                <c:ptCount val="17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</c:numCache>
            </c:numRef>
          </c:xVal>
          <c:yVal>
            <c:numRef>
              <c:f>'1077V24-BHI'!$B$93:$R$93</c:f>
              <c:numCache>
                <c:formatCode>General</c:formatCode>
                <c:ptCount val="17"/>
                <c:pt idx="0">
                  <c:v>6.8947006213038176E-4</c:v>
                </c:pt>
                <c:pt idx="1">
                  <c:v>8.5263503225226078E-4</c:v>
                </c:pt>
                <c:pt idx="2">
                  <c:v>1.1578935541604746E-3</c:v>
                </c:pt>
                <c:pt idx="3">
                  <c:v>1.4315827896720507E-3</c:v>
                </c:pt>
                <c:pt idx="4">
                  <c:v>1.8368437886238098E-3</c:v>
                </c:pt>
                <c:pt idx="5">
                  <c:v>2.499997615814209E-3</c:v>
                </c:pt>
                <c:pt idx="6">
                  <c:v>3.8947341473479086E-3</c:v>
                </c:pt>
                <c:pt idx="7">
                  <c:v>6.2421034825475563E-3</c:v>
                </c:pt>
                <c:pt idx="8">
                  <c:v>1.0178944782206892E-2</c:v>
                </c:pt>
                <c:pt idx="9">
                  <c:v>1.6742108291701266E-2</c:v>
                </c:pt>
                <c:pt idx="10">
                  <c:v>2.7315793068785413E-2</c:v>
                </c:pt>
                <c:pt idx="11">
                  <c:v>4.2468424690397161E-2</c:v>
                </c:pt>
                <c:pt idx="12">
                  <c:v>6.3605264221367086E-2</c:v>
                </c:pt>
                <c:pt idx="13">
                  <c:v>9.0268423682764956E-2</c:v>
                </c:pt>
                <c:pt idx="14">
                  <c:v>0.12186315577281148</c:v>
                </c:pt>
                <c:pt idx="15">
                  <c:v>0.16256314516067505</c:v>
                </c:pt>
                <c:pt idx="16">
                  <c:v>0.20895789210733615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B8-1345-A97C-8F63151D7CF3}"/>
            </c:ext>
          </c:extLst>
        </c:ser>
        <c:ser>
          <c:idx val="1"/>
          <c:order val="1"/>
          <c:tx>
            <c:v>Model: B10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'1077V24-BHI'!$B$54:$R$54</c:f>
              <c:numCache>
                <c:formatCode>General</c:formatCode>
                <c:ptCount val="17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</c:numCache>
            </c:numRef>
          </c:xVal>
          <c:yVal>
            <c:numRef>
              <c:f>'1077V24-BHI'!$B$97:$R$97</c:f>
              <c:numCache>
                <c:formatCode>General</c:formatCode>
                <c:ptCount val="17"/>
                <c:pt idx="0">
                  <c:v>4.9024971642295894E-4</c:v>
                </c:pt>
                <c:pt idx="1">
                  <c:v>7.2331117955472821E-4</c:v>
                </c:pt>
                <c:pt idx="2">
                  <c:v>1.0671685162536306E-3</c:v>
                </c:pt>
                <c:pt idx="3">
                  <c:v>1.5744933498526219E-3</c:v>
                </c:pt>
                <c:pt idx="4">
                  <c:v>2.3229970440216286E-3</c:v>
                </c:pt>
                <c:pt idx="5">
                  <c:v>3.4273344292234313E-3</c:v>
                </c:pt>
                <c:pt idx="6">
                  <c:v>5.056666481763691E-3</c:v>
                </c:pt>
                <c:pt idx="7">
                  <c:v>7.4605721839598911E-3</c:v>
                </c:pt>
                <c:pt idx="8">
                  <c:v>1.1007278710749109E-2</c:v>
                </c:pt>
                <c:pt idx="9">
                  <c:v>1.6240065993410394E-2</c:v>
                </c:pt>
                <c:pt idx="10">
                  <c:v>2.3960485638722943E-2</c:v>
                </c:pt>
                <c:pt idx="11">
                  <c:v>3.5351141570261986E-2</c:v>
                </c:pt>
                <c:pt idx="12">
                  <c:v>5.2156839772105418E-2</c:v>
                </c:pt>
                <c:pt idx="13">
                  <c:v>7.6951855419047352E-2</c:v>
                </c:pt>
                <c:pt idx="14">
                  <c:v>0.11353425702760779</c:v>
                </c:pt>
                <c:pt idx="15">
                  <c:v>0.16750768969269494</c:v>
                </c:pt>
                <c:pt idx="16">
                  <c:v>0.24713973421573715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B8-1345-A97C-8F63151D7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50527"/>
        <c:axId val="429652223"/>
      </c:scatterChart>
      <c:valAx>
        <c:axId val="4296505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652223"/>
        <c:crosses val="autoZero"/>
        <c:crossBetween val="midCat"/>
      </c:valAx>
      <c:valAx>
        <c:axId val="42965222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65052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B11</c:v>
          </c:tx>
          <c:spPr>
            <a:ln w="28575">
              <a:noFill/>
            </a:ln>
          </c:spPr>
          <c:xVal>
            <c:numRef>
              <c:f>'1077V24-BHI'!$B$54:$T$54</c:f>
              <c:numCache>
                <c:formatCode>General</c:formatCode>
                <c:ptCount val="19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</c:numCache>
            </c:numRef>
          </c:xVal>
          <c:yVal>
            <c:numRef>
              <c:f>'1077V24-BHI'!$B$94:$T$94</c:f>
              <c:numCache>
                <c:formatCode>General</c:formatCode>
                <c:ptCount val="19"/>
                <c:pt idx="0">
                  <c:v>1.962860780102868E-3</c:v>
                </c:pt>
                <c:pt idx="1">
                  <c:v>2.3000038095882941E-3</c:v>
                </c:pt>
                <c:pt idx="2">
                  <c:v>2.508569189480378E-3</c:v>
                </c:pt>
                <c:pt idx="3">
                  <c:v>2.9285699129104614E-3</c:v>
                </c:pt>
                <c:pt idx="4">
                  <c:v>3.5285713417189529E-3</c:v>
                </c:pt>
                <c:pt idx="5">
                  <c:v>4.4542872479983731E-3</c:v>
                </c:pt>
                <c:pt idx="6">
                  <c:v>6.2657143388475667E-3</c:v>
                </c:pt>
                <c:pt idx="7">
                  <c:v>9.3999988266399992E-3</c:v>
                </c:pt>
                <c:pt idx="8">
                  <c:v>1.4354286236422403E-2</c:v>
                </c:pt>
                <c:pt idx="9">
                  <c:v>2.207142497811998E-2</c:v>
                </c:pt>
                <c:pt idx="10">
                  <c:v>3.5862864128180919E-2</c:v>
                </c:pt>
                <c:pt idx="11">
                  <c:v>5.5845712976796288E-2</c:v>
                </c:pt>
                <c:pt idx="12">
                  <c:v>8.2002863926546918E-2</c:v>
                </c:pt>
                <c:pt idx="13">
                  <c:v>0.11667999412332263</c:v>
                </c:pt>
                <c:pt idx="14">
                  <c:v>0.16128855794668198</c:v>
                </c:pt>
                <c:pt idx="15">
                  <c:v>0.20988286180155619</c:v>
                </c:pt>
                <c:pt idx="16">
                  <c:v>0.25707714174474988</c:v>
                </c:pt>
                <c:pt idx="17">
                  <c:v>0.303411437358175</c:v>
                </c:pt>
                <c:pt idx="18">
                  <c:v>0.34218856820038385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51-1241-9EDD-641755BDC30C}"/>
            </c:ext>
          </c:extLst>
        </c:ser>
        <c:ser>
          <c:idx val="1"/>
          <c:order val="1"/>
          <c:tx>
            <c:v>Model: B11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'1077V24-BHI'!$B$54:$T$54</c:f>
              <c:numCache>
                <c:formatCode>General</c:formatCode>
                <c:ptCount val="19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</c:numCache>
            </c:numRef>
          </c:xVal>
          <c:yVal>
            <c:numRef>
              <c:f>'1077V24-BHI'!$B$98:$T$98</c:f>
              <c:numCache>
                <c:formatCode>General</c:formatCode>
                <c:ptCount val="19"/>
                <c:pt idx="0">
                  <c:v>1.2352542761910037E-3</c:v>
                </c:pt>
                <c:pt idx="1">
                  <c:v>1.7176390674770771E-3</c:v>
                </c:pt>
                <c:pt idx="2">
                  <c:v>2.3884021476298289E-3</c:v>
                </c:pt>
                <c:pt idx="3">
                  <c:v>3.3211079829371134E-3</c:v>
                </c:pt>
                <c:pt idx="4">
                  <c:v>4.6180490355337287E-3</c:v>
                </c:pt>
                <c:pt idx="5">
                  <c:v>6.4214644643181508E-3</c:v>
                </c:pt>
                <c:pt idx="6">
                  <c:v>8.9291398920226216E-3</c:v>
                </c:pt>
                <c:pt idx="7">
                  <c:v>1.241609910859728E-2</c:v>
                </c:pt>
                <c:pt idx="8">
                  <c:v>1.7264766700792515E-2</c:v>
                </c:pt>
                <c:pt idx="9">
                  <c:v>2.4006909628032844E-2</c:v>
                </c:pt>
                <c:pt idx="10">
                  <c:v>3.3381957594716898E-2</c:v>
                </c:pt>
                <c:pt idx="11">
                  <c:v>4.6418098377570688E-2</c:v>
                </c:pt>
                <c:pt idx="12">
                  <c:v>6.4545042059811014E-2</c:v>
                </c:pt>
                <c:pt idx="13">
                  <c:v>8.9750821341613121E-2</c:v>
                </c:pt>
                <c:pt idx="14">
                  <c:v>0.12479982465624181</c:v>
                </c:pt>
                <c:pt idx="15">
                  <c:v>0.17353597439455781</c:v>
                </c:pt>
                <c:pt idx="16">
                  <c:v>0.24130430064320135</c:v>
                </c:pt>
                <c:pt idx="17">
                  <c:v>0.33553714560945019</c:v>
                </c:pt>
                <c:pt idx="18">
                  <c:v>0.46656928941440035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51-1241-9EDD-641755BDC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72399"/>
        <c:axId val="429135727"/>
      </c:scatterChart>
      <c:valAx>
        <c:axId val="215972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135727"/>
        <c:crosses val="autoZero"/>
        <c:crossBetween val="midCat"/>
      </c:valAx>
      <c:valAx>
        <c:axId val="4291357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7239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D5 (-W1)</c:v>
          </c:tx>
          <c:spPr>
            <a:ln w="28575">
              <a:noFill/>
            </a:ln>
          </c:spPr>
          <c:marker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'1077V24-V1'!$B$54:$AF$54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'1077V24-V1'!$B$94:$AF$94</c:f>
              <c:numCache>
                <c:formatCode>General</c:formatCode>
                <c:ptCount val="31"/>
                <c:pt idx="0">
                  <c:v>6.7857227155140865E-4</c:v>
                </c:pt>
                <c:pt idx="1">
                  <c:v>6.6428950854710567E-4</c:v>
                </c:pt>
                <c:pt idx="2">
                  <c:v>8.5714033671788203E-4</c:v>
                </c:pt>
                <c:pt idx="3">
                  <c:v>1.3285699699606274E-3</c:v>
                </c:pt>
                <c:pt idx="4">
                  <c:v>1.542858247246065E-3</c:v>
                </c:pt>
                <c:pt idx="5">
                  <c:v>2.199996794973097E-3</c:v>
                </c:pt>
                <c:pt idx="6">
                  <c:v>2.8785706630774927E-3</c:v>
                </c:pt>
                <c:pt idx="7">
                  <c:v>4.0214301220008325E-3</c:v>
                </c:pt>
                <c:pt idx="8">
                  <c:v>5.0714255443641137E-3</c:v>
                </c:pt>
                <c:pt idx="9">
                  <c:v>6.821432283946452E-3</c:v>
                </c:pt>
                <c:pt idx="10">
                  <c:v>9.3000009655952454E-3</c:v>
                </c:pt>
                <c:pt idx="11">
                  <c:v>1.2664287750210085E-2</c:v>
                </c:pt>
                <c:pt idx="12">
                  <c:v>1.8207139202526632E-2</c:v>
                </c:pt>
                <c:pt idx="13">
                  <c:v>2.5078569671937403E-2</c:v>
                </c:pt>
                <c:pt idx="14">
                  <c:v>3.5378576921565194E-2</c:v>
                </c:pt>
                <c:pt idx="15">
                  <c:v>4.9778567893164496E-2</c:v>
                </c:pt>
                <c:pt idx="16">
                  <c:v>7.1671423103128157E-2</c:v>
                </c:pt>
                <c:pt idx="17">
                  <c:v>0.10205000159995896</c:v>
                </c:pt>
                <c:pt idx="18">
                  <c:v>0.13804285920092038</c:v>
                </c:pt>
                <c:pt idx="19">
                  <c:v>0.17887858035308973</c:v>
                </c:pt>
                <c:pt idx="20">
                  <c:v>0.22049643498446259</c:v>
                </c:pt>
                <c:pt idx="21">
                  <c:v>0.26211428961583549</c:v>
                </c:pt>
                <c:pt idx="22">
                  <c:v>0.30056429707578247</c:v>
                </c:pt>
                <c:pt idx="23">
                  <c:v>0.33645714819431305</c:v>
                </c:pt>
                <c:pt idx="24">
                  <c:v>0.35936428766165462</c:v>
                </c:pt>
                <c:pt idx="25">
                  <c:v>0.3656214305332729</c:v>
                </c:pt>
                <c:pt idx="26">
                  <c:v>0.36949286343795912</c:v>
                </c:pt>
                <c:pt idx="27">
                  <c:v>0.36872856478605953</c:v>
                </c:pt>
                <c:pt idx="28">
                  <c:v>0.36699284985661507</c:v>
                </c:pt>
                <c:pt idx="29">
                  <c:v>0.3684714319450515</c:v>
                </c:pt>
                <c:pt idx="30">
                  <c:v>0.37242856621742249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DE-AD48-B767-D4D7A37D4435}"/>
            </c:ext>
          </c:extLst>
        </c:ser>
        <c:ser>
          <c:idx val="1"/>
          <c:order val="1"/>
          <c:tx>
            <c:v>D6 (-W1)</c:v>
          </c:tx>
          <c:spPr>
            <a:ln w="28575">
              <a:noFill/>
            </a:ln>
          </c:spPr>
          <c:marker>
            <c:spPr>
              <a:solidFill>
                <a:srgbClr val="00808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'1077V24-V1'!$B$54:$AF$54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'1077V24-V1'!$B$95:$AF$95</c:f>
              <c:numCache>
                <c:formatCode>General</c:formatCode>
                <c:ptCount val="31"/>
                <c:pt idx="0">
                  <c:v>6.6666553417842056E-4</c:v>
                </c:pt>
                <c:pt idx="1">
                  <c:v>5.9999773899714615E-4</c:v>
                </c:pt>
                <c:pt idx="2">
                  <c:v>8.0000112454096939E-4</c:v>
                </c:pt>
                <c:pt idx="3">
                  <c:v>1.1333326498667445E-3</c:v>
                </c:pt>
                <c:pt idx="4">
                  <c:v>1.7333328723907471E-3</c:v>
                </c:pt>
                <c:pt idx="5">
                  <c:v>2.4666686852772984E-3</c:v>
                </c:pt>
                <c:pt idx="6">
                  <c:v>3.2999987403551784E-3</c:v>
                </c:pt>
                <c:pt idx="7">
                  <c:v>4.3666685620943752E-3</c:v>
                </c:pt>
                <c:pt idx="8">
                  <c:v>5.7000021139780727E-3</c:v>
                </c:pt>
                <c:pt idx="9">
                  <c:v>7.6000044743220058E-3</c:v>
                </c:pt>
                <c:pt idx="10">
                  <c:v>1.0000000397364303E-2</c:v>
                </c:pt>
                <c:pt idx="11">
                  <c:v>1.3800002634525299E-2</c:v>
                </c:pt>
                <c:pt idx="12">
                  <c:v>1.9033332665761307E-2</c:v>
                </c:pt>
                <c:pt idx="13">
                  <c:v>2.7033341427644089E-2</c:v>
                </c:pt>
                <c:pt idx="14">
                  <c:v>3.8200000921885177E-2</c:v>
                </c:pt>
                <c:pt idx="15">
                  <c:v>5.4599995414416E-2</c:v>
                </c:pt>
                <c:pt idx="16">
                  <c:v>8.0266664425532028E-2</c:v>
                </c:pt>
                <c:pt idx="17">
                  <c:v>0.11256666978200276</c:v>
                </c:pt>
                <c:pt idx="18">
                  <c:v>0.14963332315285999</c:v>
                </c:pt>
                <c:pt idx="19">
                  <c:v>0.19126666337251663</c:v>
                </c:pt>
                <c:pt idx="20">
                  <c:v>0.23116666699449223</c:v>
                </c:pt>
                <c:pt idx="21">
                  <c:v>0.27106667061646778</c:v>
                </c:pt>
                <c:pt idx="22">
                  <c:v>0.30729999144872028</c:v>
                </c:pt>
                <c:pt idx="23">
                  <c:v>0.33799999952316284</c:v>
                </c:pt>
                <c:pt idx="24">
                  <c:v>0.34453333914279938</c:v>
                </c:pt>
                <c:pt idx="25">
                  <c:v>0.35013332962989807</c:v>
                </c:pt>
                <c:pt idx="26">
                  <c:v>0.35113334655761719</c:v>
                </c:pt>
                <c:pt idx="27">
                  <c:v>0.34789998829364777</c:v>
                </c:pt>
                <c:pt idx="28">
                  <c:v>0.35019999742507935</c:v>
                </c:pt>
                <c:pt idx="29">
                  <c:v>0.35389999796946842</c:v>
                </c:pt>
                <c:pt idx="30">
                  <c:v>0.36060000707705814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DE-AD48-B767-D4D7A37D4435}"/>
            </c:ext>
          </c:extLst>
        </c:ser>
        <c:ser>
          <c:idx val="2"/>
          <c:order val="2"/>
          <c:tx>
            <c:v>D7 (-W1)</c:v>
          </c:tx>
          <c:spPr>
            <a:ln w="28575">
              <a:noFill/>
            </a:ln>
          </c:spPr>
          <c:marker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'1077V24-V1'!$B$54:$AF$54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'1077V24-V1'!$B$96:$AF$96</c:f>
              <c:numCache>
                <c:formatCode>General</c:formatCode>
                <c:ptCount val="31"/>
                <c:pt idx="0">
                  <c:v>7.9999864101409912E-4</c:v>
                </c:pt>
                <c:pt idx="1">
                  <c:v>7.9999864101409912E-4</c:v>
                </c:pt>
                <c:pt idx="2">
                  <c:v>9.0000033378601074E-4</c:v>
                </c:pt>
                <c:pt idx="3">
                  <c:v>1.1999979615211487E-3</c:v>
                </c:pt>
                <c:pt idx="4">
                  <c:v>1.9000023603439331E-3</c:v>
                </c:pt>
                <c:pt idx="5">
                  <c:v>2.6999935507774353E-3</c:v>
                </c:pt>
                <c:pt idx="6">
                  <c:v>3.2999962568283081E-3</c:v>
                </c:pt>
                <c:pt idx="7">
                  <c:v>4.3999999761581421E-3</c:v>
                </c:pt>
                <c:pt idx="8">
                  <c:v>5.5000036954879761E-3</c:v>
                </c:pt>
                <c:pt idx="9">
                  <c:v>7.2000026702880859E-3</c:v>
                </c:pt>
                <c:pt idx="10">
                  <c:v>9.3000009655952454E-3</c:v>
                </c:pt>
                <c:pt idx="11">
                  <c:v>1.260000467300415E-2</c:v>
                </c:pt>
                <c:pt idx="12">
                  <c:v>1.7099998891353607E-2</c:v>
                </c:pt>
                <c:pt idx="13">
                  <c:v>2.3499995470046997E-2</c:v>
                </c:pt>
                <c:pt idx="14">
                  <c:v>3.309999406337738E-2</c:v>
                </c:pt>
                <c:pt idx="15">
                  <c:v>4.7700002789497375E-2</c:v>
                </c:pt>
                <c:pt idx="16">
                  <c:v>6.9700002670288086E-2</c:v>
                </c:pt>
                <c:pt idx="17">
                  <c:v>0.10019998997449875</c:v>
                </c:pt>
                <c:pt idx="18">
                  <c:v>0.1362999901175499</c:v>
                </c:pt>
                <c:pt idx="19">
                  <c:v>0.17620000243186951</c:v>
                </c:pt>
                <c:pt idx="20">
                  <c:v>0.21765000745654106</c:v>
                </c:pt>
                <c:pt idx="21">
                  <c:v>0.25910001248121262</c:v>
                </c:pt>
                <c:pt idx="22">
                  <c:v>0.29549998790025711</c:v>
                </c:pt>
                <c:pt idx="23">
                  <c:v>0.32810001075267792</c:v>
                </c:pt>
                <c:pt idx="24">
                  <c:v>0.34319998323917389</c:v>
                </c:pt>
                <c:pt idx="25">
                  <c:v>0.34950000047683716</c:v>
                </c:pt>
                <c:pt idx="26">
                  <c:v>0.35190001130104065</c:v>
                </c:pt>
                <c:pt idx="27">
                  <c:v>0.34989999234676361</c:v>
                </c:pt>
                <c:pt idx="28">
                  <c:v>0.34939999878406525</c:v>
                </c:pt>
                <c:pt idx="29">
                  <c:v>0.35179999470710754</c:v>
                </c:pt>
                <c:pt idx="30">
                  <c:v>0.35820001363754272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DE-AD48-B767-D4D7A37D4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006607"/>
        <c:axId val="446108623"/>
      </c:scatterChart>
      <c:valAx>
        <c:axId val="4460066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6108623"/>
        <c:crosses val="autoZero"/>
        <c:crossBetween val="midCat"/>
      </c:valAx>
      <c:valAx>
        <c:axId val="44610862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00660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D5</c:v>
          </c:tx>
          <c:spPr>
            <a:ln w="28575">
              <a:noFill/>
            </a:ln>
          </c:spPr>
          <c:xVal>
            <c:numRef>
              <c:f>'1077V24-V1'!$B$54:$W$54</c:f>
              <c:numCache>
                <c:formatCode>General</c:formatCode>
                <c:ptCount val="22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</c:numCache>
            </c:numRef>
          </c:xVal>
          <c:yVal>
            <c:numRef>
              <c:f>'1077V24-V1'!$B$94:$W$94</c:f>
              <c:numCache>
                <c:formatCode>General</c:formatCode>
                <c:ptCount val="22"/>
                <c:pt idx="0">
                  <c:v>6.7857227155140865E-4</c:v>
                </c:pt>
                <c:pt idx="1">
                  <c:v>6.6428950854710567E-4</c:v>
                </c:pt>
                <c:pt idx="2">
                  <c:v>8.5714033671788203E-4</c:v>
                </c:pt>
                <c:pt idx="3">
                  <c:v>1.3285699699606274E-3</c:v>
                </c:pt>
                <c:pt idx="4">
                  <c:v>1.542858247246065E-3</c:v>
                </c:pt>
                <c:pt idx="5">
                  <c:v>2.199996794973097E-3</c:v>
                </c:pt>
                <c:pt idx="6">
                  <c:v>2.8785706630774927E-3</c:v>
                </c:pt>
                <c:pt idx="7">
                  <c:v>4.0214301220008325E-3</c:v>
                </c:pt>
                <c:pt idx="8">
                  <c:v>5.0714255443641137E-3</c:v>
                </c:pt>
                <c:pt idx="9">
                  <c:v>6.821432283946452E-3</c:v>
                </c:pt>
                <c:pt idx="10">
                  <c:v>9.3000009655952454E-3</c:v>
                </c:pt>
                <c:pt idx="11">
                  <c:v>1.2664287750210085E-2</c:v>
                </c:pt>
                <c:pt idx="12">
                  <c:v>1.8207139202526632E-2</c:v>
                </c:pt>
                <c:pt idx="13">
                  <c:v>2.5078569671937403E-2</c:v>
                </c:pt>
                <c:pt idx="14">
                  <c:v>3.5378576921565194E-2</c:v>
                </c:pt>
                <c:pt idx="15">
                  <c:v>4.9778567893164496E-2</c:v>
                </c:pt>
                <c:pt idx="16">
                  <c:v>7.1671423103128157E-2</c:v>
                </c:pt>
                <c:pt idx="17">
                  <c:v>0.10205000159995896</c:v>
                </c:pt>
                <c:pt idx="18">
                  <c:v>0.13804285920092038</c:v>
                </c:pt>
                <c:pt idx="19">
                  <c:v>0.17887858035308973</c:v>
                </c:pt>
                <c:pt idx="20">
                  <c:v>0.22049643498446259</c:v>
                </c:pt>
                <c:pt idx="21">
                  <c:v>0.26211428961583549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D6-6442-AC0C-FE35C0EB12EC}"/>
            </c:ext>
          </c:extLst>
        </c:ser>
        <c:ser>
          <c:idx val="1"/>
          <c:order val="1"/>
          <c:tx>
            <c:v>Model: D5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'1077V24-V1'!$B$54:$W$54</c:f>
              <c:numCache>
                <c:formatCode>General</c:formatCode>
                <c:ptCount val="22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</c:numCache>
            </c:numRef>
          </c:xVal>
          <c:yVal>
            <c:numRef>
              <c:f>'1077V24-V1'!$B$100:$W$100</c:f>
              <c:numCache>
                <c:formatCode>General</c:formatCode>
                <c:ptCount val="22"/>
                <c:pt idx="0">
                  <c:v>4.9112201631966923E-4</c:v>
                </c:pt>
                <c:pt idx="1">
                  <c:v>6.6649644819204157E-4</c:v>
                </c:pt>
                <c:pt idx="2">
                  <c:v>9.0449521848246233E-4</c:v>
                </c:pt>
                <c:pt idx="3">
                  <c:v>1.2274808102531853E-3</c:v>
                </c:pt>
                <c:pt idx="4">
                  <c:v>1.6658011106656068E-3</c:v>
                </c:pt>
                <c:pt idx="5">
                  <c:v>2.2606409135817024E-3</c:v>
                </c:pt>
                <c:pt idx="6">
                  <c:v>3.0678916633195808E-3</c:v>
                </c:pt>
                <c:pt idx="7">
                  <c:v>4.1634030426148981E-3</c:v>
                </c:pt>
                <c:pt idx="8">
                  <c:v>5.650109846610101E-3</c:v>
                </c:pt>
                <c:pt idx="9">
                  <c:v>7.6677037875031483E-3</c:v>
                </c:pt>
                <c:pt idx="10">
                  <c:v>1.0405758997440491E-2</c:v>
                </c:pt>
                <c:pt idx="11">
                  <c:v>1.4121544508447046E-2</c:v>
                </c:pt>
                <c:pt idx="12">
                  <c:v>1.9164197378884314E-2</c:v>
                </c:pt>
                <c:pt idx="13">
                  <c:v>2.6007527785445107E-2</c:v>
                </c:pt>
                <c:pt idx="14">
                  <c:v>3.529453846347709E-2</c:v>
                </c:pt>
                <c:pt idx="15">
                  <c:v>4.7897841564433968E-2</c:v>
                </c:pt>
                <c:pt idx="16">
                  <c:v>6.5001649728489028E-2</c:v>
                </c:pt>
                <c:pt idx="17">
                  <c:v>8.8213045294353337E-2</c:v>
                </c:pt>
                <c:pt idx="18">
                  <c:v>0.11971298255670455</c:v>
                </c:pt>
                <c:pt idx="19">
                  <c:v>0.16246121131858529</c:v>
                </c:pt>
                <c:pt idx="20">
                  <c:v>0.22047437645787563</c:v>
                </c:pt>
                <c:pt idx="21">
                  <c:v>0.29920342388169968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D6-6442-AC0C-FE35C0EB1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392015"/>
        <c:axId val="215975935"/>
      </c:scatterChart>
      <c:valAx>
        <c:axId val="4293920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5975935"/>
        <c:crosses val="autoZero"/>
        <c:crossBetween val="midCat"/>
      </c:valAx>
      <c:valAx>
        <c:axId val="2159759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392015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D6</c:v>
          </c:tx>
          <c:spPr>
            <a:ln w="28575">
              <a:noFill/>
            </a:ln>
          </c:spPr>
          <c:xVal>
            <c:numRef>
              <c:f>'1077V24-V1'!$B$54:$V$54</c:f>
              <c:numCache>
                <c:formatCode>General</c:formatCode>
                <c:ptCount val="2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</c:numCache>
            </c:numRef>
          </c:xVal>
          <c:yVal>
            <c:numRef>
              <c:f>'1077V24-V1'!$B$95:$V$95</c:f>
              <c:numCache>
                <c:formatCode>General</c:formatCode>
                <c:ptCount val="21"/>
                <c:pt idx="0">
                  <c:v>6.6666553417842056E-4</c:v>
                </c:pt>
                <c:pt idx="1">
                  <c:v>5.9999773899714615E-4</c:v>
                </c:pt>
                <c:pt idx="2">
                  <c:v>8.0000112454096939E-4</c:v>
                </c:pt>
                <c:pt idx="3">
                  <c:v>1.1333326498667445E-3</c:v>
                </c:pt>
                <c:pt idx="4">
                  <c:v>1.7333328723907471E-3</c:v>
                </c:pt>
                <c:pt idx="5">
                  <c:v>2.4666686852772984E-3</c:v>
                </c:pt>
                <c:pt idx="6">
                  <c:v>3.2999987403551784E-3</c:v>
                </c:pt>
                <c:pt idx="7">
                  <c:v>4.3666685620943752E-3</c:v>
                </c:pt>
                <c:pt idx="8">
                  <c:v>5.7000021139780727E-3</c:v>
                </c:pt>
                <c:pt idx="9">
                  <c:v>7.6000044743220058E-3</c:v>
                </c:pt>
                <c:pt idx="10">
                  <c:v>1.0000000397364303E-2</c:v>
                </c:pt>
                <c:pt idx="11">
                  <c:v>1.3800002634525299E-2</c:v>
                </c:pt>
                <c:pt idx="12">
                  <c:v>1.9033332665761307E-2</c:v>
                </c:pt>
                <c:pt idx="13">
                  <c:v>2.7033341427644089E-2</c:v>
                </c:pt>
                <c:pt idx="14">
                  <c:v>3.8200000921885177E-2</c:v>
                </c:pt>
                <c:pt idx="15">
                  <c:v>5.4599995414416E-2</c:v>
                </c:pt>
                <c:pt idx="16">
                  <c:v>8.0266664425532028E-2</c:v>
                </c:pt>
                <c:pt idx="17">
                  <c:v>0.11256666978200276</c:v>
                </c:pt>
                <c:pt idx="18">
                  <c:v>0.14963332315285999</c:v>
                </c:pt>
                <c:pt idx="19">
                  <c:v>0.19126666337251663</c:v>
                </c:pt>
                <c:pt idx="20">
                  <c:v>0.23116666699449223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19-2441-80C4-85C652BC8460}"/>
            </c:ext>
          </c:extLst>
        </c:ser>
        <c:ser>
          <c:idx val="1"/>
          <c:order val="1"/>
          <c:tx>
            <c:v>Model: D6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'1077V24-V1'!$B$54:$V$54</c:f>
              <c:numCache>
                <c:formatCode>General</c:formatCode>
                <c:ptCount val="2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</c:numCache>
            </c:numRef>
          </c:xVal>
          <c:yVal>
            <c:numRef>
              <c:f>'1077V24-V1'!$B$101:$V$101</c:f>
              <c:numCache>
                <c:formatCode>General</c:formatCode>
                <c:ptCount val="21"/>
                <c:pt idx="0">
                  <c:v>4.8322072812898232E-4</c:v>
                </c:pt>
                <c:pt idx="1">
                  <c:v>6.6095754702941525E-4</c:v>
                </c:pt>
                <c:pt idx="2">
                  <c:v>9.0406899692956229E-4</c:v>
                </c:pt>
                <c:pt idx="3">
                  <c:v>1.2366009812319306E-3</c:v>
                </c:pt>
                <c:pt idx="4">
                  <c:v>1.6914438964030917E-3</c:v>
                </c:pt>
                <c:pt idx="5">
                  <c:v>2.3135857872513539E-3</c:v>
                </c:pt>
                <c:pt idx="6">
                  <c:v>3.1645620681561518E-3</c:v>
                </c:pt>
                <c:pt idx="7">
                  <c:v>4.3285419275981831E-3</c:v>
                </c:pt>
                <c:pt idx="8">
                  <c:v>5.9206534160008411E-3</c:v>
                </c:pt>
                <c:pt idx="9">
                  <c:v>8.0983706427566488E-3</c:v>
                </c:pt>
                <c:pt idx="10">
                  <c:v>1.1077089378381795E-2</c:v>
                </c:pt>
                <c:pt idx="11">
                  <c:v>1.5151431628583937E-2</c:v>
                </c:pt>
                <c:pt idx="12">
                  <c:v>2.0724386393746876E-2</c:v>
                </c:pt>
                <c:pt idx="13">
                  <c:v>2.8347168896373245E-2</c:v>
                </c:pt>
                <c:pt idx="14">
                  <c:v>3.8773740711665568E-2</c:v>
                </c:pt>
                <c:pt idx="15">
                  <c:v>5.3035383331272209E-2</c:v>
                </c:pt>
                <c:pt idx="16">
                  <c:v>7.2542701154669209E-2</c:v>
                </c:pt>
                <c:pt idx="17">
                  <c:v>9.9225142919117104E-2</c:v>
                </c:pt>
                <c:pt idx="18">
                  <c:v>0.13572184148929353</c:v>
                </c:pt>
                <c:pt idx="19">
                  <c:v>0.18564264777386383</c:v>
                </c:pt>
                <c:pt idx="20">
                  <c:v>0.25392517736512937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19-2441-80C4-85C652BC8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066479"/>
        <c:axId val="430321231"/>
      </c:scatterChart>
      <c:valAx>
        <c:axId val="4300664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0321231"/>
        <c:crosses val="autoZero"/>
        <c:crossBetween val="midCat"/>
      </c:valAx>
      <c:valAx>
        <c:axId val="4303212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006647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D7</c:v>
          </c:tx>
          <c:spPr>
            <a:ln w="28575">
              <a:noFill/>
            </a:ln>
          </c:spPr>
          <c:xVal>
            <c:numRef>
              <c:f>'1077V24-V1'!$B$54:$W$54</c:f>
              <c:numCache>
                <c:formatCode>General</c:formatCode>
                <c:ptCount val="22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</c:numCache>
            </c:numRef>
          </c:xVal>
          <c:yVal>
            <c:numRef>
              <c:f>'1077V24-V1'!$B$96:$W$96</c:f>
              <c:numCache>
                <c:formatCode>General</c:formatCode>
                <c:ptCount val="22"/>
                <c:pt idx="0">
                  <c:v>7.9999864101409912E-4</c:v>
                </c:pt>
                <c:pt idx="1">
                  <c:v>7.9999864101409912E-4</c:v>
                </c:pt>
                <c:pt idx="2">
                  <c:v>9.0000033378601074E-4</c:v>
                </c:pt>
                <c:pt idx="3">
                  <c:v>1.1999979615211487E-3</c:v>
                </c:pt>
                <c:pt idx="4">
                  <c:v>1.9000023603439331E-3</c:v>
                </c:pt>
                <c:pt idx="5">
                  <c:v>2.6999935507774353E-3</c:v>
                </c:pt>
                <c:pt idx="6">
                  <c:v>3.2999962568283081E-3</c:v>
                </c:pt>
                <c:pt idx="7">
                  <c:v>4.3999999761581421E-3</c:v>
                </c:pt>
                <c:pt idx="8">
                  <c:v>5.5000036954879761E-3</c:v>
                </c:pt>
                <c:pt idx="9">
                  <c:v>7.2000026702880859E-3</c:v>
                </c:pt>
                <c:pt idx="10">
                  <c:v>9.3000009655952454E-3</c:v>
                </c:pt>
                <c:pt idx="11">
                  <c:v>1.260000467300415E-2</c:v>
                </c:pt>
                <c:pt idx="12">
                  <c:v>1.7099998891353607E-2</c:v>
                </c:pt>
                <c:pt idx="13">
                  <c:v>2.3499995470046997E-2</c:v>
                </c:pt>
                <c:pt idx="14">
                  <c:v>3.309999406337738E-2</c:v>
                </c:pt>
                <c:pt idx="15">
                  <c:v>4.7700002789497375E-2</c:v>
                </c:pt>
                <c:pt idx="16">
                  <c:v>6.9700002670288086E-2</c:v>
                </c:pt>
                <c:pt idx="17">
                  <c:v>0.10019998997449875</c:v>
                </c:pt>
                <c:pt idx="18">
                  <c:v>0.1362999901175499</c:v>
                </c:pt>
                <c:pt idx="19">
                  <c:v>0.17620000243186951</c:v>
                </c:pt>
                <c:pt idx="20">
                  <c:v>0.21765000745654106</c:v>
                </c:pt>
                <c:pt idx="21">
                  <c:v>0.25910001248121262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C5-754D-B29A-9847B2648785}"/>
            </c:ext>
          </c:extLst>
        </c:ser>
        <c:ser>
          <c:idx val="1"/>
          <c:order val="1"/>
          <c:tx>
            <c:v>Model: D7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'1077V24-V1'!$B$54:$W$54</c:f>
              <c:numCache>
                <c:formatCode>General</c:formatCode>
                <c:ptCount val="22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</c:numCache>
            </c:numRef>
          </c:xVal>
          <c:yVal>
            <c:numRef>
              <c:f>'1077V24-V1'!$B$102:$W$102</c:f>
              <c:numCache>
                <c:formatCode>General</c:formatCode>
                <c:ptCount val="22"/>
                <c:pt idx="0">
                  <c:v>5.6000323152845071E-4</c:v>
                </c:pt>
                <c:pt idx="1">
                  <c:v>7.5291484694511857E-4</c:v>
                </c:pt>
                <c:pt idx="2">
                  <c:v>1.012281242026353E-3</c:v>
                </c:pt>
                <c:pt idx="3">
                  <c:v>1.3609949612709779E-3</c:v>
                </c:pt>
                <c:pt idx="4">
                  <c:v>1.8298346424923371E-3</c:v>
                </c:pt>
                <c:pt idx="5">
                  <c:v>2.4601816422143265E-3</c:v>
                </c:pt>
                <c:pt idx="6">
                  <c:v>3.3076724924414745E-3</c:v>
                </c:pt>
                <c:pt idx="7">
                  <c:v>4.4471095668393969E-3</c:v>
                </c:pt>
                <c:pt idx="8">
                  <c:v>5.9790633881278777E-3</c:v>
                </c:pt>
                <c:pt idx="9">
                  <c:v>8.03874931839345E-3</c:v>
                </c:pt>
                <c:pt idx="10">
                  <c:v>1.0807962118663035E-2</c:v>
                </c:pt>
                <c:pt idx="11">
                  <c:v>1.4531121761836473E-2</c:v>
                </c:pt>
                <c:pt idx="12">
                  <c:v>1.9536846756031904E-2</c:v>
                </c:pt>
                <c:pt idx="13">
                  <c:v>2.6266959111932688E-2</c:v>
                </c:pt>
                <c:pt idx="14">
                  <c:v>3.5315481029451416E-2</c:v>
                </c:pt>
                <c:pt idx="15">
                  <c:v>4.7481065281552402E-2</c:v>
                </c:pt>
                <c:pt idx="16">
                  <c:v>6.3837486976063978E-2</c:v>
                </c:pt>
                <c:pt idx="17">
                  <c:v>8.5828418533871131E-2</c:v>
                </c:pt>
                <c:pt idx="18">
                  <c:v>0.11539485303967945</c:v>
                </c:pt>
                <c:pt idx="19">
                  <c:v>0.1551464227759741</c:v>
                </c:pt>
                <c:pt idx="20">
                  <c:v>0.20859173408630696</c:v>
                </c:pt>
                <c:pt idx="21">
                  <c:v>0.28044804869242923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C5-754D-B29A-9847B2648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736831"/>
        <c:axId val="429738527"/>
      </c:scatterChart>
      <c:valAx>
        <c:axId val="4297368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738527"/>
        <c:crosses val="autoZero"/>
        <c:crossBetween val="midCat"/>
      </c:valAx>
      <c:valAx>
        <c:axId val="4297385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736831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D8 (-W1)</c:v>
          </c:tx>
          <c:spPr>
            <a:ln w="28575">
              <a:noFill/>
            </a:ln>
          </c:spPr>
          <c:marker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'1077V24-V0,5'!$B$54:$AF$54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'1077V24-V0,5'!$B$94:$AF$94</c:f>
              <c:numCache>
                <c:formatCode>General</c:formatCode>
                <c:ptCount val="31"/>
                <c:pt idx="0">
                  <c:v>5.1111231247584488E-4</c:v>
                </c:pt>
                <c:pt idx="1">
                  <c:v>4.8888557487064555E-4</c:v>
                </c:pt>
                <c:pt idx="2">
                  <c:v>7.8888899750179098E-4</c:v>
                </c:pt>
                <c:pt idx="3">
                  <c:v>1.2111117442448888E-3</c:v>
                </c:pt>
                <c:pt idx="4">
                  <c:v>1.7333345280753226E-3</c:v>
                </c:pt>
                <c:pt idx="5">
                  <c:v>2.7111123005549159E-3</c:v>
                </c:pt>
                <c:pt idx="6">
                  <c:v>4.2000023855103402E-3</c:v>
                </c:pt>
                <c:pt idx="7">
                  <c:v>6.6444418496555691E-3</c:v>
                </c:pt>
                <c:pt idx="8">
                  <c:v>1.1033337149355144E-2</c:v>
                </c:pt>
                <c:pt idx="9">
                  <c:v>1.7655559711986124E-2</c:v>
                </c:pt>
                <c:pt idx="10">
                  <c:v>2.8433333668443889E-2</c:v>
                </c:pt>
                <c:pt idx="11">
                  <c:v>4.3488887449105576E-2</c:v>
                </c:pt>
                <c:pt idx="12">
                  <c:v>6.4388881127039596E-2</c:v>
                </c:pt>
                <c:pt idx="13">
                  <c:v>9.2077773478296071E-2</c:v>
                </c:pt>
                <c:pt idx="14">
                  <c:v>0.12624445060888928</c:v>
                </c:pt>
                <c:pt idx="15">
                  <c:v>0.16355555256207782</c:v>
                </c:pt>
                <c:pt idx="16">
                  <c:v>0.20895554622014362</c:v>
                </c:pt>
                <c:pt idx="17">
                  <c:v>0.25494443790780175</c:v>
                </c:pt>
                <c:pt idx="18">
                  <c:v>0.29137777785460156</c:v>
                </c:pt>
                <c:pt idx="19">
                  <c:v>0.3198888964123196</c:v>
                </c:pt>
                <c:pt idx="20">
                  <c:v>0.32672222786479527</c:v>
                </c:pt>
                <c:pt idx="21">
                  <c:v>0.33355555931727093</c:v>
                </c:pt>
                <c:pt idx="22">
                  <c:v>0.33269998762342667</c:v>
                </c:pt>
                <c:pt idx="23">
                  <c:v>0.32817778984705609</c:v>
                </c:pt>
                <c:pt idx="24">
                  <c:v>0.32355556057559121</c:v>
                </c:pt>
                <c:pt idx="25">
                  <c:v>0.32158887386322021</c:v>
                </c:pt>
                <c:pt idx="26">
                  <c:v>0.32075554049677318</c:v>
                </c:pt>
                <c:pt idx="27">
                  <c:v>0.32377778407600188</c:v>
                </c:pt>
                <c:pt idx="28">
                  <c:v>0.32724444899294114</c:v>
                </c:pt>
                <c:pt idx="29">
                  <c:v>0.33352222955889171</c:v>
                </c:pt>
                <c:pt idx="30">
                  <c:v>0.34317778133683735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0A-7B4F-8588-983E167DB27E}"/>
            </c:ext>
          </c:extLst>
        </c:ser>
        <c:ser>
          <c:idx val="1"/>
          <c:order val="1"/>
          <c:tx>
            <c:v>D9 (-W1)</c:v>
          </c:tx>
          <c:spPr>
            <a:ln w="28575">
              <a:noFill/>
            </a:ln>
          </c:spPr>
          <c:marker>
            <c:spPr>
              <a:solidFill>
                <a:srgbClr val="00808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'1077V24-V0,5'!$B$54:$AF$54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'1077V24-V0,5'!$B$95:$AF$95</c:f>
              <c:numCache>
                <c:formatCode>General</c:formatCode>
                <c:ptCount val="31"/>
                <c:pt idx="0">
                  <c:v>7.6666722695033218E-4</c:v>
                </c:pt>
                <c:pt idx="1">
                  <c:v>1.0999987522761073E-3</c:v>
                </c:pt>
                <c:pt idx="2">
                  <c:v>8.0000112454096939E-4</c:v>
                </c:pt>
                <c:pt idx="3">
                  <c:v>1.2333343426386562E-3</c:v>
                </c:pt>
                <c:pt idx="4">
                  <c:v>1.9333362579345703E-3</c:v>
                </c:pt>
                <c:pt idx="5">
                  <c:v>2.866668005784348E-3</c:v>
                </c:pt>
                <c:pt idx="6">
                  <c:v>4.3000007669131007E-3</c:v>
                </c:pt>
                <c:pt idx="7">
                  <c:v>6.8666661779085841E-3</c:v>
                </c:pt>
                <c:pt idx="8">
                  <c:v>1.1000002423922225E-2</c:v>
                </c:pt>
                <c:pt idx="9">
                  <c:v>1.7900000015894577E-2</c:v>
                </c:pt>
                <c:pt idx="10">
                  <c:v>2.8500008086363479E-2</c:v>
                </c:pt>
                <c:pt idx="11">
                  <c:v>4.3400004506111145E-2</c:v>
                </c:pt>
                <c:pt idx="12">
                  <c:v>6.4333332081635788E-2</c:v>
                </c:pt>
                <c:pt idx="13">
                  <c:v>9.213334073623021E-2</c:v>
                </c:pt>
                <c:pt idx="14">
                  <c:v>0.1266999940077464</c:v>
                </c:pt>
                <c:pt idx="15">
                  <c:v>0.16549999515215558</c:v>
                </c:pt>
                <c:pt idx="16">
                  <c:v>0.20836665729681653</c:v>
                </c:pt>
                <c:pt idx="17">
                  <c:v>0.25576667984326679</c:v>
                </c:pt>
                <c:pt idx="18">
                  <c:v>0.29223332305749256</c:v>
                </c:pt>
                <c:pt idx="19">
                  <c:v>0.3208666518330574</c:v>
                </c:pt>
                <c:pt idx="20">
                  <c:v>0.32851665342847508</c:v>
                </c:pt>
                <c:pt idx="21">
                  <c:v>0.3361666550238927</c:v>
                </c:pt>
                <c:pt idx="22">
                  <c:v>0.33610000212987262</c:v>
                </c:pt>
                <c:pt idx="23">
                  <c:v>0.33050000667572021</c:v>
                </c:pt>
                <c:pt idx="24">
                  <c:v>0.32613332569599152</c:v>
                </c:pt>
                <c:pt idx="25">
                  <c:v>0.32213333249092102</c:v>
                </c:pt>
                <c:pt idx="26">
                  <c:v>0.32253333926200867</c:v>
                </c:pt>
                <c:pt idx="27">
                  <c:v>0.32259999215602875</c:v>
                </c:pt>
                <c:pt idx="28">
                  <c:v>0.32760000228881836</c:v>
                </c:pt>
                <c:pt idx="29">
                  <c:v>0.3326999967296918</c:v>
                </c:pt>
                <c:pt idx="30">
                  <c:v>0.34250001360972721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0A-7B4F-8588-983E167DB27E}"/>
            </c:ext>
          </c:extLst>
        </c:ser>
        <c:ser>
          <c:idx val="2"/>
          <c:order val="2"/>
          <c:tx>
            <c:v>D10 (-W1)</c:v>
          </c:tx>
          <c:spPr>
            <a:ln w="28575">
              <a:noFill/>
            </a:ln>
          </c:spPr>
          <c:marker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'1077V24-V0,5'!$B$54:$AF$54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'1077V24-V0,5'!$B$96:$AF$96</c:f>
              <c:numCache>
                <c:formatCode>General</c:formatCode>
                <c:ptCount val="31"/>
                <c:pt idx="0">
                  <c:v>9.0000033378601074E-4</c:v>
                </c:pt>
                <c:pt idx="1">
                  <c:v>1.0000020265579224E-3</c:v>
                </c:pt>
                <c:pt idx="2">
                  <c:v>1.0000020265579224E-3</c:v>
                </c:pt>
                <c:pt idx="3">
                  <c:v>1.1999979615211487E-3</c:v>
                </c:pt>
                <c:pt idx="4">
                  <c:v>2.3000016808509827E-3</c:v>
                </c:pt>
                <c:pt idx="5">
                  <c:v>2.7999952435493469E-3</c:v>
                </c:pt>
                <c:pt idx="6">
                  <c:v>4.1999965906143188E-3</c:v>
                </c:pt>
                <c:pt idx="7">
                  <c:v>7.8999996185302734E-3</c:v>
                </c:pt>
                <c:pt idx="8">
                  <c:v>1.0499998927116394E-2</c:v>
                </c:pt>
                <c:pt idx="9">
                  <c:v>1.7099998891353607E-2</c:v>
                </c:pt>
                <c:pt idx="10">
                  <c:v>2.7200005948543549E-2</c:v>
                </c:pt>
                <c:pt idx="11">
                  <c:v>4.2700000107288361E-2</c:v>
                </c:pt>
                <c:pt idx="12">
                  <c:v>6.1399996280670166E-2</c:v>
                </c:pt>
                <c:pt idx="13">
                  <c:v>8.8300004601478577E-2</c:v>
                </c:pt>
                <c:pt idx="14">
                  <c:v>0.1218000054359436</c:v>
                </c:pt>
                <c:pt idx="15">
                  <c:v>0.16019999980926514</c:v>
                </c:pt>
                <c:pt idx="16">
                  <c:v>0.20409999787807465</c:v>
                </c:pt>
                <c:pt idx="17">
                  <c:v>0.25190000981092453</c:v>
                </c:pt>
                <c:pt idx="18">
                  <c:v>0.2905999943614006</c:v>
                </c:pt>
                <c:pt idx="19">
                  <c:v>0.32030001282691956</c:v>
                </c:pt>
                <c:pt idx="20">
                  <c:v>0.329950001090765</c:v>
                </c:pt>
                <c:pt idx="21">
                  <c:v>0.33959998935461044</c:v>
                </c:pt>
                <c:pt idx="22">
                  <c:v>0.34140000492334366</c:v>
                </c:pt>
                <c:pt idx="23">
                  <c:v>0.33720000088214874</c:v>
                </c:pt>
                <c:pt idx="24">
                  <c:v>0.33299998939037323</c:v>
                </c:pt>
                <c:pt idx="25">
                  <c:v>0.32989999651908875</c:v>
                </c:pt>
                <c:pt idx="26">
                  <c:v>0.32769998908042908</c:v>
                </c:pt>
                <c:pt idx="27">
                  <c:v>0.33209998905658722</c:v>
                </c:pt>
                <c:pt idx="28">
                  <c:v>0.33279998600482941</c:v>
                </c:pt>
                <c:pt idx="29">
                  <c:v>0.34020000696182251</c:v>
                </c:pt>
                <c:pt idx="30">
                  <c:v>0.34619998931884766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0A-7B4F-8588-983E167DB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078831"/>
        <c:axId val="446086175"/>
      </c:scatterChart>
      <c:valAx>
        <c:axId val="4460788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6086175"/>
        <c:crosses val="autoZero"/>
        <c:crossBetween val="midCat"/>
      </c:valAx>
      <c:valAx>
        <c:axId val="44608617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078831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D8</c:v>
          </c:tx>
          <c:spPr>
            <a:ln w="28575">
              <a:noFill/>
            </a:ln>
          </c:spPr>
          <c:xVal>
            <c:numRef>
              <c:f>'1077V24-V0,5'!$B$54:$P$54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'1077V24-V0,5'!$B$94:$P$94</c:f>
              <c:numCache>
                <c:formatCode>General</c:formatCode>
                <c:ptCount val="15"/>
                <c:pt idx="0">
                  <c:v>5.1111231247584488E-4</c:v>
                </c:pt>
                <c:pt idx="1">
                  <c:v>4.8888557487064555E-4</c:v>
                </c:pt>
                <c:pt idx="2">
                  <c:v>7.8888899750179098E-4</c:v>
                </c:pt>
                <c:pt idx="3">
                  <c:v>1.2111117442448888E-3</c:v>
                </c:pt>
                <c:pt idx="4">
                  <c:v>1.7333345280753226E-3</c:v>
                </c:pt>
                <c:pt idx="5">
                  <c:v>2.7111123005549159E-3</c:v>
                </c:pt>
                <c:pt idx="6">
                  <c:v>4.2000023855103402E-3</c:v>
                </c:pt>
                <c:pt idx="7">
                  <c:v>6.6444418496555691E-3</c:v>
                </c:pt>
                <c:pt idx="8">
                  <c:v>1.1033337149355144E-2</c:v>
                </c:pt>
                <c:pt idx="9">
                  <c:v>1.7655559711986124E-2</c:v>
                </c:pt>
                <c:pt idx="10">
                  <c:v>2.8433333668443889E-2</c:v>
                </c:pt>
                <c:pt idx="11">
                  <c:v>4.3488887449105576E-2</c:v>
                </c:pt>
                <c:pt idx="12">
                  <c:v>6.4388881127039596E-2</c:v>
                </c:pt>
                <c:pt idx="13">
                  <c:v>9.2077773478296071E-2</c:v>
                </c:pt>
                <c:pt idx="14">
                  <c:v>0.12624445060888928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B3-5C49-BEEB-1F7DF20B508A}"/>
            </c:ext>
          </c:extLst>
        </c:ser>
        <c:ser>
          <c:idx val="1"/>
          <c:order val="1"/>
          <c:tx>
            <c:v>Model: D8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'1077V24-V0,5'!$B$54:$P$54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'1077V24-V0,5'!$B$100:$P$100</c:f>
              <c:numCache>
                <c:formatCode>General</c:formatCode>
                <c:ptCount val="15"/>
                <c:pt idx="0">
                  <c:v>3.5756680140882539E-4</c:v>
                </c:pt>
                <c:pt idx="1">
                  <c:v>5.4778159880535708E-4</c:v>
                </c:pt>
                <c:pt idx="2">
                  <c:v>8.3918495455251492E-4</c:v>
                </c:pt>
                <c:pt idx="3">
                  <c:v>1.2856061420886476E-3</c:v>
                </c:pt>
                <c:pt idx="4">
                  <c:v>1.9695099913431863E-3</c:v>
                </c:pt>
                <c:pt idx="5">
                  <c:v>3.0172301446061136E-3</c:v>
                </c:pt>
                <c:pt idx="6">
                  <c:v>4.6223059469280544E-3</c:v>
                </c:pt>
                <c:pt idx="7">
                  <c:v>7.081233861196112E-3</c:v>
                </c:pt>
                <c:pt idx="8">
                  <c:v>1.0848237562092916E-2</c:v>
                </c:pt>
                <c:pt idx="9">
                  <c:v>1.6619174074802449E-2</c:v>
                </c:pt>
                <c:pt idx="10">
                  <c:v>2.5460075459049963E-2</c:v>
                </c:pt>
                <c:pt idx="11">
                  <c:v>3.9004070807786159E-2</c:v>
                </c:pt>
                <c:pt idx="12">
                  <c:v>5.9753064833829153E-2</c:v>
                </c:pt>
                <c:pt idx="13">
                  <c:v>9.1539900402473964E-2</c:v>
                </c:pt>
                <c:pt idx="14">
                  <c:v>0.14023637764854516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B3-5C49-BEEB-1F7DF20B5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570911"/>
        <c:axId val="446572607"/>
      </c:scatterChart>
      <c:valAx>
        <c:axId val="446570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6572607"/>
        <c:crosses val="autoZero"/>
        <c:crossBetween val="midCat"/>
      </c:valAx>
      <c:valAx>
        <c:axId val="4465726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570911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D9</c:v>
          </c:tx>
          <c:spPr>
            <a:ln w="28575">
              <a:noFill/>
            </a:ln>
          </c:spPr>
          <c:xVal>
            <c:numRef>
              <c:f>'1077V24-V0,5'!$B$54:$R$54</c:f>
              <c:numCache>
                <c:formatCode>General</c:formatCode>
                <c:ptCount val="17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</c:numCache>
            </c:numRef>
          </c:xVal>
          <c:yVal>
            <c:numRef>
              <c:f>'1077V24-V0,5'!$B$95:$R$95</c:f>
              <c:numCache>
                <c:formatCode>General</c:formatCode>
                <c:ptCount val="17"/>
                <c:pt idx="0">
                  <c:v>7.6666722695033218E-4</c:v>
                </c:pt>
                <c:pt idx="1">
                  <c:v>1.0999987522761073E-3</c:v>
                </c:pt>
                <c:pt idx="2">
                  <c:v>8.0000112454096939E-4</c:v>
                </c:pt>
                <c:pt idx="3">
                  <c:v>1.2333343426386562E-3</c:v>
                </c:pt>
                <c:pt idx="4">
                  <c:v>1.9333362579345703E-3</c:v>
                </c:pt>
                <c:pt idx="5">
                  <c:v>2.866668005784348E-3</c:v>
                </c:pt>
                <c:pt idx="6">
                  <c:v>4.3000007669131007E-3</c:v>
                </c:pt>
                <c:pt idx="7">
                  <c:v>6.8666661779085841E-3</c:v>
                </c:pt>
                <c:pt idx="8">
                  <c:v>1.1000002423922225E-2</c:v>
                </c:pt>
                <c:pt idx="9">
                  <c:v>1.7900000015894577E-2</c:v>
                </c:pt>
                <c:pt idx="10">
                  <c:v>2.8500008086363479E-2</c:v>
                </c:pt>
                <c:pt idx="11">
                  <c:v>4.3400004506111145E-2</c:v>
                </c:pt>
                <c:pt idx="12">
                  <c:v>6.4333332081635788E-2</c:v>
                </c:pt>
                <c:pt idx="13">
                  <c:v>9.213334073623021E-2</c:v>
                </c:pt>
                <c:pt idx="14">
                  <c:v>0.1266999940077464</c:v>
                </c:pt>
                <c:pt idx="15">
                  <c:v>0.16549999515215558</c:v>
                </c:pt>
                <c:pt idx="16">
                  <c:v>0.20836665729681653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5F-6B48-9838-0AD693941A47}"/>
            </c:ext>
          </c:extLst>
        </c:ser>
        <c:ser>
          <c:idx val="1"/>
          <c:order val="1"/>
          <c:tx>
            <c:v>Model: D9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'1077V24-V0,5'!$B$54:$R$54</c:f>
              <c:numCache>
                <c:formatCode>General</c:formatCode>
                <c:ptCount val="17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</c:numCache>
            </c:numRef>
          </c:xVal>
          <c:yVal>
            <c:numRef>
              <c:f>'1077V24-V0,5'!$B$101:$R$101</c:f>
              <c:numCache>
                <c:formatCode>General</c:formatCode>
                <c:ptCount val="17"/>
                <c:pt idx="0">
                  <c:v>5.0421944778860023E-4</c:v>
                </c:pt>
                <c:pt idx="1">
                  <c:v>7.4414762391981915E-4</c:v>
                </c:pt>
                <c:pt idx="2">
                  <c:v>1.098243410908024E-3</c:v>
                </c:pt>
                <c:pt idx="3">
                  <c:v>1.6208324139362577E-3</c:v>
                </c:pt>
                <c:pt idx="4">
                  <c:v>2.3920905766184929E-3</c:v>
                </c:pt>
                <c:pt idx="5">
                  <c:v>3.5303448262431082E-3</c:v>
                </c:pt>
                <c:pt idx="6">
                  <c:v>5.2102268676631385E-3</c:v>
                </c:pt>
                <c:pt idx="7">
                  <c:v>7.6894652926601855E-3</c:v>
                </c:pt>
                <c:pt idx="8">
                  <c:v>1.1348426467568638E-2</c:v>
                </c:pt>
                <c:pt idx="9">
                  <c:v>1.6748470587771954E-2</c:v>
                </c:pt>
                <c:pt idx="10">
                  <c:v>2.4718075922781298E-2</c:v>
                </c:pt>
                <c:pt idx="11">
                  <c:v>3.6479944489406613E-2</c:v>
                </c:pt>
                <c:pt idx="12">
                  <c:v>5.3838589787794745E-2</c:v>
                </c:pt>
                <c:pt idx="13">
                  <c:v>7.9457186432401378E-2</c:v>
                </c:pt>
                <c:pt idx="14">
                  <c:v>0.11726615612774943</c:v>
                </c:pt>
                <c:pt idx="15">
                  <c:v>0.17306617551424033</c:v>
                </c:pt>
                <c:pt idx="16">
                  <c:v>0.2554181197386256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5F-6B48-9838-0AD693941A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266479"/>
        <c:axId val="430473487"/>
      </c:scatterChart>
      <c:valAx>
        <c:axId val="4302664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0473487"/>
        <c:crosses val="autoZero"/>
        <c:crossBetween val="midCat"/>
      </c:valAx>
      <c:valAx>
        <c:axId val="4304734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026647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D10</c:v>
          </c:tx>
          <c:spPr>
            <a:ln w="28575">
              <a:noFill/>
            </a:ln>
          </c:spPr>
          <c:xVal>
            <c:numRef>
              <c:f>'1077V24-V0,5'!$B$54:$S$54</c:f>
              <c:numCache>
                <c:formatCode>General</c:formatCode>
                <c:ptCount val="18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</c:numCache>
            </c:numRef>
          </c:xVal>
          <c:yVal>
            <c:numRef>
              <c:f>'1077V24-V0,5'!$B$96:$S$96</c:f>
              <c:numCache>
                <c:formatCode>General</c:formatCode>
                <c:ptCount val="18"/>
                <c:pt idx="0">
                  <c:v>9.0000033378601074E-4</c:v>
                </c:pt>
                <c:pt idx="1">
                  <c:v>1.0000020265579224E-3</c:v>
                </c:pt>
                <c:pt idx="2">
                  <c:v>1.0000020265579224E-3</c:v>
                </c:pt>
                <c:pt idx="3">
                  <c:v>1.1999979615211487E-3</c:v>
                </c:pt>
                <c:pt idx="4">
                  <c:v>2.3000016808509827E-3</c:v>
                </c:pt>
                <c:pt idx="5">
                  <c:v>2.7999952435493469E-3</c:v>
                </c:pt>
                <c:pt idx="6">
                  <c:v>4.1999965906143188E-3</c:v>
                </c:pt>
                <c:pt idx="7">
                  <c:v>7.8999996185302734E-3</c:v>
                </c:pt>
                <c:pt idx="8">
                  <c:v>1.0499998927116394E-2</c:v>
                </c:pt>
                <c:pt idx="9">
                  <c:v>1.7099998891353607E-2</c:v>
                </c:pt>
                <c:pt idx="10">
                  <c:v>2.7200005948543549E-2</c:v>
                </c:pt>
                <c:pt idx="11">
                  <c:v>4.2700000107288361E-2</c:v>
                </c:pt>
                <c:pt idx="12">
                  <c:v>6.1399996280670166E-2</c:v>
                </c:pt>
                <c:pt idx="13">
                  <c:v>8.8300004601478577E-2</c:v>
                </c:pt>
                <c:pt idx="14">
                  <c:v>0.1218000054359436</c:v>
                </c:pt>
                <c:pt idx="15">
                  <c:v>0.16019999980926514</c:v>
                </c:pt>
                <c:pt idx="16">
                  <c:v>0.20409999787807465</c:v>
                </c:pt>
                <c:pt idx="17">
                  <c:v>0.25190000981092453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9A-0F4D-B90E-34B44C2EF3FA}"/>
            </c:ext>
          </c:extLst>
        </c:ser>
        <c:ser>
          <c:idx val="1"/>
          <c:order val="1"/>
          <c:tx>
            <c:v>Model: D10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'1077V24-V0,5'!$B$54:$S$54</c:f>
              <c:numCache>
                <c:formatCode>General</c:formatCode>
                <c:ptCount val="18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</c:numCache>
            </c:numRef>
          </c:xVal>
          <c:yVal>
            <c:numRef>
              <c:f>'1077V24-V0,5'!$B$102:$S$102</c:f>
              <c:numCache>
                <c:formatCode>General</c:formatCode>
                <c:ptCount val="18"/>
                <c:pt idx="0">
                  <c:v>5.6611821071809803E-4</c:v>
                </c:pt>
                <c:pt idx="1">
                  <c:v>8.2305159859988872E-4</c:v>
                </c:pt>
                <c:pt idx="2">
                  <c:v>1.1965944941049681E-3</c:v>
                </c:pt>
                <c:pt idx="3">
                  <c:v>1.7396702536731073E-3</c:v>
                </c:pt>
                <c:pt idx="4">
                  <c:v>2.5292215587025472E-3</c:v>
                </c:pt>
                <c:pt idx="5">
                  <c:v>3.6771116132493014E-3</c:v>
                </c:pt>
                <c:pt idx="6">
                  <c:v>5.3459728625866324E-3</c:v>
                </c:pt>
                <c:pt idx="7">
                  <c:v>7.7722486705423506E-3</c:v>
                </c:pt>
                <c:pt idx="8">
                  <c:v>1.129969248806085E-2</c:v>
                </c:pt>
                <c:pt idx="9">
                  <c:v>1.6428070657166581E-2</c:v>
                </c:pt>
                <c:pt idx="10">
                  <c:v>2.3883969037388583E-2</c:v>
                </c:pt>
                <c:pt idx="11">
                  <c:v>3.4723735299378319E-2</c:v>
                </c:pt>
                <c:pt idx="12">
                  <c:v>5.048314169448969E-2</c:v>
                </c:pt>
                <c:pt idx="13">
                  <c:v>7.3394972440984821E-2</c:v>
                </c:pt>
                <c:pt idx="14">
                  <c:v>0.10670536339066433</c:v>
                </c:pt>
                <c:pt idx="15">
                  <c:v>0.1551337128096747</c:v>
                </c:pt>
                <c:pt idx="16">
                  <c:v>0.22554132318544926</c:v>
                </c:pt>
                <c:pt idx="17">
                  <c:v>0.32790350687120856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9A-0F4D-B90E-34B44C2EF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956143"/>
        <c:axId val="314957839"/>
      </c:scatterChart>
      <c:valAx>
        <c:axId val="314956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4957839"/>
        <c:crosses val="autoZero"/>
        <c:crossBetween val="midCat"/>
      </c:valAx>
      <c:valAx>
        <c:axId val="31495783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495614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E2 (-W1)</c:v>
          </c:tx>
          <c:spPr>
            <a:ln w="28575">
              <a:noFill/>
            </a:ln>
          </c:spPr>
          <c:marker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'1077V24-V0,25'!$B$54:$AF$54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'1077V24-V0,25'!$B$94:$AF$94</c:f>
              <c:numCache>
                <c:formatCode>General</c:formatCode>
                <c:ptCount val="31"/>
                <c:pt idx="0">
                  <c:v>4.6666214863459732E-4</c:v>
                </c:pt>
                <c:pt idx="1">
                  <c:v>5.9999773899714615E-4</c:v>
                </c:pt>
                <c:pt idx="2">
                  <c:v>8.0000112454096939E-4</c:v>
                </c:pt>
                <c:pt idx="3">
                  <c:v>1.0333309570948329E-3</c:v>
                </c:pt>
                <c:pt idx="4">
                  <c:v>1.6333311796188354E-3</c:v>
                </c:pt>
                <c:pt idx="5">
                  <c:v>2.5666629274686131E-3</c:v>
                </c:pt>
                <c:pt idx="6">
                  <c:v>3.9000014464060512E-3</c:v>
                </c:pt>
                <c:pt idx="7">
                  <c:v>5.9666658441225734E-3</c:v>
                </c:pt>
                <c:pt idx="8">
                  <c:v>9.6000010768572536E-3</c:v>
                </c:pt>
                <c:pt idx="9">
                  <c:v>1.5500004092852279E-2</c:v>
                </c:pt>
                <c:pt idx="10">
                  <c:v>2.4700003365675613E-2</c:v>
                </c:pt>
                <c:pt idx="11">
                  <c:v>3.7900000810623169E-2</c:v>
                </c:pt>
                <c:pt idx="12">
                  <c:v>5.613332738478978E-2</c:v>
                </c:pt>
                <c:pt idx="13">
                  <c:v>8.043333639701207E-2</c:v>
                </c:pt>
                <c:pt idx="14">
                  <c:v>0.11040000120798747</c:v>
                </c:pt>
                <c:pt idx="15">
                  <c:v>0.1453999976317088</c:v>
                </c:pt>
                <c:pt idx="16">
                  <c:v>0.18636667231718701</c:v>
                </c:pt>
                <c:pt idx="17">
                  <c:v>0.23186667760213214</c:v>
                </c:pt>
                <c:pt idx="18">
                  <c:v>0.27363333602746326</c:v>
                </c:pt>
                <c:pt idx="19">
                  <c:v>0.31026668101549149</c:v>
                </c:pt>
                <c:pt idx="20">
                  <c:v>0.32606667901078862</c:v>
                </c:pt>
                <c:pt idx="21">
                  <c:v>0.3418666770060857</c:v>
                </c:pt>
                <c:pt idx="22">
                  <c:v>0.34800000985463458</c:v>
                </c:pt>
                <c:pt idx="23">
                  <c:v>0.35010001063346863</c:v>
                </c:pt>
                <c:pt idx="24">
                  <c:v>0.34773333370685577</c:v>
                </c:pt>
                <c:pt idx="25">
                  <c:v>0.34903332591056824</c:v>
                </c:pt>
                <c:pt idx="26">
                  <c:v>0.35043331980705261</c:v>
                </c:pt>
                <c:pt idx="27">
                  <c:v>0.35369999706745148</c:v>
                </c:pt>
                <c:pt idx="28">
                  <c:v>0.3596000075340271</c:v>
                </c:pt>
                <c:pt idx="29">
                  <c:v>0.36819998671611148</c:v>
                </c:pt>
                <c:pt idx="30">
                  <c:v>0.37800000359614688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55-E940-9CD0-5E17B9C90E3F}"/>
            </c:ext>
          </c:extLst>
        </c:ser>
        <c:ser>
          <c:idx val="1"/>
          <c:order val="1"/>
          <c:tx>
            <c:v>E3 (-W1)</c:v>
          </c:tx>
          <c:spPr>
            <a:ln w="28575">
              <a:noFill/>
            </a:ln>
          </c:spPr>
          <c:marker>
            <c:spPr>
              <a:solidFill>
                <a:srgbClr val="00808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'1077V24-V0,25'!$B$54:$AF$54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'1077V24-V0,25'!$B$95:$AF$95</c:f>
              <c:numCache>
                <c:formatCode>General</c:formatCode>
                <c:ptCount val="31"/>
                <c:pt idx="0">
                  <c:v>7.6666722695033218E-4</c:v>
                </c:pt>
                <c:pt idx="1">
                  <c:v>8.0000112454096939E-4</c:v>
                </c:pt>
                <c:pt idx="2">
                  <c:v>1.0999987522761073E-3</c:v>
                </c:pt>
                <c:pt idx="3">
                  <c:v>1.5333319703737941E-3</c:v>
                </c:pt>
                <c:pt idx="4">
                  <c:v>2.2333338856697083E-3</c:v>
                </c:pt>
                <c:pt idx="5">
                  <c:v>3.3666615684827123E-3</c:v>
                </c:pt>
                <c:pt idx="6">
                  <c:v>4.9999977151552882E-3</c:v>
                </c:pt>
                <c:pt idx="7">
                  <c:v>7.8666682044665065E-3</c:v>
                </c:pt>
                <c:pt idx="8">
                  <c:v>1.2700001398722335E-2</c:v>
                </c:pt>
                <c:pt idx="9">
                  <c:v>2.0300003389517471E-2</c:v>
                </c:pt>
                <c:pt idx="10">
                  <c:v>3.1600000957647964E-2</c:v>
                </c:pt>
                <c:pt idx="11">
                  <c:v>4.7800004482269287E-2</c:v>
                </c:pt>
                <c:pt idx="12">
                  <c:v>7.0133325954278306E-2</c:v>
                </c:pt>
                <c:pt idx="13">
                  <c:v>9.7933334608872727E-2</c:v>
                </c:pt>
                <c:pt idx="14">
                  <c:v>0.13100000719229382</c:v>
                </c:pt>
                <c:pt idx="15">
                  <c:v>0.16939998666445416</c:v>
                </c:pt>
                <c:pt idx="16">
                  <c:v>0.21346666912237805</c:v>
                </c:pt>
                <c:pt idx="17">
                  <c:v>0.25946666797002155</c:v>
                </c:pt>
                <c:pt idx="18">
                  <c:v>0.29513332744439441</c:v>
                </c:pt>
                <c:pt idx="19">
                  <c:v>0.32786668092012405</c:v>
                </c:pt>
                <c:pt idx="20">
                  <c:v>0.33751667166749638</c:v>
                </c:pt>
                <c:pt idx="21">
                  <c:v>0.34716666241486865</c:v>
                </c:pt>
                <c:pt idx="22">
                  <c:v>0.34989999731381732</c:v>
                </c:pt>
                <c:pt idx="23">
                  <c:v>0.34779998660087585</c:v>
                </c:pt>
                <c:pt idx="24">
                  <c:v>0.34623332321643829</c:v>
                </c:pt>
                <c:pt idx="25">
                  <c:v>0.34703332185745239</c:v>
                </c:pt>
                <c:pt idx="26">
                  <c:v>0.34933334589004517</c:v>
                </c:pt>
                <c:pt idx="27">
                  <c:v>0.35369999706745148</c:v>
                </c:pt>
                <c:pt idx="28">
                  <c:v>0.3596000075340271</c:v>
                </c:pt>
                <c:pt idx="29">
                  <c:v>0.36800001313289005</c:v>
                </c:pt>
                <c:pt idx="30">
                  <c:v>0.37890000392993289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55-E940-9CD0-5E17B9C90E3F}"/>
            </c:ext>
          </c:extLst>
        </c:ser>
        <c:ser>
          <c:idx val="2"/>
          <c:order val="2"/>
          <c:tx>
            <c:v>E4 (-W1)</c:v>
          </c:tx>
          <c:spPr>
            <a:ln w="28575">
              <a:noFill/>
            </a:ln>
          </c:spPr>
          <c:marker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'1077V24-V0,25'!$B$54:$AF$54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'1077V24-V0,25'!$B$96:$AF$96</c:f>
              <c:numCache>
                <c:formatCode>General</c:formatCode>
                <c:ptCount val="31"/>
                <c:pt idx="0">
                  <c:v>7.7857396432332027E-4</c:v>
                </c:pt>
                <c:pt idx="1">
                  <c:v>7.6428375073842036E-4</c:v>
                </c:pt>
                <c:pt idx="2">
                  <c:v>1.1571454150336169E-3</c:v>
                </c:pt>
                <c:pt idx="3">
                  <c:v>1.6285750482763622E-3</c:v>
                </c:pt>
                <c:pt idx="4">
                  <c:v>2.3428568882601641E-3</c:v>
                </c:pt>
                <c:pt idx="5">
                  <c:v>3.4999964492661573E-3</c:v>
                </c:pt>
                <c:pt idx="6">
                  <c:v>5.4785699716636133E-3</c:v>
                </c:pt>
                <c:pt idx="7">
                  <c:v>8.7214277258941125E-3</c:v>
                </c:pt>
                <c:pt idx="8">
                  <c:v>1.4171430574996133E-2</c:v>
                </c:pt>
                <c:pt idx="9">
                  <c:v>2.2821427455970225E-2</c:v>
                </c:pt>
                <c:pt idx="10">
                  <c:v>3.540000319480896E-2</c:v>
                </c:pt>
                <c:pt idx="11">
                  <c:v>5.3364291254963198E-2</c:v>
                </c:pt>
                <c:pt idx="12">
                  <c:v>7.7407135495117727E-2</c:v>
                </c:pt>
                <c:pt idx="13">
                  <c:v>0.10757856549961227</c:v>
                </c:pt>
                <c:pt idx="14">
                  <c:v>0.14237857024584499</c:v>
                </c:pt>
                <c:pt idx="15">
                  <c:v>0.1822785756417683</c:v>
                </c:pt>
                <c:pt idx="16">
                  <c:v>0.22727141955069133</c:v>
                </c:pt>
                <c:pt idx="17">
                  <c:v>0.27124998984592302</c:v>
                </c:pt>
                <c:pt idx="18">
                  <c:v>0.30584285355040008</c:v>
                </c:pt>
                <c:pt idx="19">
                  <c:v>0.33607855918151991</c:v>
                </c:pt>
                <c:pt idx="20">
                  <c:v>0.34204642873789581</c:v>
                </c:pt>
                <c:pt idx="21">
                  <c:v>0.34801429829427177</c:v>
                </c:pt>
                <c:pt idx="22">
                  <c:v>0.34986428224614685</c:v>
                </c:pt>
                <c:pt idx="23">
                  <c:v>0.34755714237689972</c:v>
                </c:pt>
                <c:pt idx="24">
                  <c:v>0.34496428232107845</c:v>
                </c:pt>
                <c:pt idx="25">
                  <c:v>0.34582142318998066</c:v>
                </c:pt>
                <c:pt idx="26">
                  <c:v>0.34789285542709486</c:v>
                </c:pt>
                <c:pt idx="27">
                  <c:v>0.35272856216345516</c:v>
                </c:pt>
                <c:pt idx="28">
                  <c:v>0.35949285700917244</c:v>
                </c:pt>
                <c:pt idx="29">
                  <c:v>0.3676714184028762</c:v>
                </c:pt>
                <c:pt idx="30">
                  <c:v>0.37852856516838074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55-E940-9CD0-5E17B9C90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588847"/>
        <c:axId val="446594175"/>
      </c:scatterChart>
      <c:valAx>
        <c:axId val="4465888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6594175"/>
        <c:crosses val="autoZero"/>
        <c:crossBetween val="midCat"/>
      </c:valAx>
      <c:valAx>
        <c:axId val="44659417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58884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E2</c:v>
          </c:tx>
          <c:spPr>
            <a:ln w="28575">
              <a:noFill/>
            </a:ln>
          </c:spPr>
          <c:xVal>
            <c:numRef>
              <c:f>'1077V24-V0,25'!$B$54:$Q$54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'1077V24-V0,25'!$B$94:$Q$94</c:f>
              <c:numCache>
                <c:formatCode>General</c:formatCode>
                <c:ptCount val="16"/>
                <c:pt idx="0">
                  <c:v>4.6666214863459732E-4</c:v>
                </c:pt>
                <c:pt idx="1">
                  <c:v>5.9999773899714615E-4</c:v>
                </c:pt>
                <c:pt idx="2">
                  <c:v>8.0000112454096939E-4</c:v>
                </c:pt>
                <c:pt idx="3">
                  <c:v>1.0333309570948329E-3</c:v>
                </c:pt>
                <c:pt idx="4">
                  <c:v>1.6333311796188354E-3</c:v>
                </c:pt>
                <c:pt idx="5">
                  <c:v>2.5666629274686131E-3</c:v>
                </c:pt>
                <c:pt idx="6">
                  <c:v>3.9000014464060512E-3</c:v>
                </c:pt>
                <c:pt idx="7">
                  <c:v>5.9666658441225734E-3</c:v>
                </c:pt>
                <c:pt idx="8">
                  <c:v>9.6000010768572536E-3</c:v>
                </c:pt>
                <c:pt idx="9">
                  <c:v>1.5500004092852279E-2</c:v>
                </c:pt>
                <c:pt idx="10">
                  <c:v>2.4700003365675613E-2</c:v>
                </c:pt>
                <c:pt idx="11">
                  <c:v>3.7900000810623169E-2</c:v>
                </c:pt>
                <c:pt idx="12">
                  <c:v>5.613332738478978E-2</c:v>
                </c:pt>
                <c:pt idx="13">
                  <c:v>8.043333639701207E-2</c:v>
                </c:pt>
                <c:pt idx="14">
                  <c:v>0.11040000120798747</c:v>
                </c:pt>
                <c:pt idx="15">
                  <c:v>0.1453999976317088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114A-9386-1ADC92D76BE7}"/>
            </c:ext>
          </c:extLst>
        </c:ser>
        <c:ser>
          <c:idx val="1"/>
          <c:order val="1"/>
          <c:tx>
            <c:v>Model: E2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'1077V24-V0,25'!$B$54:$Q$54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'1077V24-V0,25'!$B$100:$Q$100</c:f>
              <c:numCache>
                <c:formatCode>General</c:formatCode>
                <c:ptCount val="16"/>
                <c:pt idx="0">
                  <c:v>3.6574191428258155E-4</c:v>
                </c:pt>
                <c:pt idx="1">
                  <c:v>5.5089250632985585E-4</c:v>
                </c:pt>
                <c:pt idx="2">
                  <c:v>8.297724206034311E-4</c:v>
                </c:pt>
                <c:pt idx="3">
                  <c:v>1.2498305242544241E-3</c:v>
                </c:pt>
                <c:pt idx="4">
                  <c:v>1.8825358623297066E-3</c:v>
                </c:pt>
                <c:pt idx="5">
                  <c:v>2.8355374622263774E-3</c:v>
                </c:pt>
                <c:pt idx="6">
                  <c:v>4.2709798312894169E-3</c:v>
                </c:pt>
                <c:pt idx="7">
                  <c:v>6.4330903619797264E-3</c:v>
                </c:pt>
                <c:pt idx="8">
                  <c:v>9.689732389324435E-3</c:v>
                </c:pt>
                <c:pt idx="9">
                  <c:v>1.4594993773385906E-2</c:v>
                </c:pt>
                <c:pt idx="10">
                  <c:v>2.198345988170523E-2</c:v>
                </c:pt>
                <c:pt idx="11">
                  <c:v>3.3112210657588279E-2</c:v>
                </c:pt>
                <c:pt idx="12">
                  <c:v>4.9874701276888131E-2</c:v>
                </c:pt>
                <c:pt idx="13">
                  <c:v>7.5122916231168874E-2</c:v>
                </c:pt>
                <c:pt idx="14">
                  <c:v>0.1131526084085118</c:v>
                </c:pt>
                <c:pt idx="15">
                  <c:v>0.17043418216421388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4E-114A-9386-1ADC92D76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306767"/>
        <c:axId val="429367423"/>
      </c:scatterChart>
      <c:valAx>
        <c:axId val="429306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367423"/>
        <c:crosses val="autoZero"/>
        <c:crossBetween val="midCat"/>
      </c:valAx>
      <c:valAx>
        <c:axId val="42936742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30676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E3</c:v>
          </c:tx>
          <c:spPr>
            <a:ln w="28575">
              <a:noFill/>
            </a:ln>
          </c:spPr>
          <c:xVal>
            <c:numRef>
              <c:f>'1077V24-V0,25'!$B$54:$Q$54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'1077V24-V0,25'!$B$95:$Q$95</c:f>
              <c:numCache>
                <c:formatCode>General</c:formatCode>
                <c:ptCount val="16"/>
                <c:pt idx="0">
                  <c:v>7.6666722695033218E-4</c:v>
                </c:pt>
                <c:pt idx="1">
                  <c:v>8.0000112454096939E-4</c:v>
                </c:pt>
                <c:pt idx="2">
                  <c:v>1.0999987522761073E-3</c:v>
                </c:pt>
                <c:pt idx="3">
                  <c:v>1.5333319703737941E-3</c:v>
                </c:pt>
                <c:pt idx="4">
                  <c:v>2.2333338856697083E-3</c:v>
                </c:pt>
                <c:pt idx="5">
                  <c:v>3.3666615684827123E-3</c:v>
                </c:pt>
                <c:pt idx="6">
                  <c:v>4.9999977151552882E-3</c:v>
                </c:pt>
                <c:pt idx="7">
                  <c:v>7.8666682044665065E-3</c:v>
                </c:pt>
                <c:pt idx="8">
                  <c:v>1.2700001398722335E-2</c:v>
                </c:pt>
                <c:pt idx="9">
                  <c:v>2.0300003389517471E-2</c:v>
                </c:pt>
                <c:pt idx="10">
                  <c:v>3.1600000957647964E-2</c:v>
                </c:pt>
                <c:pt idx="11">
                  <c:v>4.7800004482269287E-2</c:v>
                </c:pt>
                <c:pt idx="12">
                  <c:v>7.0133325954278306E-2</c:v>
                </c:pt>
                <c:pt idx="13">
                  <c:v>9.7933334608872727E-2</c:v>
                </c:pt>
                <c:pt idx="14">
                  <c:v>0.13100000719229382</c:v>
                </c:pt>
                <c:pt idx="15">
                  <c:v>0.16939998666445416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DE-E64A-B0C8-FDA07503FC3D}"/>
            </c:ext>
          </c:extLst>
        </c:ser>
        <c:ser>
          <c:idx val="1"/>
          <c:order val="1"/>
          <c:tx>
            <c:v>Model: E3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'1077V24-V0,25'!$B$54:$Q$54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'1077V24-V0,25'!$B$101:$Q$101</c:f>
              <c:numCache>
                <c:formatCode>General</c:formatCode>
                <c:ptCount val="16"/>
                <c:pt idx="0">
                  <c:v>5.3797442836156723E-4</c:v>
                </c:pt>
                <c:pt idx="1">
                  <c:v>7.9827500932401377E-4</c:v>
                </c:pt>
                <c:pt idx="2">
                  <c:v>1.1845228265812101E-3</c:v>
                </c:pt>
                <c:pt idx="3">
                  <c:v>1.7576578375916993E-3</c:v>
                </c:pt>
                <c:pt idx="4">
                  <c:v>2.6081059855672804E-3</c:v>
                </c:pt>
                <c:pt idx="5">
                  <c:v>3.8700460843232778E-3</c:v>
                </c:pt>
                <c:pt idx="6">
                  <c:v>5.7425797792217733E-3</c:v>
                </c:pt>
                <c:pt idx="7">
                  <c:v>8.5211446587962845E-3</c:v>
                </c:pt>
                <c:pt idx="8">
                  <c:v>1.2644126697003846E-2</c:v>
                </c:pt>
                <c:pt idx="9">
                  <c:v>1.8762026268953104E-2</c:v>
                </c:pt>
                <c:pt idx="10">
                  <c:v>2.7840090355967385E-2</c:v>
                </c:pt>
                <c:pt idx="11">
                  <c:v>4.1310603658571469E-2</c:v>
                </c:pt>
                <c:pt idx="12">
                  <c:v>6.1298866232658782E-2</c:v>
                </c:pt>
                <c:pt idx="13">
                  <c:v>9.0958511099601028E-2</c:v>
                </c:pt>
                <c:pt idx="14">
                  <c:v>0.13496906631281747</c:v>
                </c:pt>
                <c:pt idx="15">
                  <c:v>0.20027426395982006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DE-E64A-B0C8-FDA07503F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625039"/>
        <c:axId val="446626735"/>
      </c:scatterChart>
      <c:valAx>
        <c:axId val="4466250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6626735"/>
        <c:crosses val="autoZero"/>
        <c:crossBetween val="midCat"/>
      </c:valAx>
      <c:valAx>
        <c:axId val="4466267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62503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E4</c:v>
          </c:tx>
          <c:spPr>
            <a:ln w="28575">
              <a:noFill/>
            </a:ln>
          </c:spPr>
          <c:xVal>
            <c:numRef>
              <c:f>'1077V24-V0,25'!$B$54:$P$54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'1077V24-V0,25'!$B$96:$P$96</c:f>
              <c:numCache>
                <c:formatCode>General</c:formatCode>
                <c:ptCount val="15"/>
                <c:pt idx="0">
                  <c:v>7.7857396432332027E-4</c:v>
                </c:pt>
                <c:pt idx="1">
                  <c:v>7.6428375073842036E-4</c:v>
                </c:pt>
                <c:pt idx="2">
                  <c:v>1.1571454150336169E-3</c:v>
                </c:pt>
                <c:pt idx="3">
                  <c:v>1.6285750482763622E-3</c:v>
                </c:pt>
                <c:pt idx="4">
                  <c:v>2.3428568882601641E-3</c:v>
                </c:pt>
                <c:pt idx="5">
                  <c:v>3.4999964492661573E-3</c:v>
                </c:pt>
                <c:pt idx="6">
                  <c:v>5.4785699716636133E-3</c:v>
                </c:pt>
                <c:pt idx="7">
                  <c:v>8.7214277258941125E-3</c:v>
                </c:pt>
                <c:pt idx="8">
                  <c:v>1.4171430574996133E-2</c:v>
                </c:pt>
                <c:pt idx="9">
                  <c:v>2.2821427455970225E-2</c:v>
                </c:pt>
                <c:pt idx="10">
                  <c:v>3.540000319480896E-2</c:v>
                </c:pt>
                <c:pt idx="11">
                  <c:v>5.3364291254963198E-2</c:v>
                </c:pt>
                <c:pt idx="12">
                  <c:v>7.7407135495117727E-2</c:v>
                </c:pt>
                <c:pt idx="13">
                  <c:v>0.10757856549961227</c:v>
                </c:pt>
                <c:pt idx="14">
                  <c:v>0.14237857024584499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1A-514A-B521-26F18F84B11F}"/>
            </c:ext>
          </c:extLst>
        </c:ser>
        <c:ser>
          <c:idx val="1"/>
          <c:order val="1"/>
          <c:tx>
            <c:v>Model: E4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'1077V24-V0,25'!$B$54:$P$54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'1077V24-V0,25'!$B$102:$P$102</c:f>
              <c:numCache>
                <c:formatCode>General</c:formatCode>
                <c:ptCount val="15"/>
                <c:pt idx="0">
                  <c:v>5.3642727722460278E-4</c:v>
                </c:pt>
                <c:pt idx="1">
                  <c:v>8.0588649383385598E-4</c:v>
                </c:pt>
                <c:pt idx="2">
                  <c:v>1.210700999964062E-3</c:v>
                </c:pt>
                <c:pt idx="3">
                  <c:v>1.8188627338084819E-3</c:v>
                </c:pt>
                <c:pt idx="4">
                  <c:v>2.7325174791591527E-3</c:v>
                </c:pt>
                <c:pt idx="5">
                  <c:v>4.1051210930447791E-3</c:v>
                </c:pt>
                <c:pt idx="6">
                  <c:v>6.1672136837517526E-3</c:v>
                </c:pt>
                <c:pt idx="7">
                  <c:v>9.2651407252019764E-3</c:v>
                </c:pt>
                <c:pt idx="8">
                  <c:v>1.3919224638503973E-2</c:v>
                </c:pt>
                <c:pt idx="9">
                  <c:v>2.0911157238025915E-2</c:v>
                </c:pt>
                <c:pt idx="10">
                  <c:v>3.1415291324764616E-2</c:v>
                </c:pt>
                <c:pt idx="11">
                  <c:v>4.7195882933975739E-2</c:v>
                </c:pt>
                <c:pt idx="12">
                  <c:v>7.0903412700860383E-2</c:v>
                </c:pt>
                <c:pt idx="13">
                  <c:v>0.10651975596391339</c:v>
                </c:pt>
                <c:pt idx="14">
                  <c:v>0.16002697159983104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1A-514A-B521-26F18F84B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660783"/>
        <c:axId val="446662479"/>
      </c:scatterChart>
      <c:valAx>
        <c:axId val="4466607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6662479"/>
        <c:crosses val="autoZero"/>
        <c:crossBetween val="midCat"/>
      </c:valAx>
      <c:valAx>
        <c:axId val="44666247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66078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E5 (-W1)</c:v>
          </c:tx>
          <c:spPr>
            <a:ln w="28575">
              <a:noFill/>
            </a:ln>
          </c:spPr>
          <c:marker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'1077V24-V0,125'!$B$54:$AF$54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'1077V24-V0,125'!$B$94:$AF$94</c:f>
              <c:numCache>
                <c:formatCode>General</c:formatCode>
                <c:ptCount val="31"/>
                <c:pt idx="0">
                  <c:v>6.0908767310055567E-4</c:v>
                </c:pt>
                <c:pt idx="1">
                  <c:v>6.8182024088772608E-4</c:v>
                </c:pt>
                <c:pt idx="2">
                  <c:v>1.1727281592108924E-3</c:v>
                </c:pt>
                <c:pt idx="3">
                  <c:v>1.5181817791678626E-3</c:v>
                </c:pt>
                <c:pt idx="4">
                  <c:v>2.136365933851761E-3</c:v>
                </c:pt>
                <c:pt idx="5">
                  <c:v>3.4000006589022524E-3</c:v>
                </c:pt>
                <c:pt idx="6">
                  <c:v>5.3818205540830388E-3</c:v>
                </c:pt>
                <c:pt idx="7">
                  <c:v>8.9272734793749697E-3</c:v>
                </c:pt>
                <c:pt idx="8">
                  <c:v>1.4863633296706466E-2</c:v>
                </c:pt>
                <c:pt idx="9">
                  <c:v>2.4227278476411651E-2</c:v>
                </c:pt>
                <c:pt idx="10">
                  <c:v>3.8200003856962372E-2</c:v>
                </c:pt>
                <c:pt idx="11">
                  <c:v>5.7654548097740524E-2</c:v>
                </c:pt>
                <c:pt idx="12">
                  <c:v>8.3281819793311035E-2</c:v>
                </c:pt>
                <c:pt idx="13">
                  <c:v>0.11516363783316179</c:v>
                </c:pt>
                <c:pt idx="14">
                  <c:v>0.15083635598421097</c:v>
                </c:pt>
                <c:pt idx="15">
                  <c:v>0.19274545596404508</c:v>
                </c:pt>
                <c:pt idx="16">
                  <c:v>0.23753637820482254</c:v>
                </c:pt>
                <c:pt idx="17">
                  <c:v>0.28062728589231317</c:v>
                </c:pt>
                <c:pt idx="18">
                  <c:v>0.31154545599764044</c:v>
                </c:pt>
                <c:pt idx="19">
                  <c:v>0.3399636284871535</c:v>
                </c:pt>
                <c:pt idx="20">
                  <c:v>0.34221818331967702</c:v>
                </c:pt>
                <c:pt idx="21">
                  <c:v>0.34447273815220053</c:v>
                </c:pt>
                <c:pt idx="22">
                  <c:v>0.34380908852273767</c:v>
                </c:pt>
                <c:pt idx="23">
                  <c:v>0.34169091284275055</c:v>
                </c:pt>
                <c:pt idx="24">
                  <c:v>0.33918180587616831</c:v>
                </c:pt>
                <c:pt idx="25">
                  <c:v>0.34011818400838156</c:v>
                </c:pt>
                <c:pt idx="26">
                  <c:v>0.3428909121589227</c:v>
                </c:pt>
                <c:pt idx="27">
                  <c:v>0.34721818363124674</c:v>
                </c:pt>
                <c:pt idx="28">
                  <c:v>0.35308182916857977</c:v>
                </c:pt>
                <c:pt idx="29">
                  <c:v>0.36155453662980686</c:v>
                </c:pt>
                <c:pt idx="30">
                  <c:v>0.37376363846388727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0B-6446-B250-6B8C33052B28}"/>
            </c:ext>
          </c:extLst>
        </c:ser>
        <c:ser>
          <c:idx val="1"/>
          <c:order val="1"/>
          <c:tx>
            <c:v>E6 (-W1)</c:v>
          </c:tx>
          <c:spPr>
            <a:ln w="28575">
              <a:noFill/>
            </a:ln>
          </c:spPr>
          <c:marker>
            <c:spPr>
              <a:solidFill>
                <a:srgbClr val="00808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'1077V24-V0,125'!$B$54:$AF$54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'1077V24-V0,125'!$B$95:$AF$95</c:f>
              <c:numCache>
                <c:formatCode>General</c:formatCode>
                <c:ptCount val="31"/>
                <c:pt idx="0">
                  <c:v>7.4583385139703751E-4</c:v>
                </c:pt>
                <c:pt idx="1">
                  <c:v>8.6249752591054107E-4</c:v>
                </c:pt>
                <c:pt idx="2">
                  <c:v>1.4749979600310326E-3</c:v>
                </c:pt>
                <c:pt idx="3">
                  <c:v>2.0666675021250996E-3</c:v>
                </c:pt>
                <c:pt idx="4">
                  <c:v>2.9749994476636205E-3</c:v>
                </c:pt>
                <c:pt idx="5">
                  <c:v>4.8083346337080002E-3</c:v>
                </c:pt>
                <c:pt idx="6">
                  <c:v>7.6999959225455966E-3</c:v>
                </c:pt>
                <c:pt idx="7">
                  <c:v>1.2749997898936272E-2</c:v>
                </c:pt>
                <c:pt idx="8">
                  <c:v>2.07916662717859E-2</c:v>
                </c:pt>
                <c:pt idx="9">
                  <c:v>3.3329169265925884E-2</c:v>
                </c:pt>
                <c:pt idx="10">
                  <c:v>5.1225007511675358E-2</c:v>
                </c:pt>
                <c:pt idx="11">
                  <c:v>7.5495831047495202E-2</c:v>
                </c:pt>
                <c:pt idx="12">
                  <c:v>0.10615000687539577</c:v>
                </c:pt>
                <c:pt idx="13">
                  <c:v>0.14212500210851431</c:v>
                </c:pt>
                <c:pt idx="14">
                  <c:v>0.18212915708621341</c:v>
                </c:pt>
                <c:pt idx="15">
                  <c:v>0.22772498801350594</c:v>
                </c:pt>
                <c:pt idx="16">
                  <c:v>0.27061668038368225</c:v>
                </c:pt>
                <c:pt idx="17">
                  <c:v>0.30537500604987144</c:v>
                </c:pt>
                <c:pt idx="18">
                  <c:v>0.33084582568456727</c:v>
                </c:pt>
                <c:pt idx="19">
                  <c:v>0.33858333900570869</c:v>
                </c:pt>
                <c:pt idx="20">
                  <c:v>0.33800625397513312</c:v>
                </c:pt>
                <c:pt idx="21">
                  <c:v>0.33742916894455749</c:v>
                </c:pt>
                <c:pt idx="22">
                  <c:v>0.33398333378136158</c:v>
                </c:pt>
                <c:pt idx="23">
                  <c:v>0.3326833238825202</c:v>
                </c:pt>
                <c:pt idx="24">
                  <c:v>0.33092500176280737</c:v>
                </c:pt>
                <c:pt idx="25">
                  <c:v>0.33306667301803827</c:v>
                </c:pt>
                <c:pt idx="26">
                  <c:v>0.33746667082111043</c:v>
                </c:pt>
                <c:pt idx="27">
                  <c:v>0.34482082755615312</c:v>
                </c:pt>
                <c:pt idx="28">
                  <c:v>0.35094999335706234</c:v>
                </c:pt>
                <c:pt idx="29">
                  <c:v>0.36044582383086282</c:v>
                </c:pt>
                <c:pt idx="30">
                  <c:v>0.37200000789016485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0B-6446-B250-6B8C33052B28}"/>
            </c:ext>
          </c:extLst>
        </c:ser>
        <c:ser>
          <c:idx val="2"/>
          <c:order val="2"/>
          <c:tx>
            <c:v>E7 (-W1)</c:v>
          </c:tx>
          <c:spPr>
            <a:ln w="28575">
              <a:noFill/>
            </a:ln>
          </c:spPr>
          <c:marker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'1077V24-V0,125'!$B$54:$AF$54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'1077V24-V0,125'!$B$96:$AF$96</c:f>
              <c:numCache>
                <c:formatCode>General</c:formatCode>
                <c:ptCount val="31"/>
                <c:pt idx="0">
                  <c:v>5.0000101327896118E-4</c:v>
                </c:pt>
                <c:pt idx="1">
                  <c:v>6.000027060508728E-4</c:v>
                </c:pt>
                <c:pt idx="2">
                  <c:v>7.9999864101409912E-4</c:v>
                </c:pt>
                <c:pt idx="3">
                  <c:v>1.1999979615211487E-3</c:v>
                </c:pt>
                <c:pt idx="4">
                  <c:v>1.8000006675720215E-3</c:v>
                </c:pt>
                <c:pt idx="5">
                  <c:v>2.9999986290931702E-3</c:v>
                </c:pt>
                <c:pt idx="6">
                  <c:v>4.9000009894371033E-3</c:v>
                </c:pt>
                <c:pt idx="7">
                  <c:v>8.0000013113021851E-3</c:v>
                </c:pt>
                <c:pt idx="8">
                  <c:v>1.3300001621246338E-2</c:v>
                </c:pt>
                <c:pt idx="9">
                  <c:v>2.1800003945827484E-2</c:v>
                </c:pt>
                <c:pt idx="10">
                  <c:v>3.4499995410442352E-2</c:v>
                </c:pt>
                <c:pt idx="11">
                  <c:v>5.2400000393390656E-2</c:v>
                </c:pt>
                <c:pt idx="12">
                  <c:v>7.6499998569488525E-2</c:v>
                </c:pt>
                <c:pt idx="13">
                  <c:v>0.10670000314712524</c:v>
                </c:pt>
                <c:pt idx="14">
                  <c:v>0.14149999618530273</c:v>
                </c:pt>
                <c:pt idx="15">
                  <c:v>0.18140000104904175</c:v>
                </c:pt>
                <c:pt idx="16">
                  <c:v>0.22599999606609344</c:v>
                </c:pt>
                <c:pt idx="17">
                  <c:v>0.27029999345541</c:v>
                </c:pt>
                <c:pt idx="18">
                  <c:v>0.30229999870061874</c:v>
                </c:pt>
                <c:pt idx="19">
                  <c:v>0.33070001006126404</c:v>
                </c:pt>
                <c:pt idx="20">
                  <c:v>0.33225001022219658</c:v>
                </c:pt>
                <c:pt idx="21">
                  <c:v>0.33380001038312912</c:v>
                </c:pt>
                <c:pt idx="22">
                  <c:v>0.33249998837709427</c:v>
                </c:pt>
                <c:pt idx="23">
                  <c:v>0.32919998466968536</c:v>
                </c:pt>
                <c:pt idx="24">
                  <c:v>0.3263000100851059</c:v>
                </c:pt>
                <c:pt idx="25">
                  <c:v>0.32739999890327454</c:v>
                </c:pt>
                <c:pt idx="26">
                  <c:v>0.32989999651908875</c:v>
                </c:pt>
                <c:pt idx="27">
                  <c:v>0.33240000903606415</c:v>
                </c:pt>
                <c:pt idx="28">
                  <c:v>0.33870001137256622</c:v>
                </c:pt>
                <c:pt idx="29">
                  <c:v>0.34650000929832458</c:v>
                </c:pt>
                <c:pt idx="30">
                  <c:v>0.35690000653266907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0B-6446-B250-6B8C33052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087567"/>
        <c:axId val="434089263"/>
      </c:scatterChart>
      <c:valAx>
        <c:axId val="4340875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4089263"/>
        <c:crosses val="autoZero"/>
        <c:crossBetween val="midCat"/>
      </c:valAx>
      <c:valAx>
        <c:axId val="43408926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408756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E5</c:v>
          </c:tx>
          <c:spPr>
            <a:ln w="28575">
              <a:noFill/>
            </a:ln>
          </c:spPr>
          <c:xVal>
            <c:numRef>
              <c:f>'1077V24-V0,125'!$B$54:$P$54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'1077V24-V0,125'!$B$94:$P$94</c:f>
              <c:numCache>
                <c:formatCode>General</c:formatCode>
                <c:ptCount val="15"/>
                <c:pt idx="0">
                  <c:v>6.0908767310055567E-4</c:v>
                </c:pt>
                <c:pt idx="1">
                  <c:v>6.8182024088772608E-4</c:v>
                </c:pt>
                <c:pt idx="2">
                  <c:v>1.1727281592108924E-3</c:v>
                </c:pt>
                <c:pt idx="3">
                  <c:v>1.5181817791678626E-3</c:v>
                </c:pt>
                <c:pt idx="4">
                  <c:v>2.136365933851761E-3</c:v>
                </c:pt>
                <c:pt idx="5">
                  <c:v>3.4000006589022524E-3</c:v>
                </c:pt>
                <c:pt idx="6">
                  <c:v>5.3818205540830388E-3</c:v>
                </c:pt>
                <c:pt idx="7">
                  <c:v>8.9272734793749697E-3</c:v>
                </c:pt>
                <c:pt idx="8">
                  <c:v>1.4863633296706466E-2</c:v>
                </c:pt>
                <c:pt idx="9">
                  <c:v>2.4227278476411651E-2</c:v>
                </c:pt>
                <c:pt idx="10">
                  <c:v>3.8200003856962372E-2</c:v>
                </c:pt>
                <c:pt idx="11">
                  <c:v>5.7654548097740524E-2</c:v>
                </c:pt>
                <c:pt idx="12">
                  <c:v>8.3281819793311035E-2</c:v>
                </c:pt>
                <c:pt idx="13">
                  <c:v>0.11516363783316179</c:v>
                </c:pt>
                <c:pt idx="14">
                  <c:v>0.15083635598421097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B7-9043-9D99-939B5F86237B}"/>
            </c:ext>
          </c:extLst>
        </c:ser>
        <c:ser>
          <c:idx val="1"/>
          <c:order val="1"/>
          <c:tx>
            <c:v>Model: E5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'1077V24-V0,125'!$B$54:$P$54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'1077V24-V0,125'!$B$100:$P$100</c:f>
              <c:numCache>
                <c:formatCode>General</c:formatCode>
                <c:ptCount val="15"/>
                <c:pt idx="0">
                  <c:v>4.7284778564217922E-4</c:v>
                </c:pt>
                <c:pt idx="1">
                  <c:v>7.2279031512713669E-4</c:v>
                </c:pt>
                <c:pt idx="2">
                  <c:v>1.1048499231778659E-3</c:v>
                </c:pt>
                <c:pt idx="3">
                  <c:v>1.688862353574037E-3</c:v>
                </c:pt>
                <c:pt idx="4">
                  <c:v>2.5815778138588521E-3</c:v>
                </c:pt>
                <c:pt idx="5">
                  <c:v>3.9461735853750773E-3</c:v>
                </c:pt>
                <c:pt idx="6">
                  <c:v>6.032080800475694E-3</c:v>
                </c:pt>
                <c:pt idx="7">
                  <c:v>9.2205773507576302E-3</c:v>
                </c:pt>
                <c:pt idx="8">
                  <c:v>1.4094480742797739E-2</c:v>
                </c:pt>
                <c:pt idx="9">
                  <c:v>2.1544679888485872E-2</c:v>
                </c:pt>
                <c:pt idx="10">
                  <c:v>3.2932978516042148E-2</c:v>
                </c:pt>
                <c:pt idx="11">
                  <c:v>5.0341015951586576E-2</c:v>
                </c:pt>
                <c:pt idx="12">
                  <c:v>7.6950764893720089E-2</c:v>
                </c:pt>
                <c:pt idx="13">
                  <c:v>0.11762615644116646</c:v>
                </c:pt>
                <c:pt idx="14">
                  <c:v>0.17980214619349313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B7-9043-9D99-939B5F862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051279"/>
        <c:axId val="434052975"/>
      </c:scatterChart>
      <c:valAx>
        <c:axId val="4340512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4052975"/>
        <c:crosses val="autoZero"/>
        <c:crossBetween val="midCat"/>
      </c:valAx>
      <c:valAx>
        <c:axId val="43405297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405127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E6</c:v>
          </c:tx>
          <c:spPr>
            <a:ln w="28575">
              <a:noFill/>
            </a:ln>
          </c:spPr>
          <c:xVal>
            <c:numRef>
              <c:f>'1077V24-V0,125'!$B$54:$N$54</c:f>
              <c:numCache>
                <c:formatCode>General</c:formatCode>
                <c:ptCount val="13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</c:numCache>
            </c:numRef>
          </c:xVal>
          <c:yVal>
            <c:numRef>
              <c:f>'1077V24-V0,125'!$B$95:$N$95</c:f>
              <c:numCache>
                <c:formatCode>General</c:formatCode>
                <c:ptCount val="13"/>
                <c:pt idx="0">
                  <c:v>7.4583385139703751E-4</c:v>
                </c:pt>
                <c:pt idx="1">
                  <c:v>8.6249752591054107E-4</c:v>
                </c:pt>
                <c:pt idx="2">
                  <c:v>1.4749979600310326E-3</c:v>
                </c:pt>
                <c:pt idx="3">
                  <c:v>2.0666675021250996E-3</c:v>
                </c:pt>
                <c:pt idx="4">
                  <c:v>2.9749994476636205E-3</c:v>
                </c:pt>
                <c:pt idx="5">
                  <c:v>4.8083346337080002E-3</c:v>
                </c:pt>
                <c:pt idx="6">
                  <c:v>7.6999959225455966E-3</c:v>
                </c:pt>
                <c:pt idx="7">
                  <c:v>1.2749997898936272E-2</c:v>
                </c:pt>
                <c:pt idx="8">
                  <c:v>2.07916662717859E-2</c:v>
                </c:pt>
                <c:pt idx="9">
                  <c:v>3.3329169265925884E-2</c:v>
                </c:pt>
                <c:pt idx="10">
                  <c:v>5.1225007511675358E-2</c:v>
                </c:pt>
                <c:pt idx="11">
                  <c:v>7.5495831047495202E-2</c:v>
                </c:pt>
                <c:pt idx="12">
                  <c:v>0.10615000687539577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9A-3F4C-B2C2-CC4C0182DE9B}"/>
            </c:ext>
          </c:extLst>
        </c:ser>
        <c:ser>
          <c:idx val="1"/>
          <c:order val="1"/>
          <c:tx>
            <c:v>Model: E6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'1077V24-V0,125'!$B$54:$N$54</c:f>
              <c:numCache>
                <c:formatCode>General</c:formatCode>
                <c:ptCount val="13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</c:numCache>
            </c:numRef>
          </c:xVal>
          <c:yVal>
            <c:numRef>
              <c:f>'1077V24-V0,125'!$B$101:$N$101</c:f>
              <c:numCache>
                <c:formatCode>General</c:formatCode>
                <c:ptCount val="13"/>
                <c:pt idx="0">
                  <c:v>5.9789954559343246E-4</c:v>
                </c:pt>
                <c:pt idx="1">
                  <c:v>9.2543051123992787E-4</c:v>
                </c:pt>
                <c:pt idx="2">
                  <c:v>1.4323838133774983E-3</c:v>
                </c:pt>
                <c:pt idx="3">
                  <c:v>2.2170474864470213E-3</c:v>
                </c:pt>
                <c:pt idx="4">
                  <c:v>3.4315520122857259E-3</c:v>
                </c:pt>
                <c:pt idx="5">
                  <c:v>5.311365356406225E-3</c:v>
                </c:pt>
                <c:pt idx="6">
                  <c:v>8.2209454638111149E-3</c:v>
                </c:pt>
                <c:pt idx="7">
                  <c:v>1.2724401313767876E-2</c:v>
                </c:pt>
                <c:pt idx="8">
                  <c:v>1.9694862288839248E-2</c:v>
                </c:pt>
                <c:pt idx="9">
                  <c:v>3.0483760375951491E-2</c:v>
                </c:pt>
                <c:pt idx="10">
                  <c:v>4.7182845608675618E-2</c:v>
                </c:pt>
                <c:pt idx="11">
                  <c:v>7.3029734267573448E-2</c:v>
                </c:pt>
                <c:pt idx="12">
                  <c:v>0.11303561746627112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9A-3F4C-B2C2-CC4C0182D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923103"/>
        <c:axId val="433924799"/>
      </c:scatterChart>
      <c:valAx>
        <c:axId val="4339231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3924799"/>
        <c:crosses val="autoZero"/>
        <c:crossBetween val="midCat"/>
      </c:valAx>
      <c:valAx>
        <c:axId val="43392479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392310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E7</c:v>
          </c:tx>
          <c:spPr>
            <a:ln w="28575">
              <a:noFill/>
            </a:ln>
          </c:spPr>
          <c:xVal>
            <c:numRef>
              <c:f>'1077V24-V0,125'!$B$54:$O$54</c:f>
              <c:numCache>
                <c:formatCode>General</c:formatCode>
                <c:ptCount val="14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</c:numCache>
            </c:numRef>
          </c:xVal>
          <c:yVal>
            <c:numRef>
              <c:f>'1077V24-V0,125'!$B$96:$O$96</c:f>
              <c:numCache>
                <c:formatCode>General</c:formatCode>
                <c:ptCount val="14"/>
                <c:pt idx="0">
                  <c:v>5.0000101327896118E-4</c:v>
                </c:pt>
                <c:pt idx="1">
                  <c:v>6.000027060508728E-4</c:v>
                </c:pt>
                <c:pt idx="2">
                  <c:v>7.9999864101409912E-4</c:v>
                </c:pt>
                <c:pt idx="3">
                  <c:v>1.1999979615211487E-3</c:v>
                </c:pt>
                <c:pt idx="4">
                  <c:v>1.8000006675720215E-3</c:v>
                </c:pt>
                <c:pt idx="5">
                  <c:v>2.9999986290931702E-3</c:v>
                </c:pt>
                <c:pt idx="6">
                  <c:v>4.9000009894371033E-3</c:v>
                </c:pt>
                <c:pt idx="7">
                  <c:v>8.0000013113021851E-3</c:v>
                </c:pt>
                <c:pt idx="8">
                  <c:v>1.3300001621246338E-2</c:v>
                </c:pt>
                <c:pt idx="9">
                  <c:v>2.1800003945827484E-2</c:v>
                </c:pt>
                <c:pt idx="10">
                  <c:v>3.4499995410442352E-2</c:v>
                </c:pt>
                <c:pt idx="11">
                  <c:v>5.2400000393390656E-2</c:v>
                </c:pt>
                <c:pt idx="12">
                  <c:v>7.6499998569488525E-2</c:v>
                </c:pt>
                <c:pt idx="13">
                  <c:v>0.10670000314712524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A5-D245-AF2C-CBFF9A9A8129}"/>
            </c:ext>
          </c:extLst>
        </c:ser>
        <c:ser>
          <c:idx val="1"/>
          <c:order val="1"/>
          <c:tx>
            <c:v>Model: E7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'1077V24-V0,125'!$B$54:$O$54</c:f>
              <c:numCache>
                <c:formatCode>General</c:formatCode>
                <c:ptCount val="14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</c:numCache>
            </c:numRef>
          </c:xVal>
          <c:yVal>
            <c:numRef>
              <c:f>'1077V24-V0,125'!$B$102:$O$102</c:f>
              <c:numCache>
                <c:formatCode>General</c:formatCode>
                <c:ptCount val="14"/>
                <c:pt idx="0">
                  <c:v>3.6687214032822665E-4</c:v>
                </c:pt>
                <c:pt idx="1">
                  <c:v>5.7143515250934751E-4</c:v>
                </c:pt>
                <c:pt idx="2">
                  <c:v>8.9005977186286194E-4</c:v>
                </c:pt>
                <c:pt idx="3">
                  <c:v>1.3863452292176073E-3</c:v>
                </c:pt>
                <c:pt idx="4">
                  <c:v>2.1593528382389919E-3</c:v>
                </c:pt>
                <c:pt idx="5">
                  <c:v>3.3633791798326255E-3</c:v>
                </c:pt>
                <c:pt idx="6">
                  <c:v>5.2387545504407121E-3</c:v>
                </c:pt>
                <c:pt idx="7">
                  <c:v>8.1598142143250729E-3</c:v>
                </c:pt>
                <c:pt idx="8">
                  <c:v>1.2709617786292395E-2</c:v>
                </c:pt>
                <c:pt idx="9">
                  <c:v>1.9796331145635171E-2</c:v>
                </c:pt>
                <c:pt idx="10">
                  <c:v>3.0834501353007839E-2</c:v>
                </c:pt>
                <c:pt idx="11">
                  <c:v>4.8027408043145044E-2</c:v>
                </c:pt>
                <c:pt idx="12">
                  <c:v>7.4806850188214508E-2</c:v>
                </c:pt>
                <c:pt idx="13">
                  <c:v>0.11651815209462864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A5-D245-AF2C-CBFF9A9A8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957519"/>
        <c:axId val="433959215"/>
      </c:scatterChart>
      <c:valAx>
        <c:axId val="433957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3959215"/>
        <c:crosses val="autoZero"/>
        <c:crossBetween val="midCat"/>
      </c:valAx>
      <c:valAx>
        <c:axId val="4339592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395751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E8 (-W1)</c:v>
          </c:tx>
          <c:spPr>
            <a:ln w="28575">
              <a:noFill/>
            </a:ln>
          </c:spPr>
          <c:marker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'1077V24-V0,06'!$B$54:$AF$54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'1077V24-V0,06'!$B$94:$AF$94</c:f>
              <c:numCache>
                <c:formatCode>General</c:formatCode>
                <c:ptCount val="31"/>
                <c:pt idx="0">
                  <c:v>1.351514323191208E-3</c:v>
                </c:pt>
                <c:pt idx="1">
                  <c:v>1.4878822998567048E-3</c:v>
                </c:pt>
                <c:pt idx="2">
                  <c:v>1.8969704255913239E-3</c:v>
                </c:pt>
                <c:pt idx="3">
                  <c:v>2.5212096445488275E-3</c:v>
                </c:pt>
                <c:pt idx="4">
                  <c:v>3.6121211720235441E-3</c:v>
                </c:pt>
                <c:pt idx="5">
                  <c:v>5.4333352229811865E-3</c:v>
                </c:pt>
                <c:pt idx="6">
                  <c:v>8.6454561713970035E-3</c:v>
                </c:pt>
                <c:pt idx="7">
                  <c:v>1.4378787667462326E-2</c:v>
                </c:pt>
                <c:pt idx="8">
                  <c:v>2.3736357688903809E-2</c:v>
                </c:pt>
                <c:pt idx="9">
                  <c:v>3.7251514015775741E-2</c:v>
                </c:pt>
                <c:pt idx="10">
                  <c:v>5.6745456023649735E-2</c:v>
                </c:pt>
                <c:pt idx="11">
                  <c:v>8.3327273302005997E-2</c:v>
                </c:pt>
                <c:pt idx="12">
                  <c:v>0.11529091158599565</c:v>
                </c:pt>
                <c:pt idx="13">
                  <c:v>0.15307273986664685</c:v>
                </c:pt>
                <c:pt idx="14">
                  <c:v>0.19538181388016904</c:v>
                </c:pt>
                <c:pt idx="15">
                  <c:v>0.24048484794118186</c:v>
                </c:pt>
                <c:pt idx="16">
                  <c:v>0.28146667462406738</c:v>
                </c:pt>
                <c:pt idx="17">
                  <c:v>0.31190303238955408</c:v>
                </c:pt>
                <c:pt idx="18">
                  <c:v>0.33327272082820081</c:v>
                </c:pt>
                <c:pt idx="19">
                  <c:v>0.33221515809947794</c:v>
                </c:pt>
                <c:pt idx="20">
                  <c:v>0.33009848574345763</c:v>
                </c:pt>
                <c:pt idx="21">
                  <c:v>0.32798181338743732</c:v>
                </c:pt>
                <c:pt idx="22">
                  <c:v>0.32383939104549814</c:v>
                </c:pt>
                <c:pt idx="23">
                  <c:v>0.32024847738670581</c:v>
                </c:pt>
                <c:pt idx="24">
                  <c:v>0.32031212611631915</c:v>
                </c:pt>
                <c:pt idx="25">
                  <c:v>0.32230605320496991</c:v>
                </c:pt>
                <c:pt idx="26">
                  <c:v>0.32563331994143396</c:v>
                </c:pt>
                <c:pt idx="27">
                  <c:v>0.33296364297469455</c:v>
                </c:pt>
                <c:pt idx="28">
                  <c:v>0.33990604994875012</c:v>
                </c:pt>
                <c:pt idx="29">
                  <c:v>0.35003636009765393</c:v>
                </c:pt>
                <c:pt idx="30">
                  <c:v>0.35935455199443933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47-0541-9B9C-087E33C5EF8B}"/>
            </c:ext>
          </c:extLst>
        </c:ser>
        <c:ser>
          <c:idx val="1"/>
          <c:order val="1"/>
          <c:tx>
            <c:v>E9 (-W1)</c:v>
          </c:tx>
          <c:spPr>
            <a:ln w="28575">
              <a:noFill/>
            </a:ln>
          </c:spPr>
          <c:marker>
            <c:spPr>
              <a:solidFill>
                <a:srgbClr val="00808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'1077V24-V0,06'!$B$54:$AF$54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'1077V24-V0,06'!$B$95:$AF$95</c:f>
              <c:numCache>
                <c:formatCode>General</c:formatCode>
                <c:ptCount val="31"/>
                <c:pt idx="0">
                  <c:v>2.262858407838006E-3</c:v>
                </c:pt>
                <c:pt idx="1">
                  <c:v>2.600001437323432E-3</c:v>
                </c:pt>
                <c:pt idx="2">
                  <c:v>2.9085685099874276E-3</c:v>
                </c:pt>
                <c:pt idx="3">
                  <c:v>3.6285743117332458E-3</c:v>
                </c:pt>
                <c:pt idx="4">
                  <c:v>4.8285709960120132E-3</c:v>
                </c:pt>
                <c:pt idx="5">
                  <c:v>7.0542865565844937E-3</c:v>
                </c:pt>
                <c:pt idx="6">
                  <c:v>1.076571600777762E-2</c:v>
                </c:pt>
                <c:pt idx="7">
                  <c:v>1.7199996752398361E-2</c:v>
                </c:pt>
                <c:pt idx="8">
                  <c:v>2.8554288191454752E-2</c:v>
                </c:pt>
                <c:pt idx="9">
                  <c:v>4.2271424191338669E-2</c:v>
                </c:pt>
                <c:pt idx="10">
                  <c:v>6.3962862959929881E-2</c:v>
                </c:pt>
                <c:pt idx="11">
                  <c:v>9.1745709734303613E-2</c:v>
                </c:pt>
                <c:pt idx="12">
                  <c:v>0.12580286030258453</c:v>
                </c:pt>
                <c:pt idx="13">
                  <c:v>0.16397999014173237</c:v>
                </c:pt>
                <c:pt idx="14">
                  <c:v>0.20728856176137925</c:v>
                </c:pt>
                <c:pt idx="15">
                  <c:v>0.2537828449692045</c:v>
                </c:pt>
                <c:pt idx="16">
                  <c:v>0.29097713444914136</c:v>
                </c:pt>
                <c:pt idx="17">
                  <c:v>0.32271142133644648</c:v>
                </c:pt>
                <c:pt idx="18">
                  <c:v>0.33648857602051324</c:v>
                </c:pt>
                <c:pt idx="19">
                  <c:v>0.33583142331668309</c:v>
                </c:pt>
                <c:pt idx="20">
                  <c:v>0.33255856335163114</c:v>
                </c:pt>
                <c:pt idx="21">
                  <c:v>0.32928570338657925</c:v>
                </c:pt>
                <c:pt idx="22">
                  <c:v>0.32453715354204177</c:v>
                </c:pt>
                <c:pt idx="23">
                  <c:v>0.32260570462260929</c:v>
                </c:pt>
                <c:pt idx="24">
                  <c:v>0.32337142825126647</c:v>
                </c:pt>
                <c:pt idx="25">
                  <c:v>0.32565429295812331</c:v>
                </c:pt>
                <c:pt idx="26">
                  <c:v>0.32917143319334302</c:v>
                </c:pt>
                <c:pt idx="27">
                  <c:v>0.33901142094816483</c:v>
                </c:pt>
                <c:pt idx="28">
                  <c:v>0.34545429689543589</c:v>
                </c:pt>
                <c:pt idx="29">
                  <c:v>0.35678858033248356</c:v>
                </c:pt>
                <c:pt idx="30">
                  <c:v>0.36562570993389404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47-0541-9B9C-087E33C5EF8B}"/>
            </c:ext>
          </c:extLst>
        </c:ser>
        <c:ser>
          <c:idx val="2"/>
          <c:order val="2"/>
          <c:tx>
            <c:v>E10 (-W1)</c:v>
          </c:tx>
          <c:spPr>
            <a:ln w="28575">
              <a:noFill/>
            </a:ln>
          </c:spPr>
          <c:marker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'1077V24-V0,06'!$B$54:$AF$54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'1077V24-V0,06'!$B$96:$AF$96</c:f>
              <c:numCache>
                <c:formatCode>General</c:formatCode>
                <c:ptCount val="31"/>
                <c:pt idx="0">
                  <c:v>1.351514323191208E-3</c:v>
                </c:pt>
                <c:pt idx="1">
                  <c:v>1.5878765420480195E-3</c:v>
                </c:pt>
                <c:pt idx="2">
                  <c:v>2.1969680533264618E-3</c:v>
                </c:pt>
                <c:pt idx="3">
                  <c:v>3.1212123505997003E-3</c:v>
                </c:pt>
                <c:pt idx="4">
                  <c:v>3.912118799758682E-3</c:v>
                </c:pt>
                <c:pt idx="5">
                  <c:v>5.8333345434882361E-3</c:v>
                </c:pt>
                <c:pt idx="6">
                  <c:v>9.2454514268672794E-3</c:v>
                </c:pt>
                <c:pt idx="7">
                  <c:v>1.5078784615704513E-2</c:v>
                </c:pt>
                <c:pt idx="8">
                  <c:v>2.443636953830719E-2</c:v>
                </c:pt>
                <c:pt idx="9">
                  <c:v>3.8351517735105575E-2</c:v>
                </c:pt>
                <c:pt idx="10">
                  <c:v>5.8545456691221756E-2</c:v>
                </c:pt>
                <c:pt idx="11">
                  <c:v>8.522727566234993E-2</c:v>
                </c:pt>
                <c:pt idx="12">
                  <c:v>0.11739090243072221</c:v>
                </c:pt>
                <c:pt idx="13">
                  <c:v>0.15457272055474194</c:v>
                </c:pt>
                <c:pt idx="14">
                  <c:v>0.19688182437058652</c:v>
                </c:pt>
                <c:pt idx="15">
                  <c:v>0.24178485504605551</c:v>
                </c:pt>
                <c:pt idx="16">
                  <c:v>0.28256667834339722</c:v>
                </c:pt>
                <c:pt idx="17">
                  <c:v>0.31480303677645594</c:v>
                </c:pt>
                <c:pt idx="18">
                  <c:v>0.33657273198619031</c:v>
                </c:pt>
                <c:pt idx="19">
                  <c:v>0.33581515943462198</c:v>
                </c:pt>
                <c:pt idx="20">
                  <c:v>0.3339984921569174</c:v>
                </c:pt>
                <c:pt idx="21">
                  <c:v>0.33218182487921283</c:v>
                </c:pt>
                <c:pt idx="22">
                  <c:v>0.32863938289158273</c:v>
                </c:pt>
                <c:pt idx="23">
                  <c:v>0.32684849970268481</c:v>
                </c:pt>
                <c:pt idx="24">
                  <c:v>0.3264121250672774</c:v>
                </c:pt>
                <c:pt idx="25">
                  <c:v>0.33210607008500531</c:v>
                </c:pt>
                <c:pt idx="26">
                  <c:v>0.33533332022753626</c:v>
                </c:pt>
                <c:pt idx="27">
                  <c:v>0.34116363277037937</c:v>
                </c:pt>
                <c:pt idx="28">
                  <c:v>0.34970606682878552</c:v>
                </c:pt>
                <c:pt idx="29">
                  <c:v>0.36023635394645459</c:v>
                </c:pt>
                <c:pt idx="30">
                  <c:v>0.37035455938541528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47-0541-9B9C-087E33C5E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878079"/>
        <c:axId val="446879775"/>
      </c:scatterChart>
      <c:valAx>
        <c:axId val="4468780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6879775"/>
        <c:crosses val="autoZero"/>
        <c:crossBetween val="midCat"/>
      </c:valAx>
      <c:valAx>
        <c:axId val="44687977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687807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E8</c:v>
          </c:tx>
          <c:spPr>
            <a:ln w="28575">
              <a:noFill/>
            </a:ln>
          </c:spPr>
          <c:xVal>
            <c:numRef>
              <c:f>'1077V24-V0,06'!$B$54:$P$54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'1077V24-V0,06'!$B$94:$P$94</c:f>
              <c:numCache>
                <c:formatCode>General</c:formatCode>
                <c:ptCount val="15"/>
                <c:pt idx="0">
                  <c:v>1.351514323191208E-3</c:v>
                </c:pt>
                <c:pt idx="1">
                  <c:v>1.4878822998567048E-3</c:v>
                </c:pt>
                <c:pt idx="2">
                  <c:v>1.8969704255913239E-3</c:v>
                </c:pt>
                <c:pt idx="3">
                  <c:v>2.5212096445488275E-3</c:v>
                </c:pt>
                <c:pt idx="4">
                  <c:v>3.6121211720235441E-3</c:v>
                </c:pt>
                <c:pt idx="5">
                  <c:v>5.4333352229811865E-3</c:v>
                </c:pt>
                <c:pt idx="6">
                  <c:v>8.6454561713970035E-3</c:v>
                </c:pt>
                <c:pt idx="7">
                  <c:v>1.4378787667462326E-2</c:v>
                </c:pt>
                <c:pt idx="8">
                  <c:v>2.3736357688903809E-2</c:v>
                </c:pt>
                <c:pt idx="9">
                  <c:v>3.7251514015775741E-2</c:v>
                </c:pt>
                <c:pt idx="10">
                  <c:v>5.6745456023649735E-2</c:v>
                </c:pt>
                <c:pt idx="11">
                  <c:v>8.3327273302005997E-2</c:v>
                </c:pt>
                <c:pt idx="12">
                  <c:v>0.11529091158599565</c:v>
                </c:pt>
                <c:pt idx="13">
                  <c:v>0.15307273986664685</c:v>
                </c:pt>
                <c:pt idx="14">
                  <c:v>0.19538181388016904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5E-CF49-803B-AE4B765E64DE}"/>
            </c:ext>
          </c:extLst>
        </c:ser>
        <c:ser>
          <c:idx val="1"/>
          <c:order val="1"/>
          <c:tx>
            <c:v>Model: E8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'1077V24-V0,06'!$B$54:$P$54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'1077V24-V0,06'!$B$100:$P$100</c:f>
              <c:numCache>
                <c:formatCode>General</c:formatCode>
                <c:ptCount val="15"/>
                <c:pt idx="0">
                  <c:v>9.3624479838552905E-4</c:v>
                </c:pt>
                <c:pt idx="1">
                  <c:v>1.3881036373713999E-3</c:v>
                </c:pt>
                <c:pt idx="2">
                  <c:v>2.0580426309511793E-3</c:v>
                </c:pt>
                <c:pt idx="3">
                  <c:v>3.0513135739872674E-3</c:v>
                </c:pt>
                <c:pt idx="4">
                  <c:v>4.5239658240198112E-3</c:v>
                </c:pt>
                <c:pt idx="5">
                  <c:v>6.7073626753330357E-3</c:v>
                </c:pt>
                <c:pt idx="6">
                  <c:v>9.9445300447640467E-3</c:v>
                </c:pt>
                <c:pt idx="7">
                  <c:v>1.4744048085383198E-2</c:v>
                </c:pt>
                <c:pt idx="8">
                  <c:v>2.1859952452810961E-2</c:v>
                </c:pt>
                <c:pt idx="9">
                  <c:v>3.2410198235373971E-2</c:v>
                </c:pt>
                <c:pt idx="10">
                  <c:v>4.8052298005852506E-2</c:v>
                </c:pt>
                <c:pt idx="11">
                  <c:v>7.1243727880784258E-2</c:v>
                </c:pt>
                <c:pt idx="12">
                  <c:v>0.10562801308135243</c:v>
                </c:pt>
                <c:pt idx="13">
                  <c:v>0.1566071495610728</c:v>
                </c:pt>
                <c:pt idx="14">
                  <c:v>0.23219029287955076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5E-CF49-803B-AE4B765E6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322111"/>
        <c:axId val="429298735"/>
      </c:scatterChart>
      <c:valAx>
        <c:axId val="4293221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298735"/>
        <c:crosses val="autoZero"/>
        <c:crossBetween val="midCat"/>
      </c:valAx>
      <c:valAx>
        <c:axId val="4292987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322111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E9</c:v>
          </c:tx>
          <c:spPr>
            <a:ln w="28575">
              <a:noFill/>
            </a:ln>
          </c:spPr>
          <c:xVal>
            <c:numRef>
              <c:f>'1077V24-V0,06'!$B$54:$Q$54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'1077V24-V0,06'!$B$95:$Q$95</c:f>
              <c:numCache>
                <c:formatCode>General</c:formatCode>
                <c:ptCount val="16"/>
                <c:pt idx="0">
                  <c:v>2.262858407838006E-3</c:v>
                </c:pt>
                <c:pt idx="1">
                  <c:v>2.600001437323432E-3</c:v>
                </c:pt>
                <c:pt idx="2">
                  <c:v>2.9085685099874276E-3</c:v>
                </c:pt>
                <c:pt idx="3">
                  <c:v>3.6285743117332458E-3</c:v>
                </c:pt>
                <c:pt idx="4">
                  <c:v>4.8285709960120132E-3</c:v>
                </c:pt>
                <c:pt idx="5">
                  <c:v>7.0542865565844937E-3</c:v>
                </c:pt>
                <c:pt idx="6">
                  <c:v>1.076571600777762E-2</c:v>
                </c:pt>
                <c:pt idx="7">
                  <c:v>1.7199996752398361E-2</c:v>
                </c:pt>
                <c:pt idx="8">
                  <c:v>2.8554288191454752E-2</c:v>
                </c:pt>
                <c:pt idx="9">
                  <c:v>4.2271424191338669E-2</c:v>
                </c:pt>
                <c:pt idx="10">
                  <c:v>6.3962862959929881E-2</c:v>
                </c:pt>
                <c:pt idx="11">
                  <c:v>9.1745709734303613E-2</c:v>
                </c:pt>
                <c:pt idx="12">
                  <c:v>0.12580286030258453</c:v>
                </c:pt>
                <c:pt idx="13">
                  <c:v>0.16397999014173237</c:v>
                </c:pt>
                <c:pt idx="14">
                  <c:v>0.20728856176137925</c:v>
                </c:pt>
                <c:pt idx="15">
                  <c:v>0.2537828449692045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47-334B-859E-A932BEAFF240}"/>
            </c:ext>
          </c:extLst>
        </c:ser>
        <c:ser>
          <c:idx val="1"/>
          <c:order val="1"/>
          <c:tx>
            <c:v>Model: E9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'1077V24-V0,06'!$B$54:$Q$54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'1077V24-V0,06'!$B$101:$Q$101</c:f>
              <c:numCache>
                <c:formatCode>General</c:formatCode>
                <c:ptCount val="16"/>
                <c:pt idx="0">
                  <c:v>1.5549259977352145E-3</c:v>
                </c:pt>
                <c:pt idx="1">
                  <c:v>2.2137934391759286E-3</c:v>
                </c:pt>
                <c:pt idx="2">
                  <c:v>3.151842208874656E-3</c:v>
                </c:pt>
                <c:pt idx="3">
                  <c:v>4.4873695683829403E-3</c:v>
                </c:pt>
                <c:pt idx="4">
                  <c:v>6.3887987750626913E-3</c:v>
                </c:pt>
                <c:pt idx="5">
                  <c:v>9.0959189267201795E-3</c:v>
                </c:pt>
                <c:pt idx="6">
                  <c:v>1.295012474714459E-2</c:v>
                </c:pt>
                <c:pt idx="7">
                  <c:v>1.8437469849687659E-2</c:v>
                </c:pt>
                <c:pt idx="8">
                  <c:v>2.6249962922797021E-2</c:v>
                </c:pt>
                <c:pt idx="9">
                  <c:v>3.7372836894965344E-2</c:v>
                </c:pt>
                <c:pt idx="10">
                  <c:v>5.3208796587087034E-2</c:v>
                </c:pt>
                <c:pt idx="11">
                  <c:v>7.5754913714548788E-2</c:v>
                </c:pt>
                <c:pt idx="12">
                  <c:v>0.10785447745479461</c:v>
                </c:pt>
                <c:pt idx="13">
                  <c:v>0.15355556143697044</c:v>
                </c:pt>
                <c:pt idx="14">
                  <c:v>0.21862152601041615</c:v>
                </c:pt>
                <c:pt idx="15">
                  <c:v>0.31125783519564354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47-334B-859E-A932BEAFF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5825487"/>
        <c:axId val="405827183"/>
      </c:scatterChart>
      <c:valAx>
        <c:axId val="405825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5827183"/>
        <c:crosses val="autoZero"/>
        <c:crossBetween val="midCat"/>
      </c:valAx>
      <c:valAx>
        <c:axId val="4058271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582548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E10</c:v>
          </c:tx>
          <c:spPr>
            <a:ln w="28575">
              <a:noFill/>
            </a:ln>
          </c:spPr>
          <c:xVal>
            <c:numRef>
              <c:f>'1077V24-V0,06'!$B$54:$P$54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'1077V24-V0,06'!$B$96:$P$96</c:f>
              <c:numCache>
                <c:formatCode>General</c:formatCode>
                <c:ptCount val="15"/>
                <c:pt idx="0">
                  <c:v>1.351514323191208E-3</c:v>
                </c:pt>
                <c:pt idx="1">
                  <c:v>1.5878765420480195E-3</c:v>
                </c:pt>
                <c:pt idx="2">
                  <c:v>2.1969680533264618E-3</c:v>
                </c:pt>
                <c:pt idx="3">
                  <c:v>3.1212123505997003E-3</c:v>
                </c:pt>
                <c:pt idx="4">
                  <c:v>3.912118799758682E-3</c:v>
                </c:pt>
                <c:pt idx="5">
                  <c:v>5.8333345434882361E-3</c:v>
                </c:pt>
                <c:pt idx="6">
                  <c:v>9.2454514268672794E-3</c:v>
                </c:pt>
                <c:pt idx="7">
                  <c:v>1.5078784615704513E-2</c:v>
                </c:pt>
                <c:pt idx="8">
                  <c:v>2.443636953830719E-2</c:v>
                </c:pt>
                <c:pt idx="9">
                  <c:v>3.8351517735105575E-2</c:v>
                </c:pt>
                <c:pt idx="10">
                  <c:v>5.8545456691221756E-2</c:v>
                </c:pt>
                <c:pt idx="11">
                  <c:v>8.522727566234993E-2</c:v>
                </c:pt>
                <c:pt idx="12">
                  <c:v>0.11739090243072221</c:v>
                </c:pt>
                <c:pt idx="13">
                  <c:v>0.15457272055474194</c:v>
                </c:pt>
                <c:pt idx="14">
                  <c:v>0.19688182437058652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05-FA49-8441-B2207B8447D5}"/>
            </c:ext>
          </c:extLst>
        </c:ser>
        <c:ser>
          <c:idx val="1"/>
          <c:order val="1"/>
          <c:tx>
            <c:v>Model: E10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'1077V24-V0,06'!$B$54:$P$54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'1077V24-V0,06'!$B$102:$P$102</c:f>
              <c:numCache>
                <c:formatCode>General</c:formatCode>
                <c:ptCount val="15"/>
                <c:pt idx="0">
                  <c:v>1.039599462722443E-3</c:v>
                </c:pt>
                <c:pt idx="1">
                  <c:v>1.5306247213314637E-3</c:v>
                </c:pt>
                <c:pt idx="2">
                  <c:v>2.2535718048716565E-3</c:v>
                </c:pt>
                <c:pt idx="3">
                  <c:v>3.3179823956421689E-3</c:v>
                </c:pt>
                <c:pt idx="4">
                  <c:v>4.8851370761706526E-3</c:v>
                </c:pt>
                <c:pt idx="5">
                  <c:v>7.1924927282076062E-3</c:v>
                </c:pt>
                <c:pt idx="6">
                  <c:v>1.0589662242573303E-2</c:v>
                </c:pt>
                <c:pt idx="7">
                  <c:v>1.5591388222331718E-2</c:v>
                </c:pt>
                <c:pt idx="8">
                  <c:v>2.2955537309034397E-2</c:v>
                </c:pt>
                <c:pt idx="9">
                  <c:v>3.3797932912202393E-2</c:v>
                </c:pt>
                <c:pt idx="10">
                  <c:v>4.9761425914790915E-2</c:v>
                </c:pt>
                <c:pt idx="11">
                  <c:v>7.3264821121034288E-2</c:v>
                </c:pt>
                <c:pt idx="12">
                  <c:v>0.10786937703691614</c:v>
                </c:pt>
                <c:pt idx="13">
                  <c:v>0.15881841140524844</c:v>
                </c:pt>
                <c:pt idx="14">
                  <c:v>0.23383177407851918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05-FA49-8441-B2207B844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011055"/>
        <c:axId val="430298223"/>
      </c:scatterChart>
      <c:valAx>
        <c:axId val="4110110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0298223"/>
        <c:crosses val="autoZero"/>
        <c:crossBetween val="midCat"/>
      </c:valAx>
      <c:valAx>
        <c:axId val="43029822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1011055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F2 (-W1)</c:v>
          </c:tx>
          <c:spPr>
            <a:ln w="28575">
              <a:noFill/>
            </a:ln>
          </c:spPr>
          <c:marker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'1077V24-V0,03'!$B$54:$AF$54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'1077V24-V0,03'!$B$94:$AF$94</c:f>
              <c:numCache>
                <c:formatCode>General</c:formatCode>
                <c:ptCount val="31"/>
                <c:pt idx="0">
                  <c:v>6.6666553417842056E-4</c:v>
                </c:pt>
                <c:pt idx="1">
                  <c:v>6.9999943176905777E-4</c:v>
                </c:pt>
                <c:pt idx="2">
                  <c:v>8.0000112454096939E-4</c:v>
                </c:pt>
                <c:pt idx="3">
                  <c:v>8.333350221316066E-4</c:v>
                </c:pt>
                <c:pt idx="4">
                  <c:v>1.4333352446556091E-3</c:v>
                </c:pt>
                <c:pt idx="5">
                  <c:v>2.3666669925053868E-3</c:v>
                </c:pt>
                <c:pt idx="6">
                  <c:v>3.5999963680903163E-3</c:v>
                </c:pt>
                <c:pt idx="7">
                  <c:v>5.6666682163874355E-3</c:v>
                </c:pt>
                <c:pt idx="8">
                  <c:v>9.1000000635782924E-3</c:v>
                </c:pt>
                <c:pt idx="9">
                  <c:v>1.4799999694029495E-2</c:v>
                </c:pt>
                <c:pt idx="10">
                  <c:v>2.3599999646345779E-2</c:v>
                </c:pt>
                <c:pt idx="11">
                  <c:v>3.6899998784065247E-2</c:v>
                </c:pt>
                <c:pt idx="12">
                  <c:v>5.503333856662114E-2</c:v>
                </c:pt>
                <c:pt idx="13">
                  <c:v>7.9533336063226059E-2</c:v>
                </c:pt>
                <c:pt idx="14">
                  <c:v>0.10919999579588573</c:v>
                </c:pt>
                <c:pt idx="15">
                  <c:v>0.14429999391237897</c:v>
                </c:pt>
                <c:pt idx="16">
                  <c:v>0.18556665877501172</c:v>
                </c:pt>
                <c:pt idx="17">
                  <c:v>0.23076667388280231</c:v>
                </c:pt>
                <c:pt idx="18">
                  <c:v>0.27353331943353015</c:v>
                </c:pt>
                <c:pt idx="19">
                  <c:v>0.31026668101549149</c:v>
                </c:pt>
                <c:pt idx="20">
                  <c:v>0.32666667426625889</c:v>
                </c:pt>
                <c:pt idx="21">
                  <c:v>0.34306666751702625</c:v>
                </c:pt>
                <c:pt idx="22">
                  <c:v>0.35090001424153644</c:v>
                </c:pt>
                <c:pt idx="23">
                  <c:v>0.35240000486373901</c:v>
                </c:pt>
                <c:pt idx="24">
                  <c:v>0.35053332149982452</c:v>
                </c:pt>
                <c:pt idx="25">
                  <c:v>0.35123333334922791</c:v>
                </c:pt>
                <c:pt idx="26">
                  <c:v>0.35263332724571228</c:v>
                </c:pt>
                <c:pt idx="27">
                  <c:v>0.35770000517368317</c:v>
                </c:pt>
                <c:pt idx="28">
                  <c:v>0.36509999632835388</c:v>
                </c:pt>
                <c:pt idx="29">
                  <c:v>0.37129999448855716</c:v>
                </c:pt>
                <c:pt idx="30">
                  <c:v>0.38410000254710513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1D-C34E-94F9-167FFBCBF5EF}"/>
            </c:ext>
          </c:extLst>
        </c:ser>
        <c:ser>
          <c:idx val="1"/>
          <c:order val="1"/>
          <c:tx>
            <c:v>F3 (-W1)</c:v>
          </c:tx>
          <c:spPr>
            <a:ln w="28575">
              <a:noFill/>
            </a:ln>
          </c:spPr>
          <c:marker>
            <c:spPr>
              <a:solidFill>
                <a:srgbClr val="00808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'1077V24-V0,03'!$B$54:$AF$54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'1077V24-V0,03'!$B$95:$AF$95</c:f>
              <c:numCache>
                <c:formatCode>General</c:formatCode>
                <c:ptCount val="31"/>
                <c:pt idx="0">
                  <c:v>1.7117632224279283E-3</c:v>
                </c:pt>
                <c:pt idx="1">
                  <c:v>1.8470616025083181E-3</c:v>
                </c:pt>
                <c:pt idx="2">
                  <c:v>2.3558841032140371E-3</c:v>
                </c:pt>
                <c:pt idx="3">
                  <c:v>2.8764673453920003E-3</c:v>
                </c:pt>
                <c:pt idx="4">
                  <c:v>3.7764738149502763E-3</c:v>
                </c:pt>
                <c:pt idx="5">
                  <c:v>5.5029447026112566E-3</c:v>
                </c:pt>
                <c:pt idx="6">
                  <c:v>8.4147041334825395E-3</c:v>
                </c:pt>
                <c:pt idx="7">
                  <c:v>1.3249996173031187E-2</c:v>
                </c:pt>
                <c:pt idx="8">
                  <c:v>2.1205878871328687E-2</c:v>
                </c:pt>
                <c:pt idx="9">
                  <c:v>3.2823528217918729E-2</c:v>
                </c:pt>
                <c:pt idx="10">
                  <c:v>4.9214699689079738E-2</c:v>
                </c:pt>
                <c:pt idx="11">
                  <c:v>7.269705875831492E-2</c:v>
                </c:pt>
                <c:pt idx="12">
                  <c:v>0.10145588964223862</c:v>
                </c:pt>
                <c:pt idx="13">
                  <c:v>0.13483235546771216</c:v>
                </c:pt>
                <c:pt idx="14">
                  <c:v>0.17244118693120339</c:v>
                </c:pt>
                <c:pt idx="15">
                  <c:v>0.21624412475263372</c:v>
                </c:pt>
                <c:pt idx="16">
                  <c:v>0.2600294149973813</c:v>
                </c:pt>
                <c:pt idx="17">
                  <c:v>0.29727058156448249</c:v>
                </c:pt>
                <c:pt idx="18">
                  <c:v>0.32804411255261479</c:v>
                </c:pt>
                <c:pt idx="19">
                  <c:v>0.3396882346886046</c:v>
                </c:pt>
                <c:pt idx="20">
                  <c:v>0.34312353513258342</c:v>
                </c:pt>
                <c:pt idx="21">
                  <c:v>0.34655883557656231</c:v>
                </c:pt>
                <c:pt idx="22">
                  <c:v>0.34521176644107876</c:v>
                </c:pt>
                <c:pt idx="23">
                  <c:v>0.34512060004122114</c:v>
                </c:pt>
                <c:pt idx="24">
                  <c:v>0.34607940649285035</c:v>
                </c:pt>
                <c:pt idx="25">
                  <c:v>0.35057059806935931</c:v>
                </c:pt>
                <c:pt idx="26">
                  <c:v>0.35649410591405983</c:v>
                </c:pt>
                <c:pt idx="27">
                  <c:v>0.36512351496254697</c:v>
                </c:pt>
                <c:pt idx="28">
                  <c:v>0.37556765951654492</c:v>
                </c:pt>
                <c:pt idx="29">
                  <c:v>0.38710001352078771</c:v>
                </c:pt>
                <c:pt idx="30">
                  <c:v>0.40152059385881705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1D-C34E-94F9-167FFBCBF5EF}"/>
            </c:ext>
          </c:extLst>
        </c:ser>
        <c:ser>
          <c:idx val="2"/>
          <c:order val="2"/>
          <c:tx>
            <c:v>F4 (-W1)</c:v>
          </c:tx>
          <c:spPr>
            <a:ln w="28575">
              <a:noFill/>
            </a:ln>
          </c:spPr>
          <c:marker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'1077V24-V0,03'!$B$54:$AF$54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'1077V24-V0,03'!$B$96:$AF$96</c:f>
              <c:numCache>
                <c:formatCode>General</c:formatCode>
                <c:ptCount val="31"/>
                <c:pt idx="0">
                  <c:v>4.7777783539560137E-3</c:v>
                </c:pt>
                <c:pt idx="1">
                  <c:v>4.4444482773542404E-3</c:v>
                </c:pt>
                <c:pt idx="2">
                  <c:v>4.7444438354836554E-3</c:v>
                </c:pt>
                <c:pt idx="3">
                  <c:v>5.3694479995303745E-3</c:v>
                </c:pt>
                <c:pt idx="4">
                  <c:v>5.6694443855020704E-3</c:v>
                </c:pt>
                <c:pt idx="5">
                  <c:v>6.4888886279529934E-3</c:v>
                </c:pt>
                <c:pt idx="6">
                  <c:v>7.7083365370829854E-3</c:v>
                </c:pt>
                <c:pt idx="7">
                  <c:v>9.6444408926698866E-3</c:v>
                </c:pt>
                <c:pt idx="8">
                  <c:v>1.2994445239504174E-2</c:v>
                </c:pt>
                <c:pt idx="9">
                  <c:v>1.8419447044531509E-2</c:v>
                </c:pt>
                <c:pt idx="10">
                  <c:v>2.7194439950916499E-2</c:v>
                </c:pt>
                <c:pt idx="11">
                  <c:v>4.0277782413694591E-2</c:v>
                </c:pt>
                <c:pt idx="12">
                  <c:v>5.8227770858340799E-2</c:v>
                </c:pt>
                <c:pt idx="13">
                  <c:v>8.2402774236268461E-2</c:v>
                </c:pt>
                <c:pt idx="14">
                  <c:v>0.11131945045457946</c:v>
                </c:pt>
                <c:pt idx="15">
                  <c:v>0.14492221611241501</c:v>
                </c:pt>
                <c:pt idx="16">
                  <c:v>0.1844166585554679</c:v>
                </c:pt>
                <c:pt idx="17">
                  <c:v>0.22894444544282225</c:v>
                </c:pt>
                <c:pt idx="18">
                  <c:v>0.27133332379162312</c:v>
                </c:pt>
                <c:pt idx="19">
                  <c:v>0.30856667790147996</c:v>
                </c:pt>
                <c:pt idx="20">
                  <c:v>0.32789861462596392</c:v>
                </c:pt>
                <c:pt idx="21">
                  <c:v>0.34723055135044789</c:v>
                </c:pt>
                <c:pt idx="22">
                  <c:v>0.35378890381091171</c:v>
                </c:pt>
                <c:pt idx="23">
                  <c:v>0.35614999280207688</c:v>
                </c:pt>
                <c:pt idx="24">
                  <c:v>0.35561110617385971</c:v>
                </c:pt>
                <c:pt idx="25">
                  <c:v>0.35552776956723797</c:v>
                </c:pt>
                <c:pt idx="26">
                  <c:v>0.35592778896292049</c:v>
                </c:pt>
                <c:pt idx="27">
                  <c:v>0.35968055555389988</c:v>
                </c:pt>
                <c:pt idx="28">
                  <c:v>0.36390001140534878</c:v>
                </c:pt>
                <c:pt idx="29">
                  <c:v>0.37053889305227333</c:v>
                </c:pt>
                <c:pt idx="30">
                  <c:v>0.37898890280889141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1D-C34E-94F9-167FFBCBF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246911"/>
        <c:axId val="447248607"/>
      </c:scatterChart>
      <c:valAx>
        <c:axId val="4472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248607"/>
        <c:crosses val="autoZero"/>
        <c:crossBetween val="midCat"/>
      </c:valAx>
      <c:valAx>
        <c:axId val="4472486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7246911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F2</c:v>
          </c:tx>
          <c:spPr>
            <a:ln w="28575">
              <a:noFill/>
            </a:ln>
          </c:spPr>
          <c:xVal>
            <c:numRef>
              <c:f>'1077V24-V0,03'!$B$54:$S$54</c:f>
              <c:numCache>
                <c:formatCode>General</c:formatCode>
                <c:ptCount val="18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</c:numCache>
            </c:numRef>
          </c:xVal>
          <c:yVal>
            <c:numRef>
              <c:f>'1077V24-V0,03'!$B$94:$S$94</c:f>
              <c:numCache>
                <c:formatCode>General</c:formatCode>
                <c:ptCount val="18"/>
                <c:pt idx="0">
                  <c:v>6.6666553417842056E-4</c:v>
                </c:pt>
                <c:pt idx="1">
                  <c:v>6.9999943176905777E-4</c:v>
                </c:pt>
                <c:pt idx="2">
                  <c:v>8.0000112454096939E-4</c:v>
                </c:pt>
                <c:pt idx="3">
                  <c:v>8.333350221316066E-4</c:v>
                </c:pt>
                <c:pt idx="4">
                  <c:v>1.4333352446556091E-3</c:v>
                </c:pt>
                <c:pt idx="5">
                  <c:v>2.3666669925053868E-3</c:v>
                </c:pt>
                <c:pt idx="6">
                  <c:v>3.5999963680903163E-3</c:v>
                </c:pt>
                <c:pt idx="7">
                  <c:v>5.6666682163874355E-3</c:v>
                </c:pt>
                <c:pt idx="8">
                  <c:v>9.1000000635782924E-3</c:v>
                </c:pt>
                <c:pt idx="9">
                  <c:v>1.4799999694029495E-2</c:v>
                </c:pt>
                <c:pt idx="10">
                  <c:v>2.3599999646345779E-2</c:v>
                </c:pt>
                <c:pt idx="11">
                  <c:v>3.6899998784065247E-2</c:v>
                </c:pt>
                <c:pt idx="12">
                  <c:v>5.503333856662114E-2</c:v>
                </c:pt>
                <c:pt idx="13">
                  <c:v>7.9533336063226059E-2</c:v>
                </c:pt>
                <c:pt idx="14">
                  <c:v>0.10919999579588573</c:v>
                </c:pt>
                <c:pt idx="15">
                  <c:v>0.14429999391237897</c:v>
                </c:pt>
                <c:pt idx="16">
                  <c:v>0.18556665877501172</c:v>
                </c:pt>
                <c:pt idx="17">
                  <c:v>0.23076667388280231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DA-3540-BB62-2773A6563CBB}"/>
            </c:ext>
          </c:extLst>
        </c:ser>
        <c:ser>
          <c:idx val="1"/>
          <c:order val="1"/>
          <c:tx>
            <c:v>Model: F2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'1077V24-V0,03'!$B$54:$S$54</c:f>
              <c:numCache>
                <c:formatCode>General</c:formatCode>
                <c:ptCount val="18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</c:numCache>
            </c:numRef>
          </c:xVal>
          <c:yVal>
            <c:numRef>
              <c:f>'1077V24-V0,03'!$B$100:$S$100</c:f>
              <c:numCache>
                <c:formatCode>General</c:formatCode>
                <c:ptCount val="18"/>
                <c:pt idx="0">
                  <c:v>4.0295656753045774E-4</c:v>
                </c:pt>
                <c:pt idx="1">
                  <c:v>5.9572912417962191E-4</c:v>
                </c:pt>
                <c:pt idx="2">
                  <c:v>8.8072317959923688E-4</c:v>
                </c:pt>
                <c:pt idx="3">
                  <c:v>1.3020570719143012E-3</c:v>
                </c:pt>
                <c:pt idx="4">
                  <c:v>1.9249551479881505E-3</c:v>
                </c:pt>
                <c:pt idx="5">
                  <c:v>2.8458447803046596E-3</c:v>
                </c:pt>
                <c:pt idx="6">
                  <c:v>4.2072837499885132E-3</c:v>
                </c:pt>
                <c:pt idx="7">
                  <c:v>6.2200288207645673E-3</c:v>
                </c:pt>
                <c:pt idx="8">
                  <c:v>9.1956618165455369E-3</c:v>
                </c:pt>
                <c:pt idx="9">
                  <c:v>1.3594823863513765E-2</c:v>
                </c:pt>
                <c:pt idx="10">
                  <c:v>2.0098524670342097E-2</c:v>
                </c:pt>
                <c:pt idx="11">
                  <c:v>2.9713565837986785E-2</c:v>
                </c:pt>
                <c:pt idx="12">
                  <c:v>4.3928398192888241E-2</c:v>
                </c:pt>
                <c:pt idx="13">
                  <c:v>6.494354054692246E-2</c:v>
                </c:pt>
                <c:pt idx="14">
                  <c:v>9.6012229725521314E-2</c:v>
                </c:pt>
                <c:pt idx="15">
                  <c:v>0.14194403599240057</c:v>
                </c:pt>
                <c:pt idx="16">
                  <c:v>0.2098494057622774</c:v>
                </c:pt>
                <c:pt idx="17">
                  <c:v>0.31024039010091681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DA-3540-BB62-2773A6563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287679"/>
        <c:axId val="447289407"/>
      </c:scatterChart>
      <c:valAx>
        <c:axId val="4472876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289407"/>
        <c:crosses val="autoZero"/>
        <c:crossBetween val="midCat"/>
      </c:valAx>
      <c:valAx>
        <c:axId val="447289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728767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F3</c:v>
          </c:tx>
          <c:spPr>
            <a:ln w="28575">
              <a:noFill/>
            </a:ln>
          </c:spPr>
          <c:xVal>
            <c:numRef>
              <c:f>'1077V24-V0,03'!$B$54:$Q$54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'1077V24-V0,03'!$B$95:$Q$95</c:f>
              <c:numCache>
                <c:formatCode>General</c:formatCode>
                <c:ptCount val="16"/>
                <c:pt idx="0">
                  <c:v>1.7117632224279283E-3</c:v>
                </c:pt>
                <c:pt idx="1">
                  <c:v>1.8470616025083181E-3</c:v>
                </c:pt>
                <c:pt idx="2">
                  <c:v>2.3558841032140371E-3</c:v>
                </c:pt>
                <c:pt idx="3">
                  <c:v>2.8764673453920003E-3</c:v>
                </c:pt>
                <c:pt idx="4">
                  <c:v>3.7764738149502763E-3</c:v>
                </c:pt>
                <c:pt idx="5">
                  <c:v>5.5029447026112566E-3</c:v>
                </c:pt>
                <c:pt idx="6">
                  <c:v>8.4147041334825395E-3</c:v>
                </c:pt>
                <c:pt idx="7">
                  <c:v>1.3249996173031187E-2</c:v>
                </c:pt>
                <c:pt idx="8">
                  <c:v>2.1205878871328687E-2</c:v>
                </c:pt>
                <c:pt idx="9">
                  <c:v>3.2823528217918729E-2</c:v>
                </c:pt>
                <c:pt idx="10">
                  <c:v>4.9214699689079738E-2</c:v>
                </c:pt>
                <c:pt idx="11">
                  <c:v>7.269705875831492E-2</c:v>
                </c:pt>
                <c:pt idx="12">
                  <c:v>0.10145588964223862</c:v>
                </c:pt>
                <c:pt idx="13">
                  <c:v>0.13483235546771216</c:v>
                </c:pt>
                <c:pt idx="14">
                  <c:v>0.17244118693120339</c:v>
                </c:pt>
                <c:pt idx="15">
                  <c:v>0.21624412475263372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59-F64C-9354-37CFFDA92405}"/>
            </c:ext>
          </c:extLst>
        </c:ser>
        <c:ser>
          <c:idx val="1"/>
          <c:order val="1"/>
          <c:tx>
            <c:v>Model: F3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'1077V24-V0,03'!$B$54:$Q$54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'1077V24-V0,03'!$B$101:$Q$101</c:f>
              <c:numCache>
                <c:formatCode>General</c:formatCode>
                <c:ptCount val="16"/>
                <c:pt idx="0">
                  <c:v>1.1668847357225564E-3</c:v>
                </c:pt>
                <c:pt idx="1">
                  <c:v>1.6714335008228311E-3</c:v>
                </c:pt>
                <c:pt idx="2">
                  <c:v>2.394143879123554E-3</c:v>
                </c:pt>
                <c:pt idx="3">
                  <c:v>3.4293466722564829E-3</c:v>
                </c:pt>
                <c:pt idx="4">
                  <c:v>4.9121603346670446E-3</c:v>
                </c:pt>
                <c:pt idx="5">
                  <c:v>7.0361271284362006E-3</c:v>
                </c:pt>
                <c:pt idx="6">
                  <c:v>1.0078474967139189E-2</c:v>
                </c:pt>
                <c:pt idx="7">
                  <c:v>1.4436302216987759E-2</c:v>
                </c:pt>
                <c:pt idx="8">
                  <c:v>2.0678408427834079E-2</c:v>
                </c:pt>
                <c:pt idx="9">
                  <c:v>2.9619536130599262E-2</c:v>
                </c:pt>
                <c:pt idx="10">
                  <c:v>4.2426714012040075E-2</c:v>
                </c:pt>
                <c:pt idx="11">
                  <c:v>6.0771581766936311E-2</c:v>
                </c:pt>
                <c:pt idx="12">
                  <c:v>8.7048578624480663E-2</c:v>
                </c:pt>
                <c:pt idx="13">
                  <c:v>0.12468747431328195</c:v>
                </c:pt>
                <c:pt idx="14">
                  <c:v>0.17860103514950545</c:v>
                </c:pt>
                <c:pt idx="15">
                  <c:v>0.25582625626315225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59-F64C-9354-37CFFDA92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323231"/>
        <c:axId val="447324959"/>
      </c:scatterChart>
      <c:valAx>
        <c:axId val="4473232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324959"/>
        <c:crosses val="autoZero"/>
        <c:crossBetween val="midCat"/>
      </c:valAx>
      <c:valAx>
        <c:axId val="44732495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7323231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F4</c:v>
          </c:tx>
          <c:spPr>
            <a:ln w="28575">
              <a:noFill/>
            </a:ln>
          </c:spPr>
          <c:xVal>
            <c:numRef>
              <c:f>'1077V24-V0,03'!$B$54:$W$54</c:f>
              <c:numCache>
                <c:formatCode>General</c:formatCode>
                <c:ptCount val="22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</c:numCache>
            </c:numRef>
          </c:xVal>
          <c:yVal>
            <c:numRef>
              <c:f>'1077V24-V0,03'!$B$96:$W$96</c:f>
              <c:numCache>
                <c:formatCode>General</c:formatCode>
                <c:ptCount val="22"/>
                <c:pt idx="0">
                  <c:v>4.7777783539560137E-3</c:v>
                </c:pt>
                <c:pt idx="1">
                  <c:v>4.4444482773542404E-3</c:v>
                </c:pt>
                <c:pt idx="2">
                  <c:v>4.7444438354836554E-3</c:v>
                </c:pt>
                <c:pt idx="3">
                  <c:v>5.3694479995303745E-3</c:v>
                </c:pt>
                <c:pt idx="4">
                  <c:v>5.6694443855020704E-3</c:v>
                </c:pt>
                <c:pt idx="5">
                  <c:v>6.4888886279529934E-3</c:v>
                </c:pt>
                <c:pt idx="6">
                  <c:v>7.7083365370829854E-3</c:v>
                </c:pt>
                <c:pt idx="7">
                  <c:v>9.6444408926698866E-3</c:v>
                </c:pt>
                <c:pt idx="8">
                  <c:v>1.2994445239504174E-2</c:v>
                </c:pt>
                <c:pt idx="9">
                  <c:v>1.8419447044531509E-2</c:v>
                </c:pt>
                <c:pt idx="10">
                  <c:v>2.7194439950916499E-2</c:v>
                </c:pt>
                <c:pt idx="11">
                  <c:v>4.0277782413694591E-2</c:v>
                </c:pt>
                <c:pt idx="12">
                  <c:v>5.8227770858340799E-2</c:v>
                </c:pt>
                <c:pt idx="13">
                  <c:v>8.2402774236268461E-2</c:v>
                </c:pt>
                <c:pt idx="14">
                  <c:v>0.11131945045457946</c:v>
                </c:pt>
                <c:pt idx="15">
                  <c:v>0.14492221611241501</c:v>
                </c:pt>
                <c:pt idx="16">
                  <c:v>0.1844166585554679</c:v>
                </c:pt>
                <c:pt idx="17">
                  <c:v>0.22894444544282225</c:v>
                </c:pt>
                <c:pt idx="18">
                  <c:v>0.27133332379162312</c:v>
                </c:pt>
                <c:pt idx="19">
                  <c:v>0.30856667790147996</c:v>
                </c:pt>
                <c:pt idx="20">
                  <c:v>0.32789861462596392</c:v>
                </c:pt>
                <c:pt idx="21">
                  <c:v>0.34723055135044789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C5-AB46-BB10-AC9534ED5C4A}"/>
            </c:ext>
          </c:extLst>
        </c:ser>
        <c:ser>
          <c:idx val="1"/>
          <c:order val="1"/>
          <c:tx>
            <c:v>Model: F4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'1077V24-V0,03'!$B$54:$W$54</c:f>
              <c:numCache>
                <c:formatCode>General</c:formatCode>
                <c:ptCount val="22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</c:numCache>
            </c:numRef>
          </c:xVal>
          <c:yVal>
            <c:numRef>
              <c:f>'1077V24-V0,03'!$B$102:$W$102</c:f>
              <c:numCache>
                <c:formatCode>General</c:formatCode>
                <c:ptCount val="22"/>
                <c:pt idx="0">
                  <c:v>2.5609863578621985E-3</c:v>
                </c:pt>
                <c:pt idx="1">
                  <c:v>3.2889202992821835E-3</c:v>
                </c:pt>
                <c:pt idx="2">
                  <c:v>4.2237619508680123E-3</c:v>
                </c:pt>
                <c:pt idx="3">
                  <c:v>5.4243226938317807E-3</c:v>
                </c:pt>
                <c:pt idx="4">
                  <c:v>6.9661304375289853E-3</c:v>
                </c:pt>
                <c:pt idx="5">
                  <c:v>8.9461811200594269E-3</c:v>
                </c:pt>
                <c:pt idx="6">
                  <c:v>1.1489040773875796E-2</c:v>
                </c:pt>
                <c:pt idx="7">
                  <c:v>1.4754682040564775E-2</c:v>
                </c:pt>
                <c:pt idx="8">
                  <c:v>1.8948548134077529E-2</c:v>
                </c:pt>
                <c:pt idx="9">
                  <c:v>2.4334477381642662E-2</c:v>
                </c:pt>
                <c:pt idx="10">
                  <c:v>3.1251301432045422E-2</c:v>
                </c:pt>
                <c:pt idx="11">
                  <c:v>4.01341613333073E-2</c:v>
                </c:pt>
                <c:pt idx="12">
                  <c:v>5.1541882485452536E-2</c:v>
                </c:pt>
                <c:pt idx="13">
                  <c:v>6.619213064107346E-2</c:v>
                </c:pt>
                <c:pt idx="14">
                  <c:v>8.5006560636227607E-2</c:v>
                </c:pt>
                <c:pt idx="15">
                  <c:v>0.1091687981821317</c:v>
                </c:pt>
                <c:pt idx="16">
                  <c:v>0.14019890238274069</c:v>
                </c:pt>
                <c:pt idx="17">
                  <c:v>0.18004899345445402</c:v>
                </c:pt>
                <c:pt idx="18">
                  <c:v>0.23122606163821724</c:v>
                </c:pt>
                <c:pt idx="19">
                  <c:v>0.29694968327743304</c:v>
                </c:pt>
                <c:pt idx="20">
                  <c:v>0.38135456606329787</c:v>
                </c:pt>
                <c:pt idx="21">
                  <c:v>0.48975066567575093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C5-AB46-BB10-AC9534ED5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553887"/>
        <c:axId val="428555583"/>
      </c:scatterChart>
      <c:valAx>
        <c:axId val="4285538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555583"/>
        <c:crosses val="autoZero"/>
        <c:crossBetween val="midCat"/>
      </c:valAx>
      <c:valAx>
        <c:axId val="4285555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55388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C11 (-W1)</c:v>
          </c:tx>
          <c:spPr>
            <a:ln w="28575">
              <a:noFill/>
            </a:ln>
          </c:spPr>
          <c:marker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'1077V16-BHI'!$B$54:$AF$54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'1077V16-BHI'!$B$93:$AF$93</c:f>
              <c:numCache>
                <c:formatCode>General</c:formatCode>
                <c:ptCount val="31"/>
                <c:pt idx="0">
                  <c:v>2.5628560355731439E-3</c:v>
                </c:pt>
                <c:pt idx="1">
                  <c:v>2.7000031300953437E-3</c:v>
                </c:pt>
                <c:pt idx="2">
                  <c:v>3.0085702027593392E-3</c:v>
                </c:pt>
                <c:pt idx="3">
                  <c:v>3.4285709261894226E-3</c:v>
                </c:pt>
                <c:pt idx="4">
                  <c:v>4.2285682899611404E-3</c:v>
                </c:pt>
                <c:pt idx="5">
                  <c:v>5.3542875817843838E-3</c:v>
                </c:pt>
                <c:pt idx="6">
                  <c:v>7.4657123003687154E-3</c:v>
                </c:pt>
                <c:pt idx="7">
                  <c:v>1.1499997121947159E-2</c:v>
                </c:pt>
                <c:pt idx="8">
                  <c:v>1.7954287571566446E-2</c:v>
                </c:pt>
                <c:pt idx="9">
                  <c:v>2.7971435444695603E-2</c:v>
                </c:pt>
                <c:pt idx="10">
                  <c:v>4.3262855282851634E-2</c:v>
                </c:pt>
                <c:pt idx="11">
                  <c:v>6.4445709543568749E-2</c:v>
                </c:pt>
                <c:pt idx="12">
                  <c:v>9.2802853030817853E-2</c:v>
                </c:pt>
                <c:pt idx="13">
                  <c:v>0.12757999982152668</c:v>
                </c:pt>
                <c:pt idx="14">
                  <c:v>0.1695885643362999</c:v>
                </c:pt>
                <c:pt idx="15">
                  <c:v>0.21698284787791117</c:v>
                </c:pt>
                <c:pt idx="16">
                  <c:v>0.26407714102949414</c:v>
                </c:pt>
                <c:pt idx="17">
                  <c:v>0.31101141699722834</c:v>
                </c:pt>
                <c:pt idx="18">
                  <c:v>0.34608855971268243</c:v>
                </c:pt>
                <c:pt idx="19">
                  <c:v>0.37653144172259739</c:v>
                </c:pt>
                <c:pt idx="20">
                  <c:v>0.38120857477188108</c:v>
                </c:pt>
                <c:pt idx="21">
                  <c:v>0.38588570782116483</c:v>
                </c:pt>
                <c:pt idx="22">
                  <c:v>0.38693713694810866</c:v>
                </c:pt>
                <c:pt idx="23">
                  <c:v>0.38080570633922306</c:v>
                </c:pt>
                <c:pt idx="24">
                  <c:v>0.37507142424583434</c:v>
                </c:pt>
                <c:pt idx="25">
                  <c:v>0.37485429133687698</c:v>
                </c:pt>
                <c:pt idx="26">
                  <c:v>0.37507142041410718</c:v>
                </c:pt>
                <c:pt idx="27">
                  <c:v>0.376911421758788</c:v>
                </c:pt>
                <c:pt idx="28">
                  <c:v>0.38275428754942759</c:v>
                </c:pt>
                <c:pt idx="29">
                  <c:v>0.39458856454917363</c:v>
                </c:pt>
                <c:pt idx="30">
                  <c:v>0.39952570263828552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E5-374A-BA75-558B5A49B94D}"/>
            </c:ext>
          </c:extLst>
        </c:ser>
        <c:ser>
          <c:idx val="1"/>
          <c:order val="1"/>
          <c:tx>
            <c:v>D11 (-W1)</c:v>
          </c:tx>
          <c:spPr>
            <a:ln w="28575">
              <a:noFill/>
            </a:ln>
          </c:spPr>
          <c:marker>
            <c:spPr>
              <a:solidFill>
                <a:srgbClr val="00808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'1077V16-BHI'!$B$54:$AF$54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'1077V16-BHI'!$B$94:$AF$94</c:f>
              <c:numCache>
                <c:formatCode>General</c:formatCode>
                <c:ptCount val="31"/>
                <c:pt idx="0">
                  <c:v>5.4777753021982012E-3</c:v>
                </c:pt>
                <c:pt idx="1">
                  <c:v>6.1444472521543503E-3</c:v>
                </c:pt>
                <c:pt idx="2">
                  <c:v>6.3444411175118537E-3</c:v>
                </c:pt>
                <c:pt idx="3">
                  <c:v>7.0694469743304844E-3</c:v>
                </c:pt>
                <c:pt idx="4">
                  <c:v>8.6694430145952406E-3</c:v>
                </c:pt>
                <c:pt idx="5">
                  <c:v>1.1688887245125235E-2</c:v>
                </c:pt>
                <c:pt idx="6">
                  <c:v>1.7208333437641457E-2</c:v>
                </c:pt>
                <c:pt idx="7">
                  <c:v>2.5744445208046168E-2</c:v>
                </c:pt>
                <c:pt idx="8">
                  <c:v>3.8894444083174065E-2</c:v>
                </c:pt>
                <c:pt idx="9">
                  <c:v>5.7819450894991561E-2</c:v>
                </c:pt>
                <c:pt idx="10">
                  <c:v>8.4794446412059993E-2</c:v>
                </c:pt>
                <c:pt idx="11">
                  <c:v>0.1206777724954817</c:v>
                </c:pt>
                <c:pt idx="12">
                  <c:v>0.159727790289455</c:v>
                </c:pt>
                <c:pt idx="13">
                  <c:v>0.20640278711087173</c:v>
                </c:pt>
                <c:pt idx="14">
                  <c:v>0.25811944694982636</c:v>
                </c:pt>
                <c:pt idx="15">
                  <c:v>0.30592222946385544</c:v>
                </c:pt>
                <c:pt idx="16">
                  <c:v>0.35171667424341041</c:v>
                </c:pt>
                <c:pt idx="17">
                  <c:v>0.3935444303270843</c:v>
                </c:pt>
                <c:pt idx="18">
                  <c:v>0.42093335278332233</c:v>
                </c:pt>
                <c:pt idx="19">
                  <c:v>0.4289666596386168</c:v>
                </c:pt>
                <c:pt idx="20">
                  <c:v>0.44149860046390033</c:v>
                </c:pt>
                <c:pt idx="21">
                  <c:v>0.45403054128918385</c:v>
                </c:pt>
                <c:pt idx="22">
                  <c:v>0.46838890657656723</c:v>
                </c:pt>
                <c:pt idx="23">
                  <c:v>0.4715499793075853</c:v>
                </c:pt>
                <c:pt idx="24">
                  <c:v>0.47391109706626999</c:v>
                </c:pt>
                <c:pt idx="25">
                  <c:v>0.47712780141996014</c:v>
                </c:pt>
                <c:pt idx="26">
                  <c:v>0.48122774933775264</c:v>
                </c:pt>
                <c:pt idx="27">
                  <c:v>0.48518057891892064</c:v>
                </c:pt>
                <c:pt idx="28">
                  <c:v>0.48889998160302639</c:v>
                </c:pt>
                <c:pt idx="29">
                  <c:v>0.49673891336553627</c:v>
                </c:pt>
                <c:pt idx="30">
                  <c:v>0.49928886795209515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E5-374A-BA75-558B5A49B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363119"/>
        <c:axId val="447364847"/>
      </c:scatterChart>
      <c:valAx>
        <c:axId val="4473631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364847"/>
        <c:crosses val="autoZero"/>
        <c:crossBetween val="midCat"/>
      </c:valAx>
      <c:valAx>
        <c:axId val="4473648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736311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C11</c:v>
          </c:tx>
          <c:spPr>
            <a:ln w="28575">
              <a:noFill/>
            </a:ln>
          </c:spPr>
          <c:xVal>
            <c:numRef>
              <c:f>'1077V16-BHI'!$B$54:$S$54</c:f>
              <c:numCache>
                <c:formatCode>General</c:formatCode>
                <c:ptCount val="18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</c:numCache>
            </c:numRef>
          </c:xVal>
          <c:yVal>
            <c:numRef>
              <c:f>'1077V16-BHI'!$B$93:$S$93</c:f>
              <c:numCache>
                <c:formatCode>General</c:formatCode>
                <c:ptCount val="18"/>
                <c:pt idx="0">
                  <c:v>2.5628560355731439E-3</c:v>
                </c:pt>
                <c:pt idx="1">
                  <c:v>2.7000031300953437E-3</c:v>
                </c:pt>
                <c:pt idx="2">
                  <c:v>3.0085702027593392E-3</c:v>
                </c:pt>
                <c:pt idx="3">
                  <c:v>3.4285709261894226E-3</c:v>
                </c:pt>
                <c:pt idx="4">
                  <c:v>4.2285682899611404E-3</c:v>
                </c:pt>
                <c:pt idx="5">
                  <c:v>5.3542875817843838E-3</c:v>
                </c:pt>
                <c:pt idx="6">
                  <c:v>7.4657123003687154E-3</c:v>
                </c:pt>
                <c:pt idx="7">
                  <c:v>1.1499997121947159E-2</c:v>
                </c:pt>
                <c:pt idx="8">
                  <c:v>1.7954287571566446E-2</c:v>
                </c:pt>
                <c:pt idx="9">
                  <c:v>2.7971435444695603E-2</c:v>
                </c:pt>
                <c:pt idx="10">
                  <c:v>4.3262855282851634E-2</c:v>
                </c:pt>
                <c:pt idx="11">
                  <c:v>6.4445709543568749E-2</c:v>
                </c:pt>
                <c:pt idx="12">
                  <c:v>9.2802853030817853E-2</c:v>
                </c:pt>
                <c:pt idx="13">
                  <c:v>0.12757999982152668</c:v>
                </c:pt>
                <c:pt idx="14">
                  <c:v>0.1695885643362999</c:v>
                </c:pt>
                <c:pt idx="15">
                  <c:v>0.21698284787791117</c:v>
                </c:pt>
                <c:pt idx="16">
                  <c:v>0.26407714102949414</c:v>
                </c:pt>
                <c:pt idx="17">
                  <c:v>0.31101141699722834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55-5B4D-9343-F6C43B4E441A}"/>
            </c:ext>
          </c:extLst>
        </c:ser>
        <c:ser>
          <c:idx val="1"/>
          <c:order val="1"/>
          <c:tx>
            <c:v>Model: C11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'1077V16-BHI'!$B$54:$S$54</c:f>
              <c:numCache>
                <c:formatCode>General</c:formatCode>
                <c:ptCount val="18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</c:numCache>
            </c:numRef>
          </c:xVal>
          <c:yVal>
            <c:numRef>
              <c:f>'1077V16-BHI'!$B$97:$S$97</c:f>
              <c:numCache>
                <c:formatCode>General</c:formatCode>
                <c:ptCount val="18"/>
                <c:pt idx="0">
                  <c:v>1.5181280790167034E-3</c:v>
                </c:pt>
                <c:pt idx="1">
                  <c:v>2.1006060836657142E-3</c:v>
                </c:pt>
                <c:pt idx="2">
                  <c:v>2.9065702556476201E-3</c:v>
                </c:pt>
                <c:pt idx="3">
                  <c:v>4.0217681538238809E-3</c:v>
                </c:pt>
                <c:pt idx="4">
                  <c:v>5.5648471086098134E-3</c:v>
                </c:pt>
                <c:pt idx="5">
                  <c:v>7.6999772631744581E-3</c:v>
                </c:pt>
                <c:pt idx="6">
                  <c:v>1.0654317844900346E-2</c:v>
                </c:pt>
                <c:pt idx="7">
                  <c:v>1.474218492605827E-2</c:v>
                </c:pt>
                <c:pt idx="8">
                  <c:v>2.0398491912659151E-2</c:v>
                </c:pt>
                <c:pt idx="9">
                  <c:v>2.8225020537852932E-2</c:v>
                </c:pt>
                <c:pt idx="10">
                  <c:v>3.9054445190030158E-2</c:v>
                </c:pt>
                <c:pt idx="11">
                  <c:v>5.4038922205762015E-2</c:v>
                </c:pt>
                <c:pt idx="12">
                  <c:v>7.4772669255736099E-2</c:v>
                </c:pt>
                <c:pt idx="13">
                  <c:v>0.10346157620130243</c:v>
                </c:pt>
                <c:pt idx="14">
                  <c:v>0.14315789253754294</c:v>
                </c:pt>
                <c:pt idx="15">
                  <c:v>0.1980849601200326</c:v>
                </c:pt>
                <c:pt idx="16">
                  <c:v>0.27408653990533471</c:v>
                </c:pt>
                <c:pt idx="17">
                  <c:v>0.37924853715171764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55-5B4D-9343-F6C43B4E44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420127"/>
        <c:axId val="428410351"/>
      </c:scatterChart>
      <c:valAx>
        <c:axId val="4284201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410351"/>
        <c:crosses val="autoZero"/>
        <c:crossBetween val="midCat"/>
      </c:valAx>
      <c:valAx>
        <c:axId val="42841035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42012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D11</c:v>
          </c:tx>
          <c:spPr>
            <a:ln w="28575">
              <a:noFill/>
            </a:ln>
          </c:spPr>
          <c:xVal>
            <c:numRef>
              <c:f>'1077V16-BHI'!$B$54:$R$54</c:f>
              <c:numCache>
                <c:formatCode>General</c:formatCode>
                <c:ptCount val="17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</c:numCache>
            </c:numRef>
          </c:xVal>
          <c:yVal>
            <c:numRef>
              <c:f>'1077V16-BHI'!$B$94:$R$94</c:f>
              <c:numCache>
                <c:formatCode>General</c:formatCode>
                <c:ptCount val="17"/>
                <c:pt idx="0">
                  <c:v>5.4777753021982012E-3</c:v>
                </c:pt>
                <c:pt idx="1">
                  <c:v>6.1444472521543503E-3</c:v>
                </c:pt>
                <c:pt idx="2">
                  <c:v>6.3444411175118537E-3</c:v>
                </c:pt>
                <c:pt idx="3">
                  <c:v>7.0694469743304844E-3</c:v>
                </c:pt>
                <c:pt idx="4">
                  <c:v>8.6694430145952406E-3</c:v>
                </c:pt>
                <c:pt idx="5">
                  <c:v>1.1688887245125235E-2</c:v>
                </c:pt>
                <c:pt idx="6">
                  <c:v>1.7208333437641457E-2</c:v>
                </c:pt>
                <c:pt idx="7">
                  <c:v>2.5744445208046168E-2</c:v>
                </c:pt>
                <c:pt idx="8">
                  <c:v>3.8894444083174065E-2</c:v>
                </c:pt>
                <c:pt idx="9">
                  <c:v>5.7819450894991561E-2</c:v>
                </c:pt>
                <c:pt idx="10">
                  <c:v>8.4794446412059993E-2</c:v>
                </c:pt>
                <c:pt idx="11">
                  <c:v>0.1206777724954817</c:v>
                </c:pt>
                <c:pt idx="12">
                  <c:v>0.159727790289455</c:v>
                </c:pt>
                <c:pt idx="13">
                  <c:v>0.20640278711087173</c:v>
                </c:pt>
                <c:pt idx="14">
                  <c:v>0.25811944694982636</c:v>
                </c:pt>
                <c:pt idx="15">
                  <c:v>0.30592222946385544</c:v>
                </c:pt>
                <c:pt idx="16">
                  <c:v>0.35171667424341041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36-8545-9475-450738781DB7}"/>
            </c:ext>
          </c:extLst>
        </c:ser>
        <c:ser>
          <c:idx val="1"/>
          <c:order val="1"/>
          <c:tx>
            <c:v>Model: D11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'1077V16-BHI'!$B$54:$R$54</c:f>
              <c:numCache>
                <c:formatCode>General</c:formatCode>
                <c:ptCount val="17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</c:numCache>
            </c:numRef>
          </c:xVal>
          <c:yVal>
            <c:numRef>
              <c:f>'1077V16-BHI'!$B$98:$R$98</c:f>
              <c:numCache>
                <c:formatCode>General</c:formatCode>
                <c:ptCount val="17"/>
                <c:pt idx="0">
                  <c:v>3.5885062988135989E-3</c:v>
                </c:pt>
                <c:pt idx="1">
                  <c:v>4.844139349062632E-3</c:v>
                </c:pt>
                <c:pt idx="2">
                  <c:v>6.5391235458873136E-3</c:v>
                </c:pt>
                <c:pt idx="3">
                  <c:v>8.8271896547840213E-3</c:v>
                </c:pt>
                <c:pt idx="4">
                  <c:v>1.1915859465682103E-2</c:v>
                </c:pt>
                <c:pt idx="5">
                  <c:v>1.6085267492687606E-2</c:v>
                </c:pt>
                <c:pt idx="6">
                  <c:v>2.1713568463649364E-2</c:v>
                </c:pt>
                <c:pt idx="7">
                  <c:v>2.931123499437752E-2</c:v>
                </c:pt>
                <c:pt idx="8">
                  <c:v>3.9567356159533162E-2</c:v>
                </c:pt>
                <c:pt idx="9">
                  <c:v>5.3412136123082321E-2</c:v>
                </c:pt>
                <c:pt idx="10">
                  <c:v>7.2101261295501595E-2</c:v>
                </c:pt>
                <c:pt idx="11">
                  <c:v>9.732978790480544E-2</c:v>
                </c:pt>
                <c:pt idx="12">
                  <c:v>0.13138587929508849</c:v>
                </c:pt>
                <c:pt idx="13">
                  <c:v>0.17735833653544078</c:v>
                </c:pt>
                <c:pt idx="14">
                  <c:v>0.23941674483883882</c:v>
                </c:pt>
                <c:pt idx="15">
                  <c:v>0.32318964436031217</c:v>
                </c:pt>
                <c:pt idx="16">
                  <c:v>0.43627502450614164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36-8545-9475-450738781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206703"/>
        <c:axId val="428208399"/>
      </c:scatterChart>
      <c:valAx>
        <c:axId val="428206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208399"/>
        <c:crosses val="autoZero"/>
        <c:crossBetween val="midCat"/>
      </c:valAx>
      <c:valAx>
        <c:axId val="42820839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20670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F5 (-W1)</c:v>
          </c:tx>
          <c:spPr>
            <a:ln w="28575">
              <a:noFill/>
            </a:ln>
          </c:spPr>
          <c:marker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'1077V16-V1'!$B$54:$AF$54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'1077V16-V1'!$B$94:$AF$94</c:f>
              <c:numCache>
                <c:formatCode>General</c:formatCode>
                <c:ptCount val="31"/>
                <c:pt idx="0">
                  <c:v>2.1628567150660943E-3</c:v>
                </c:pt>
                <c:pt idx="1">
                  <c:v>2.3000038095882941E-3</c:v>
                </c:pt>
                <c:pt idx="2">
                  <c:v>2.3085732545171517E-3</c:v>
                </c:pt>
                <c:pt idx="3">
                  <c:v>2.8285682201385498E-3</c:v>
                </c:pt>
                <c:pt idx="4">
                  <c:v>3.8285689694540909E-3</c:v>
                </c:pt>
                <c:pt idx="5">
                  <c:v>5.6542852095195217E-3</c:v>
                </c:pt>
                <c:pt idx="6">
                  <c:v>8.4657143269266377E-3</c:v>
                </c:pt>
                <c:pt idx="7">
                  <c:v>1.2700002534048904E-2</c:v>
                </c:pt>
                <c:pt idx="8">
                  <c:v>1.8554282827036722E-2</c:v>
                </c:pt>
                <c:pt idx="9">
                  <c:v>2.697143341813768E-2</c:v>
                </c:pt>
                <c:pt idx="10">
                  <c:v>3.8162858358451304E-2</c:v>
                </c:pt>
                <c:pt idx="11">
                  <c:v>5.4745709257466454E-2</c:v>
                </c:pt>
                <c:pt idx="12">
                  <c:v>7.8202859205859052E-2</c:v>
                </c:pt>
                <c:pt idx="13">
                  <c:v>0.11018000330243792</c:v>
                </c:pt>
                <c:pt idx="14">
                  <c:v>0.14788856953382493</c:v>
                </c:pt>
                <c:pt idx="15">
                  <c:v>0.19178286833422525</c:v>
                </c:pt>
                <c:pt idx="16">
                  <c:v>0.23897714827741895</c:v>
                </c:pt>
                <c:pt idx="17">
                  <c:v>0.28431142696312495</c:v>
                </c:pt>
                <c:pt idx="18">
                  <c:v>0.31858855613640374</c:v>
                </c:pt>
                <c:pt idx="19">
                  <c:v>0.35493143371173314</c:v>
                </c:pt>
                <c:pt idx="20">
                  <c:v>0.36880857348442075</c:v>
                </c:pt>
                <c:pt idx="21">
                  <c:v>0.38268571325710843</c:v>
                </c:pt>
                <c:pt idx="22">
                  <c:v>0.39363714605569838</c:v>
                </c:pt>
                <c:pt idx="23">
                  <c:v>0.40250573094402042</c:v>
                </c:pt>
                <c:pt idx="24">
                  <c:v>0.41147141456604003</c:v>
                </c:pt>
                <c:pt idx="25">
                  <c:v>0.41335427250180923</c:v>
                </c:pt>
                <c:pt idx="26">
                  <c:v>0.41397143815244947</c:v>
                </c:pt>
                <c:pt idx="27">
                  <c:v>0.41551144931997575</c:v>
                </c:pt>
                <c:pt idx="28">
                  <c:v>0.41775431377547129</c:v>
                </c:pt>
                <c:pt idx="29">
                  <c:v>0.42038855424949101</c:v>
                </c:pt>
                <c:pt idx="30">
                  <c:v>0.42462569539036071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F8-3A4C-9503-7C985D24572F}"/>
            </c:ext>
          </c:extLst>
        </c:ser>
        <c:ser>
          <c:idx val="1"/>
          <c:order val="1"/>
          <c:tx>
            <c:v>F6 (-W1)</c:v>
          </c:tx>
          <c:spPr>
            <a:ln w="28575">
              <a:noFill/>
            </a:ln>
          </c:spPr>
          <c:marker>
            <c:spPr>
              <a:solidFill>
                <a:srgbClr val="00808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'1077V16-V1'!$B$54:$AF$54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'1077V16-V1'!$B$95:$AF$95</c:f>
              <c:numCache>
                <c:formatCode>General</c:formatCode>
                <c:ptCount val="31"/>
                <c:pt idx="0">
                  <c:v>1.6117615296560167E-3</c:v>
                </c:pt>
                <c:pt idx="1">
                  <c:v>2.0470575374715444E-3</c:v>
                </c:pt>
                <c:pt idx="2">
                  <c:v>2.1558807176702138E-3</c:v>
                </c:pt>
                <c:pt idx="3">
                  <c:v>2.676471410428774E-3</c:v>
                </c:pt>
                <c:pt idx="4">
                  <c:v>3.5764704294064531E-3</c:v>
                </c:pt>
                <c:pt idx="5">
                  <c:v>5.5029447026112566E-3</c:v>
                </c:pt>
                <c:pt idx="6">
                  <c:v>8.3147024407106279E-3</c:v>
                </c:pt>
                <c:pt idx="7">
                  <c:v>1.2849996852524137E-2</c:v>
                </c:pt>
                <c:pt idx="8">
                  <c:v>1.8705881255514478E-2</c:v>
                </c:pt>
                <c:pt idx="9">
                  <c:v>2.6623527574188566E-2</c:v>
                </c:pt>
                <c:pt idx="10">
                  <c:v>3.7514710251022793E-2</c:v>
                </c:pt>
                <c:pt idx="11">
                  <c:v>5.3497061571654153E-2</c:v>
                </c:pt>
                <c:pt idx="12">
                  <c:v>7.6655887067317963E-2</c:v>
                </c:pt>
                <c:pt idx="13">
                  <c:v>0.10813235053244759</c:v>
                </c:pt>
                <c:pt idx="14">
                  <c:v>0.14634117725140908</c:v>
                </c:pt>
                <c:pt idx="15">
                  <c:v>0.19124411879216924</c:v>
                </c:pt>
                <c:pt idx="16">
                  <c:v>0.23742941986112032</c:v>
                </c:pt>
                <c:pt idx="17">
                  <c:v>0.28117059215026741</c:v>
                </c:pt>
                <c:pt idx="18">
                  <c:v>0.3184441288604456</c:v>
                </c:pt>
                <c:pt idx="19">
                  <c:v>0.35568823731120897</c:v>
                </c:pt>
                <c:pt idx="20">
                  <c:v>0.36697352907675151</c:v>
                </c:pt>
                <c:pt idx="21">
                  <c:v>0.37825882084229412</c:v>
                </c:pt>
                <c:pt idx="22">
                  <c:v>0.38781177230617581</c:v>
                </c:pt>
                <c:pt idx="23">
                  <c:v>0.39382057505495405</c:v>
                </c:pt>
                <c:pt idx="24">
                  <c:v>0.40137943362488465</c:v>
                </c:pt>
                <c:pt idx="25">
                  <c:v>0.40327061099164629</c:v>
                </c:pt>
                <c:pt idx="26">
                  <c:v>0.40079412565511818</c:v>
                </c:pt>
                <c:pt idx="27">
                  <c:v>0.40312350256478086</c:v>
                </c:pt>
                <c:pt idx="28">
                  <c:v>0.4063676742508131</c:v>
                </c:pt>
                <c:pt idx="29">
                  <c:v>0.40960002186543798</c:v>
                </c:pt>
                <c:pt idx="30">
                  <c:v>0.41222058127031608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F8-3A4C-9503-7C985D24572F}"/>
            </c:ext>
          </c:extLst>
        </c:ser>
        <c:ser>
          <c:idx val="2"/>
          <c:order val="2"/>
          <c:tx>
            <c:v>F7 (-W1)</c:v>
          </c:tx>
          <c:spPr>
            <a:ln w="28575">
              <a:noFill/>
            </a:ln>
          </c:spPr>
          <c:marker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'1077V16-V1'!$B$54:$AF$54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'1077V16-V1'!$B$96:$AF$96</c:f>
              <c:numCache>
                <c:formatCode>General</c:formatCode>
                <c:ptCount val="31"/>
                <c:pt idx="0">
                  <c:v>1.351514323191208E-3</c:v>
                </c:pt>
                <c:pt idx="1">
                  <c:v>1.6878782348199312E-3</c:v>
                </c:pt>
                <c:pt idx="2">
                  <c:v>1.6969670400475007E-3</c:v>
                </c:pt>
                <c:pt idx="3">
                  <c:v>2.5212096445488275E-3</c:v>
                </c:pt>
                <c:pt idx="4">
                  <c:v>3.3121235442884062E-3</c:v>
                </c:pt>
                <c:pt idx="5">
                  <c:v>5.3333335302092749E-3</c:v>
                </c:pt>
                <c:pt idx="6">
                  <c:v>8.4454527858531803E-3</c:v>
                </c:pt>
                <c:pt idx="7">
                  <c:v>1.2978786320397354E-2</c:v>
                </c:pt>
                <c:pt idx="8">
                  <c:v>1.953636109828949E-2</c:v>
                </c:pt>
                <c:pt idx="9">
                  <c:v>2.8751519141775192E-2</c:v>
                </c:pt>
                <c:pt idx="10">
                  <c:v>4.1745455427603287E-2</c:v>
                </c:pt>
                <c:pt idx="11">
                  <c:v>6.0527274780201187E-2</c:v>
                </c:pt>
                <c:pt idx="12">
                  <c:v>8.6890907675930953E-2</c:v>
                </c:pt>
                <c:pt idx="13">
                  <c:v>0.1217727315696803</c:v>
                </c:pt>
                <c:pt idx="14">
                  <c:v>0.16288181507226193</c:v>
                </c:pt>
                <c:pt idx="15">
                  <c:v>0.20978484980084677</c:v>
                </c:pt>
                <c:pt idx="16">
                  <c:v>0.25546668153820618</c:v>
                </c:pt>
                <c:pt idx="17">
                  <c:v>0.29700303348627954</c:v>
                </c:pt>
                <c:pt idx="18">
                  <c:v>0.33117272998347425</c:v>
                </c:pt>
                <c:pt idx="19">
                  <c:v>0.36481514369899576</c:v>
                </c:pt>
                <c:pt idx="20">
                  <c:v>0.37479848245328123</c:v>
                </c:pt>
                <c:pt idx="21">
                  <c:v>0.38478182120756671</c:v>
                </c:pt>
                <c:pt idx="22">
                  <c:v>0.39523940759174753</c:v>
                </c:pt>
                <c:pt idx="23">
                  <c:v>0.40364848844932788</c:v>
                </c:pt>
                <c:pt idx="24">
                  <c:v>0.40991212292151019</c:v>
                </c:pt>
                <c:pt idx="25">
                  <c:v>0.41000606255097821</c:v>
                </c:pt>
                <c:pt idx="26">
                  <c:v>0.40973332795229822</c:v>
                </c:pt>
                <c:pt idx="27">
                  <c:v>0.41026365508635837</c:v>
                </c:pt>
                <c:pt idx="28">
                  <c:v>0.41150604007822095</c:v>
                </c:pt>
                <c:pt idx="29">
                  <c:v>0.41463638074470288</c:v>
                </c:pt>
                <c:pt idx="30">
                  <c:v>0.41885456081592676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F8-3A4C-9503-7C985D2457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723119"/>
        <c:axId val="430399503"/>
      </c:scatterChart>
      <c:valAx>
        <c:axId val="3147231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0399503"/>
        <c:crosses val="autoZero"/>
        <c:crossBetween val="midCat"/>
      </c:valAx>
      <c:valAx>
        <c:axId val="43039950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472311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F5</c:v>
          </c:tx>
          <c:spPr>
            <a:ln w="28575">
              <a:noFill/>
            </a:ln>
          </c:spPr>
          <c:xVal>
            <c:numRef>
              <c:f>'1077V16-V1'!$B$54:$S$54</c:f>
              <c:numCache>
                <c:formatCode>General</c:formatCode>
                <c:ptCount val="18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</c:numCache>
            </c:numRef>
          </c:xVal>
          <c:yVal>
            <c:numRef>
              <c:f>'1077V16-V1'!$B$94:$S$94</c:f>
              <c:numCache>
                <c:formatCode>General</c:formatCode>
                <c:ptCount val="18"/>
                <c:pt idx="0">
                  <c:v>2.1628567150660943E-3</c:v>
                </c:pt>
                <c:pt idx="1">
                  <c:v>2.3000038095882941E-3</c:v>
                </c:pt>
                <c:pt idx="2">
                  <c:v>2.3085732545171517E-3</c:v>
                </c:pt>
                <c:pt idx="3">
                  <c:v>2.8285682201385498E-3</c:v>
                </c:pt>
                <c:pt idx="4">
                  <c:v>3.8285689694540909E-3</c:v>
                </c:pt>
                <c:pt idx="5">
                  <c:v>5.6542852095195217E-3</c:v>
                </c:pt>
                <c:pt idx="6">
                  <c:v>8.4657143269266377E-3</c:v>
                </c:pt>
                <c:pt idx="7">
                  <c:v>1.2700002534048904E-2</c:v>
                </c:pt>
                <c:pt idx="8">
                  <c:v>1.8554282827036722E-2</c:v>
                </c:pt>
                <c:pt idx="9">
                  <c:v>2.697143341813768E-2</c:v>
                </c:pt>
                <c:pt idx="10">
                  <c:v>3.8162858358451304E-2</c:v>
                </c:pt>
                <c:pt idx="11">
                  <c:v>5.4745709257466454E-2</c:v>
                </c:pt>
                <c:pt idx="12">
                  <c:v>7.8202859205859052E-2</c:v>
                </c:pt>
                <c:pt idx="13">
                  <c:v>0.11018000330243792</c:v>
                </c:pt>
                <c:pt idx="14">
                  <c:v>0.14788856953382493</c:v>
                </c:pt>
                <c:pt idx="15">
                  <c:v>0.19178286833422525</c:v>
                </c:pt>
                <c:pt idx="16">
                  <c:v>0.23897714827741895</c:v>
                </c:pt>
                <c:pt idx="17">
                  <c:v>0.28431142696312495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6-BB44-BFEB-16C34736C9C8}"/>
            </c:ext>
          </c:extLst>
        </c:ser>
        <c:ser>
          <c:idx val="1"/>
          <c:order val="1"/>
          <c:tx>
            <c:v>Model: F5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'1077V16-V1'!$B$54:$S$54</c:f>
              <c:numCache>
                <c:formatCode>General</c:formatCode>
                <c:ptCount val="18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</c:numCache>
            </c:numRef>
          </c:xVal>
          <c:yVal>
            <c:numRef>
              <c:f>'1077V16-V1'!$B$100:$S$100</c:f>
              <c:numCache>
                <c:formatCode>General</c:formatCode>
                <c:ptCount val="18"/>
                <c:pt idx="0">
                  <c:v>1.3775306780314698E-3</c:v>
                </c:pt>
                <c:pt idx="1">
                  <c:v>1.9070896774026126E-3</c:v>
                </c:pt>
                <c:pt idx="2">
                  <c:v>2.6402250749529323E-3</c:v>
                </c:pt>
                <c:pt idx="3">
                  <c:v>3.6551969889031016E-3</c:v>
                </c:pt>
                <c:pt idx="4">
                  <c:v>5.0603507838908315E-3</c:v>
                </c:pt>
                <c:pt idx="5">
                  <c:v>7.0056826304480723E-3</c:v>
                </c:pt>
                <c:pt idx="6">
                  <c:v>9.6988511695280596E-3</c:v>
                </c:pt>
                <c:pt idx="7">
                  <c:v>1.3427344481723884E-2</c:v>
                </c:pt>
                <c:pt idx="8">
                  <c:v>1.8589168622086798E-2</c:v>
                </c:pt>
                <c:pt idx="9">
                  <c:v>2.5735333634339864E-2</c:v>
                </c:pt>
                <c:pt idx="10">
                  <c:v>3.5628672305649076E-2</c:v>
                </c:pt>
                <c:pt idx="11">
                  <c:v>4.9325270396708684E-2</c:v>
                </c:pt>
                <c:pt idx="12">
                  <c:v>6.8287200792566907E-2</c:v>
                </c:pt>
                <c:pt idx="13">
                  <c:v>9.4538595624110391E-2</c:v>
                </c:pt>
                <c:pt idx="14">
                  <c:v>0.13088171661521575</c:v>
                </c:pt>
                <c:pt idx="15">
                  <c:v>0.18119608855049388</c:v>
                </c:pt>
                <c:pt idx="16">
                  <c:v>0.25085262751039961</c:v>
                </c:pt>
                <c:pt idx="17">
                  <c:v>0.34728697088477972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66-BB44-BFEB-16C34736C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544239"/>
        <c:axId val="433545935"/>
      </c:scatterChart>
      <c:valAx>
        <c:axId val="433544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3545935"/>
        <c:crosses val="autoZero"/>
        <c:crossBetween val="midCat"/>
      </c:valAx>
      <c:valAx>
        <c:axId val="4335459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354423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F6</c:v>
          </c:tx>
          <c:spPr>
            <a:ln w="28575">
              <a:noFill/>
            </a:ln>
          </c:spPr>
          <c:xVal>
            <c:numRef>
              <c:f>'1077V16-V1'!$B$54:$R$54</c:f>
              <c:numCache>
                <c:formatCode>General</c:formatCode>
                <c:ptCount val="17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</c:numCache>
            </c:numRef>
          </c:xVal>
          <c:yVal>
            <c:numRef>
              <c:f>'1077V16-V1'!$B$95:$R$95</c:f>
              <c:numCache>
                <c:formatCode>General</c:formatCode>
                <c:ptCount val="17"/>
                <c:pt idx="0">
                  <c:v>1.6117615296560167E-3</c:v>
                </c:pt>
                <c:pt idx="1">
                  <c:v>2.0470575374715444E-3</c:v>
                </c:pt>
                <c:pt idx="2">
                  <c:v>2.1558807176702138E-3</c:v>
                </c:pt>
                <c:pt idx="3">
                  <c:v>2.676471410428774E-3</c:v>
                </c:pt>
                <c:pt idx="4">
                  <c:v>3.5764704294064531E-3</c:v>
                </c:pt>
                <c:pt idx="5">
                  <c:v>5.5029447026112566E-3</c:v>
                </c:pt>
                <c:pt idx="6">
                  <c:v>8.3147024407106279E-3</c:v>
                </c:pt>
                <c:pt idx="7">
                  <c:v>1.2849996852524137E-2</c:v>
                </c:pt>
                <c:pt idx="8">
                  <c:v>1.8705881255514478E-2</c:v>
                </c:pt>
                <c:pt idx="9">
                  <c:v>2.6623527574188566E-2</c:v>
                </c:pt>
                <c:pt idx="10">
                  <c:v>3.7514710251022793E-2</c:v>
                </c:pt>
                <c:pt idx="11">
                  <c:v>5.3497061571654153E-2</c:v>
                </c:pt>
                <c:pt idx="12">
                  <c:v>7.6655887067317963E-2</c:v>
                </c:pt>
                <c:pt idx="13">
                  <c:v>0.10813235053244759</c:v>
                </c:pt>
                <c:pt idx="14">
                  <c:v>0.14634117725140908</c:v>
                </c:pt>
                <c:pt idx="15">
                  <c:v>0.19124411879216924</c:v>
                </c:pt>
                <c:pt idx="16">
                  <c:v>0.23742941986112032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B7-4243-8056-012CF67B2921}"/>
            </c:ext>
          </c:extLst>
        </c:ser>
        <c:ser>
          <c:idx val="1"/>
          <c:order val="1"/>
          <c:tx>
            <c:v>Model: F6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'1077V16-V1'!$B$54:$R$54</c:f>
              <c:numCache>
                <c:formatCode>General</c:formatCode>
                <c:ptCount val="17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</c:numCache>
            </c:numRef>
          </c:xVal>
          <c:yVal>
            <c:numRef>
              <c:f>'1077V16-V1'!$B$101:$R$101</c:f>
              <c:numCache>
                <c:formatCode>General</c:formatCode>
                <c:ptCount val="17"/>
                <c:pt idx="0">
                  <c:v>1.1955209875586367E-3</c:v>
                </c:pt>
                <c:pt idx="1">
                  <c:v>1.6780222898715379E-3</c:v>
                </c:pt>
                <c:pt idx="2">
                  <c:v>2.3552566911064915E-3</c:v>
                </c:pt>
                <c:pt idx="3">
                  <c:v>3.3058166834163873E-3</c:v>
                </c:pt>
                <c:pt idx="4">
                  <c:v>4.6400139677429328E-3</c:v>
                </c:pt>
                <c:pt idx="5">
                  <c:v>6.5126810354770408E-3</c:v>
                </c:pt>
                <c:pt idx="6">
                  <c:v>9.141139351029684E-3</c:v>
                </c:pt>
                <c:pt idx="7">
                  <c:v>1.2830419328039876E-2</c:v>
                </c:pt>
                <c:pt idx="8">
                  <c:v>1.8008658856600412E-2</c:v>
                </c:pt>
                <c:pt idx="9">
                  <c:v>2.5276788351309323E-2</c:v>
                </c:pt>
                <c:pt idx="10">
                  <c:v>3.5478268228881234E-2</c:v>
                </c:pt>
                <c:pt idx="11">
                  <c:v>4.9796971791918464E-2</c:v>
                </c:pt>
                <c:pt idx="12">
                  <c:v>6.9894572746549144E-2</c:v>
                </c:pt>
                <c:pt idx="13">
                  <c:v>9.8103381061726974E-2</c:v>
                </c:pt>
                <c:pt idx="14">
                  <c:v>0.13769700561217887</c:v>
                </c:pt>
                <c:pt idx="15">
                  <c:v>0.19327025378086027</c:v>
                </c:pt>
                <c:pt idx="16">
                  <c:v>0.271272355055587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B7-4243-8056-012CF67B2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096607"/>
        <c:axId val="428098303"/>
      </c:scatterChart>
      <c:valAx>
        <c:axId val="4280966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098303"/>
        <c:crosses val="autoZero"/>
        <c:crossBetween val="midCat"/>
      </c:valAx>
      <c:valAx>
        <c:axId val="42809830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09660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F7</c:v>
          </c:tx>
          <c:spPr>
            <a:ln w="28575">
              <a:noFill/>
            </a:ln>
          </c:spPr>
          <c:xVal>
            <c:numRef>
              <c:f>'1077V16-V1'!$B$54:$Q$54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'1077V16-V1'!$B$96:$Q$96</c:f>
              <c:numCache>
                <c:formatCode>General</c:formatCode>
                <c:ptCount val="16"/>
                <c:pt idx="0">
                  <c:v>1.351514323191208E-3</c:v>
                </c:pt>
                <c:pt idx="1">
                  <c:v>1.6878782348199312E-3</c:v>
                </c:pt>
                <c:pt idx="2">
                  <c:v>1.6969670400475007E-3</c:v>
                </c:pt>
                <c:pt idx="3">
                  <c:v>2.5212096445488275E-3</c:v>
                </c:pt>
                <c:pt idx="4">
                  <c:v>3.3121235442884062E-3</c:v>
                </c:pt>
                <c:pt idx="5">
                  <c:v>5.3333335302092749E-3</c:v>
                </c:pt>
                <c:pt idx="6">
                  <c:v>8.4454527858531803E-3</c:v>
                </c:pt>
                <c:pt idx="7">
                  <c:v>1.2978786320397354E-2</c:v>
                </c:pt>
                <c:pt idx="8">
                  <c:v>1.953636109828949E-2</c:v>
                </c:pt>
                <c:pt idx="9">
                  <c:v>2.8751519141775192E-2</c:v>
                </c:pt>
                <c:pt idx="10">
                  <c:v>4.1745455427603287E-2</c:v>
                </c:pt>
                <c:pt idx="11">
                  <c:v>6.0527274780201187E-2</c:v>
                </c:pt>
                <c:pt idx="12">
                  <c:v>8.6890907675930953E-2</c:v>
                </c:pt>
                <c:pt idx="13">
                  <c:v>0.1217727315696803</c:v>
                </c:pt>
                <c:pt idx="14">
                  <c:v>0.16288181507226193</c:v>
                </c:pt>
                <c:pt idx="15">
                  <c:v>0.20978484980084677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ED-F34C-8A5A-252DD2C0FDB4}"/>
            </c:ext>
          </c:extLst>
        </c:ser>
        <c:ser>
          <c:idx val="1"/>
          <c:order val="1"/>
          <c:tx>
            <c:v>Model: F7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'1077V16-V1'!$B$54:$Q$54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'1077V16-V1'!$B$102:$Q$102</c:f>
              <c:numCache>
                <c:formatCode>General</c:formatCode>
                <c:ptCount val="16"/>
                <c:pt idx="0">
                  <c:v>9.8994682890361048E-4</c:v>
                </c:pt>
                <c:pt idx="1">
                  <c:v>1.4269835685443864E-3</c:v>
                </c:pt>
                <c:pt idx="2">
                  <c:v>2.0569610866382616E-3</c:v>
                </c:pt>
                <c:pt idx="3">
                  <c:v>2.9650579062098351E-3</c:v>
                </c:pt>
                <c:pt idx="4">
                  <c:v>4.2740567355825437E-3</c:v>
                </c:pt>
                <c:pt idx="5">
                  <c:v>6.1609457746912982E-3</c:v>
                </c:pt>
                <c:pt idx="6">
                  <c:v>8.8808490824848849E-3</c:v>
                </c:pt>
                <c:pt idx="7">
                  <c:v>1.2801521602391381E-2</c:v>
                </c:pt>
                <c:pt idx="8">
                  <c:v>1.8453072877873924E-2</c:v>
                </c:pt>
                <c:pt idx="9">
                  <c:v>2.659964254347047E-2</c:v>
                </c:pt>
                <c:pt idx="10">
                  <c:v>3.8342718750586952E-2</c:v>
                </c:pt>
                <c:pt idx="11">
                  <c:v>5.527006909149236E-2</c:v>
                </c:pt>
                <c:pt idx="12">
                  <c:v>7.9670420797470956E-2</c:v>
                </c:pt>
                <c:pt idx="13">
                  <c:v>0.11484291686950546</c:v>
                </c:pt>
                <c:pt idx="14">
                  <c:v>0.16554318934279838</c:v>
                </c:pt>
                <c:pt idx="15">
                  <c:v>0.23862636272923171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ED-F34C-8A5A-252DD2C0F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395711"/>
        <c:axId val="447397439"/>
      </c:scatterChart>
      <c:valAx>
        <c:axId val="4473957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397439"/>
        <c:crosses val="autoZero"/>
        <c:crossBetween val="midCat"/>
      </c:valAx>
      <c:valAx>
        <c:axId val="44739743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7395711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F8 (-W1)</c:v>
          </c:tx>
          <c:spPr>
            <a:ln w="28575">
              <a:noFill/>
            </a:ln>
          </c:spPr>
          <c:marker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'1077V16-V0,5'!$B$54:$AF$54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'1077V16-V0,5'!$B$94:$AF$94</c:f>
              <c:numCache>
                <c:formatCode>General</c:formatCode>
                <c:ptCount val="31"/>
                <c:pt idx="0">
                  <c:v>1.962860780102868E-3</c:v>
                </c:pt>
                <c:pt idx="1">
                  <c:v>2.1000004240444708E-3</c:v>
                </c:pt>
                <c:pt idx="2">
                  <c:v>2.3085732545171517E-3</c:v>
                </c:pt>
                <c:pt idx="3">
                  <c:v>3.028571605682373E-3</c:v>
                </c:pt>
                <c:pt idx="4">
                  <c:v>4.2285682899611404E-3</c:v>
                </c:pt>
                <c:pt idx="5">
                  <c:v>6.6542872360774441E-3</c:v>
                </c:pt>
                <c:pt idx="6">
                  <c:v>1.0865710249968935E-2</c:v>
                </c:pt>
                <c:pt idx="7">
                  <c:v>1.7900001151221145E-2</c:v>
                </c:pt>
                <c:pt idx="8">
                  <c:v>2.8854293269770487E-2</c:v>
                </c:pt>
                <c:pt idx="9">
                  <c:v>4.4571433322770249E-2</c:v>
                </c:pt>
                <c:pt idx="10">
                  <c:v>6.6762850752898631E-2</c:v>
                </c:pt>
                <c:pt idx="11">
                  <c:v>9.6045708017689843E-2</c:v>
                </c:pt>
                <c:pt idx="12">
                  <c:v>0.13180285756077087</c:v>
                </c:pt>
                <c:pt idx="13">
                  <c:v>0.17247999991689411</c:v>
                </c:pt>
                <c:pt idx="14">
                  <c:v>0.21698856204748154</c:v>
                </c:pt>
                <c:pt idx="15">
                  <c:v>0.26068285746233805</c:v>
                </c:pt>
                <c:pt idx="16">
                  <c:v>0.30117712829794202</c:v>
                </c:pt>
                <c:pt idx="17">
                  <c:v>0.33661143311432429</c:v>
                </c:pt>
                <c:pt idx="18">
                  <c:v>0.36788857110909051</c:v>
                </c:pt>
                <c:pt idx="19">
                  <c:v>0.38003142646380833</c:v>
                </c:pt>
                <c:pt idx="20">
                  <c:v>0.39040858149528501</c:v>
                </c:pt>
                <c:pt idx="21">
                  <c:v>0.40078573652676175</c:v>
                </c:pt>
                <c:pt idx="22">
                  <c:v>0.41243716627359389</c:v>
                </c:pt>
                <c:pt idx="23">
                  <c:v>0.42060569460902897</c:v>
                </c:pt>
                <c:pt idx="24">
                  <c:v>0.4234714388847351</c:v>
                </c:pt>
                <c:pt idx="25">
                  <c:v>0.42695426430021011</c:v>
                </c:pt>
                <c:pt idx="26">
                  <c:v>0.43197144482816968</c:v>
                </c:pt>
                <c:pt idx="27">
                  <c:v>0.43401141975607194</c:v>
                </c:pt>
                <c:pt idx="28">
                  <c:v>0.4389543150152479</c:v>
                </c:pt>
                <c:pt idx="29">
                  <c:v>0.44258854261466435</c:v>
                </c:pt>
                <c:pt idx="30">
                  <c:v>0.44772571389164245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AA-984F-8551-D614ADD9E8A9}"/>
            </c:ext>
          </c:extLst>
        </c:ser>
        <c:ser>
          <c:idx val="1"/>
          <c:order val="1"/>
          <c:tx>
            <c:v>F9 (-W1)</c:v>
          </c:tx>
          <c:spPr>
            <a:ln w="28575">
              <a:noFill/>
            </a:ln>
          </c:spPr>
          <c:marker>
            <c:spPr>
              <a:solidFill>
                <a:srgbClr val="00808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'1077V16-V0,5'!$B$54:$AF$54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'1077V16-V0,5'!$B$95:$AF$95</c:f>
              <c:numCache>
                <c:formatCode>General</c:formatCode>
                <c:ptCount val="31"/>
                <c:pt idx="0">
                  <c:v>1.6117615296560167E-3</c:v>
                </c:pt>
                <c:pt idx="1">
                  <c:v>1.8470616025083181E-3</c:v>
                </c:pt>
                <c:pt idx="2">
                  <c:v>2.1558807176702138E-3</c:v>
                </c:pt>
                <c:pt idx="3">
                  <c:v>2.676471410428774E-3</c:v>
                </c:pt>
                <c:pt idx="4">
                  <c:v>3.7764738149502763E-3</c:v>
                </c:pt>
                <c:pt idx="5">
                  <c:v>6.2029416508534441E-3</c:v>
                </c:pt>
                <c:pt idx="6">
                  <c:v>1.0314706493826473E-2</c:v>
                </c:pt>
                <c:pt idx="7">
                  <c:v>1.7150002586490964E-2</c:v>
                </c:pt>
                <c:pt idx="8">
                  <c:v>2.8105876463301038E-2</c:v>
                </c:pt>
                <c:pt idx="9">
                  <c:v>4.3823535608894681E-2</c:v>
                </c:pt>
                <c:pt idx="10">
                  <c:v>6.6214704338242031E-2</c:v>
                </c:pt>
                <c:pt idx="11">
                  <c:v>9.5297053894575906E-2</c:v>
                </c:pt>
                <c:pt idx="12">
                  <c:v>0.13225588947534561</c:v>
                </c:pt>
                <c:pt idx="13">
                  <c:v>0.174932363716995</c:v>
                </c:pt>
                <c:pt idx="14">
                  <c:v>0.22064116838223793</c:v>
                </c:pt>
                <c:pt idx="15">
                  <c:v>0.26614412007962956</c:v>
                </c:pt>
                <c:pt idx="16">
                  <c:v>0.30512941847829256</c:v>
                </c:pt>
                <c:pt idx="17">
                  <c:v>0.33917059048133735</c:v>
                </c:pt>
                <c:pt idx="18">
                  <c:v>0.36874413095852909</c:v>
                </c:pt>
                <c:pt idx="19">
                  <c:v>0.38008823311504197</c:v>
                </c:pt>
                <c:pt idx="20">
                  <c:v>0.39107351980226879</c:v>
                </c:pt>
                <c:pt idx="21">
                  <c:v>0.40205880648949566</c:v>
                </c:pt>
                <c:pt idx="22">
                  <c:v>0.4121117813183981</c:v>
                </c:pt>
                <c:pt idx="23">
                  <c:v>0.42132060843355512</c:v>
                </c:pt>
                <c:pt idx="24">
                  <c:v>0.42487939929260926</c:v>
                </c:pt>
                <c:pt idx="25">
                  <c:v>0.42607057971112872</c:v>
                </c:pt>
                <c:pt idx="26">
                  <c:v>0.43029413328451271</c:v>
                </c:pt>
                <c:pt idx="27">
                  <c:v>0.43332350714241757</c:v>
                </c:pt>
                <c:pt idx="28">
                  <c:v>0.43676765241167126</c:v>
                </c:pt>
                <c:pt idx="29">
                  <c:v>0.44089997055775976</c:v>
                </c:pt>
                <c:pt idx="30">
                  <c:v>0.44722060749635978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AA-984F-8551-D614ADD9E8A9}"/>
            </c:ext>
          </c:extLst>
        </c:ser>
        <c:ser>
          <c:idx val="2"/>
          <c:order val="2"/>
          <c:tx>
            <c:v>F10 (-W1)</c:v>
          </c:tx>
          <c:spPr>
            <a:ln w="28575">
              <a:noFill/>
            </a:ln>
          </c:spPr>
          <c:marker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'1077V16-V0,5'!$B$54:$AF$54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'1077V16-V0,5'!$B$96:$AF$96</c:f>
              <c:numCache>
                <c:formatCode>General</c:formatCode>
                <c:ptCount val="31"/>
                <c:pt idx="0">
                  <c:v>3.6777746346261797E-3</c:v>
                </c:pt>
                <c:pt idx="1">
                  <c:v>4.0444415062665939E-3</c:v>
                </c:pt>
                <c:pt idx="2">
                  <c:v>4.1444411294327826E-3</c:v>
                </c:pt>
                <c:pt idx="3">
                  <c:v>4.7694452934795017E-3</c:v>
                </c:pt>
                <c:pt idx="4">
                  <c:v>5.9694420132372084E-3</c:v>
                </c:pt>
                <c:pt idx="5">
                  <c:v>8.5888869232601528E-3</c:v>
                </c:pt>
                <c:pt idx="6">
                  <c:v>1.2908335154255227E-2</c:v>
                </c:pt>
                <c:pt idx="7">
                  <c:v>2.0144439819786281E-2</c:v>
                </c:pt>
                <c:pt idx="8">
                  <c:v>3.1294449542959527E-2</c:v>
                </c:pt>
                <c:pt idx="9">
                  <c:v>4.7819445530573532E-2</c:v>
                </c:pt>
                <c:pt idx="10">
                  <c:v>7.1394443098041743E-2</c:v>
                </c:pt>
                <c:pt idx="11">
                  <c:v>0.10177778038713667</c:v>
                </c:pt>
                <c:pt idx="12">
                  <c:v>0.14082778327994877</c:v>
                </c:pt>
                <c:pt idx="13">
                  <c:v>0.18800277366406387</c:v>
                </c:pt>
                <c:pt idx="14">
                  <c:v>0.2365194389389621</c:v>
                </c:pt>
                <c:pt idx="15">
                  <c:v>0.28262223737935227</c:v>
                </c:pt>
                <c:pt idx="16">
                  <c:v>0.32601667133470374</c:v>
                </c:pt>
                <c:pt idx="17">
                  <c:v>0.36194443185296321</c:v>
                </c:pt>
                <c:pt idx="18">
                  <c:v>0.39203332550823689</c:v>
                </c:pt>
                <c:pt idx="19">
                  <c:v>0.39936669501993394</c:v>
                </c:pt>
                <c:pt idx="20">
                  <c:v>0.40694861910823321</c:v>
                </c:pt>
                <c:pt idx="21">
                  <c:v>0.41453054319653249</c:v>
                </c:pt>
                <c:pt idx="22">
                  <c:v>0.42798887834780747</c:v>
                </c:pt>
                <c:pt idx="23">
                  <c:v>0.43384998188250595</c:v>
                </c:pt>
                <c:pt idx="24">
                  <c:v>0.43591110946403611</c:v>
                </c:pt>
                <c:pt idx="25">
                  <c:v>0.43692780637906659</c:v>
                </c:pt>
                <c:pt idx="26">
                  <c:v>0.43752776955564815</c:v>
                </c:pt>
                <c:pt idx="27">
                  <c:v>0.44008054563568699</c:v>
                </c:pt>
                <c:pt idx="28">
                  <c:v>0.44500002823770046</c:v>
                </c:pt>
                <c:pt idx="29">
                  <c:v>0.44853890211217934</c:v>
                </c:pt>
                <c:pt idx="30">
                  <c:v>0.45328886413739788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AA-984F-8551-D614ADD9E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023487"/>
        <c:axId val="428025183"/>
      </c:scatterChart>
      <c:valAx>
        <c:axId val="428023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025183"/>
        <c:crosses val="autoZero"/>
        <c:crossBetween val="midCat"/>
      </c:valAx>
      <c:valAx>
        <c:axId val="4280251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02348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F8</c:v>
          </c:tx>
          <c:spPr>
            <a:ln w="28575">
              <a:noFill/>
            </a:ln>
          </c:spPr>
          <c:xVal>
            <c:numRef>
              <c:f>'1077V16-V0,5'!$B$54:$P$54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'1077V16-V0,5'!$B$94:$P$94</c:f>
              <c:numCache>
                <c:formatCode>General</c:formatCode>
                <c:ptCount val="15"/>
                <c:pt idx="0">
                  <c:v>1.962860780102868E-3</c:v>
                </c:pt>
                <c:pt idx="1">
                  <c:v>2.1000004240444708E-3</c:v>
                </c:pt>
                <c:pt idx="2">
                  <c:v>2.3085732545171517E-3</c:v>
                </c:pt>
                <c:pt idx="3">
                  <c:v>3.028571605682373E-3</c:v>
                </c:pt>
                <c:pt idx="4">
                  <c:v>4.2285682899611404E-3</c:v>
                </c:pt>
                <c:pt idx="5">
                  <c:v>6.6542872360774441E-3</c:v>
                </c:pt>
                <c:pt idx="6">
                  <c:v>1.0865710249968935E-2</c:v>
                </c:pt>
                <c:pt idx="7">
                  <c:v>1.7900001151221145E-2</c:v>
                </c:pt>
                <c:pt idx="8">
                  <c:v>2.8854293269770487E-2</c:v>
                </c:pt>
                <c:pt idx="9">
                  <c:v>4.4571433322770249E-2</c:v>
                </c:pt>
                <c:pt idx="10">
                  <c:v>6.6762850752898631E-2</c:v>
                </c:pt>
                <c:pt idx="11">
                  <c:v>9.6045708017689843E-2</c:v>
                </c:pt>
                <c:pt idx="12">
                  <c:v>0.13180285756077087</c:v>
                </c:pt>
                <c:pt idx="13">
                  <c:v>0.17247999991689411</c:v>
                </c:pt>
                <c:pt idx="14">
                  <c:v>0.21698856204748154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F6-3041-A657-F6704F297DC2}"/>
            </c:ext>
          </c:extLst>
        </c:ser>
        <c:ser>
          <c:idx val="1"/>
          <c:order val="1"/>
          <c:tx>
            <c:v>Model: F8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'1077V16-V0,5'!$B$54:$P$54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'1077V16-V0,5'!$B$100:$P$100</c:f>
              <c:numCache>
                <c:formatCode>General</c:formatCode>
                <c:ptCount val="15"/>
                <c:pt idx="0">
                  <c:v>1.2518316503473588E-3</c:v>
                </c:pt>
                <c:pt idx="1">
                  <c:v>1.8311660023333422E-3</c:v>
                </c:pt>
                <c:pt idx="2">
                  <c:v>2.6786101207546841E-3</c:v>
                </c:pt>
                <c:pt idx="3">
                  <c:v>3.9182423493374294E-3</c:v>
                </c:pt>
                <c:pt idx="4">
                  <c:v>5.7315631674742466E-3</c:v>
                </c:pt>
                <c:pt idx="5">
                  <c:v>8.3840695428914619E-3</c:v>
                </c:pt>
                <c:pt idx="6">
                  <c:v>1.2264127611633115E-2</c:v>
                </c:pt>
                <c:pt idx="7">
                  <c:v>1.7939835220229974E-2</c:v>
                </c:pt>
                <c:pt idx="8">
                  <c:v>2.6242199846626311E-2</c:v>
                </c:pt>
                <c:pt idx="9">
                  <c:v>3.8386810376814906E-2</c:v>
                </c:pt>
                <c:pt idx="10">
                  <c:v>5.6151817283526431E-2</c:v>
                </c:pt>
                <c:pt idx="11">
                  <c:v>8.2138280135588479E-2</c:v>
                </c:pt>
                <c:pt idx="12">
                  <c:v>0.1201510011611276</c:v>
                </c:pt>
                <c:pt idx="13">
                  <c:v>0.17575560452679098</c:v>
                </c:pt>
                <c:pt idx="14">
                  <c:v>0.25709342597281359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F6-3041-A657-F6704F297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997615"/>
        <c:axId val="427991311"/>
      </c:scatterChart>
      <c:valAx>
        <c:axId val="427997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7991311"/>
        <c:crosses val="autoZero"/>
        <c:crossBetween val="midCat"/>
      </c:valAx>
      <c:valAx>
        <c:axId val="42799131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7997615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F9</c:v>
          </c:tx>
          <c:spPr>
            <a:ln w="28575">
              <a:noFill/>
            </a:ln>
          </c:spPr>
          <c:xVal>
            <c:numRef>
              <c:f>'1077V16-V0,5'!$B$54:$P$54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'1077V16-V0,5'!$B$95:$P$95</c:f>
              <c:numCache>
                <c:formatCode>General</c:formatCode>
                <c:ptCount val="15"/>
                <c:pt idx="0">
                  <c:v>1.6117615296560167E-3</c:v>
                </c:pt>
                <c:pt idx="1">
                  <c:v>1.8470616025083181E-3</c:v>
                </c:pt>
                <c:pt idx="2">
                  <c:v>2.1558807176702138E-3</c:v>
                </c:pt>
                <c:pt idx="3">
                  <c:v>2.676471410428774E-3</c:v>
                </c:pt>
                <c:pt idx="4">
                  <c:v>3.7764738149502763E-3</c:v>
                </c:pt>
                <c:pt idx="5">
                  <c:v>6.2029416508534441E-3</c:v>
                </c:pt>
                <c:pt idx="6">
                  <c:v>1.0314706493826473E-2</c:v>
                </c:pt>
                <c:pt idx="7">
                  <c:v>1.7150002586490964E-2</c:v>
                </c:pt>
                <c:pt idx="8">
                  <c:v>2.8105876463301038E-2</c:v>
                </c:pt>
                <c:pt idx="9">
                  <c:v>4.3823535608894681E-2</c:v>
                </c:pt>
                <c:pt idx="10">
                  <c:v>6.6214704338242031E-2</c:v>
                </c:pt>
                <c:pt idx="11">
                  <c:v>9.5297053894575906E-2</c:v>
                </c:pt>
                <c:pt idx="12">
                  <c:v>0.13225588947534561</c:v>
                </c:pt>
                <c:pt idx="13">
                  <c:v>0.174932363716995</c:v>
                </c:pt>
                <c:pt idx="14">
                  <c:v>0.22064116838223793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67-B449-BF17-DBB8426D23F9}"/>
            </c:ext>
          </c:extLst>
        </c:ser>
        <c:ser>
          <c:idx val="1"/>
          <c:order val="1"/>
          <c:tx>
            <c:v>Model: F9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'1077V16-V0,5'!$B$54:$P$54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'1077V16-V0,5'!$B$101:$P$101</c:f>
              <c:numCache>
                <c:formatCode>General</c:formatCode>
                <c:ptCount val="15"/>
                <c:pt idx="0">
                  <c:v>1.082626384051531E-3</c:v>
                </c:pt>
                <c:pt idx="1">
                  <c:v>1.6042638792405977E-3</c:v>
                </c:pt>
                <c:pt idx="2">
                  <c:v>2.3772398605367714E-3</c:v>
                </c:pt>
                <c:pt idx="3">
                  <c:v>3.5226557349156314E-3</c:v>
                </c:pt>
                <c:pt idx="4">
                  <c:v>5.2199627108440207E-3</c:v>
                </c:pt>
                <c:pt idx="5">
                  <c:v>7.7350762473116473E-3</c:v>
                </c:pt>
                <c:pt idx="6">
                  <c:v>1.1462036774214932E-2</c:v>
                </c:pt>
                <c:pt idx="7">
                  <c:v>1.6984743629271454E-2</c:v>
                </c:pt>
                <c:pt idx="8">
                  <c:v>2.5168434008259955E-2</c:v>
                </c:pt>
                <c:pt idx="9">
                  <c:v>3.729523884814194E-2</c:v>
                </c:pt>
                <c:pt idx="10">
                  <c:v>5.5265053053498249E-2</c:v>
                </c:pt>
                <c:pt idx="11">
                  <c:v>8.1893190212351724E-2</c:v>
                </c:pt>
                <c:pt idx="12">
                  <c:v>0.12135145508074198</c:v>
                </c:pt>
                <c:pt idx="13">
                  <c:v>0.17982173623994716</c:v>
                </c:pt>
                <c:pt idx="14">
                  <c:v>0.26646451666223769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67-B449-BF17-DBB8426D2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892799"/>
        <c:axId val="427894495"/>
      </c:scatterChart>
      <c:valAx>
        <c:axId val="4278927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7894495"/>
        <c:crosses val="autoZero"/>
        <c:crossBetween val="midCat"/>
      </c:valAx>
      <c:valAx>
        <c:axId val="4278944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789279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F10</c:v>
          </c:tx>
          <c:spPr>
            <a:ln w="28575">
              <a:noFill/>
            </a:ln>
          </c:spPr>
          <c:xVal>
            <c:numRef>
              <c:f>'1077V16-V0,5'!$B$54:$R$54</c:f>
              <c:numCache>
                <c:formatCode>General</c:formatCode>
                <c:ptCount val="17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</c:numCache>
            </c:numRef>
          </c:xVal>
          <c:yVal>
            <c:numRef>
              <c:f>'1077V16-V0,5'!$B$96:$R$96</c:f>
              <c:numCache>
                <c:formatCode>General</c:formatCode>
                <c:ptCount val="17"/>
                <c:pt idx="0">
                  <c:v>3.6777746346261797E-3</c:v>
                </c:pt>
                <c:pt idx="1">
                  <c:v>4.0444415062665939E-3</c:v>
                </c:pt>
                <c:pt idx="2">
                  <c:v>4.1444411294327826E-3</c:v>
                </c:pt>
                <c:pt idx="3">
                  <c:v>4.7694452934795017E-3</c:v>
                </c:pt>
                <c:pt idx="4">
                  <c:v>5.9694420132372084E-3</c:v>
                </c:pt>
                <c:pt idx="5">
                  <c:v>8.5888869232601528E-3</c:v>
                </c:pt>
                <c:pt idx="6">
                  <c:v>1.2908335154255227E-2</c:v>
                </c:pt>
                <c:pt idx="7">
                  <c:v>2.0144439819786281E-2</c:v>
                </c:pt>
                <c:pt idx="8">
                  <c:v>3.1294449542959527E-2</c:v>
                </c:pt>
                <c:pt idx="9">
                  <c:v>4.7819445530573532E-2</c:v>
                </c:pt>
                <c:pt idx="10">
                  <c:v>7.1394443098041743E-2</c:v>
                </c:pt>
                <c:pt idx="11">
                  <c:v>0.10177778038713667</c:v>
                </c:pt>
                <c:pt idx="12">
                  <c:v>0.14082778327994877</c:v>
                </c:pt>
                <c:pt idx="13">
                  <c:v>0.18800277366406387</c:v>
                </c:pt>
                <c:pt idx="14">
                  <c:v>0.2365194389389621</c:v>
                </c:pt>
                <c:pt idx="15">
                  <c:v>0.28262223737935227</c:v>
                </c:pt>
                <c:pt idx="16">
                  <c:v>0.32601667133470374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3C-2C49-B4A7-3D8A7A3FE4D0}"/>
            </c:ext>
          </c:extLst>
        </c:ser>
        <c:ser>
          <c:idx val="1"/>
          <c:order val="1"/>
          <c:tx>
            <c:v>Model: F10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'1077V16-V0,5'!$B$54:$R$54</c:f>
              <c:numCache>
                <c:formatCode>General</c:formatCode>
                <c:ptCount val="17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</c:numCache>
            </c:numRef>
          </c:xVal>
          <c:yVal>
            <c:numRef>
              <c:f>'1077V16-V0,5'!$B$102:$R$102</c:f>
              <c:numCache>
                <c:formatCode>General</c:formatCode>
                <c:ptCount val="17"/>
                <c:pt idx="0">
                  <c:v>2.3148558649296784E-3</c:v>
                </c:pt>
                <c:pt idx="1">
                  <c:v>3.2037286716663622E-3</c:v>
                </c:pt>
                <c:pt idx="2">
                  <c:v>4.4339164079958441E-3</c:v>
                </c:pt>
                <c:pt idx="3">
                  <c:v>6.1364793114234524E-3</c:v>
                </c:pt>
                <c:pt idx="4">
                  <c:v>8.492802947665164E-3</c:v>
                </c:pt>
                <c:pt idx="5">
                  <c:v>1.1753922444356607E-2</c:v>
                </c:pt>
                <c:pt idx="6">
                  <c:v>1.626726696466347E-2</c:v>
                </c:pt>
                <c:pt idx="7">
                  <c:v>2.2513673690835425E-2</c:v>
                </c:pt>
                <c:pt idx="8">
                  <c:v>3.1158614668244679E-2</c:v>
                </c:pt>
                <c:pt idx="9">
                  <c:v>4.3123094052809195E-2</c:v>
                </c:pt>
                <c:pt idx="10">
                  <c:v>5.9681768926095502E-2</c:v>
                </c:pt>
                <c:pt idx="11">
                  <c:v>8.2598747153575874E-2</c:v>
                </c:pt>
                <c:pt idx="12">
                  <c:v>0.11431552975228994</c:v>
                </c:pt>
                <c:pt idx="13">
                  <c:v>0.15821112054217062</c:v>
                </c:pt>
                <c:pt idx="14">
                  <c:v>0.21896201432516102</c:v>
                </c:pt>
                <c:pt idx="15">
                  <c:v>0.30304041557276357</c:v>
                </c:pt>
                <c:pt idx="16">
                  <c:v>0.41940376623563369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C-2C49-B4A7-3D8A7A3FE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748863"/>
        <c:axId val="447750591"/>
      </c:scatterChart>
      <c:valAx>
        <c:axId val="4477488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750591"/>
        <c:crosses val="autoZero"/>
        <c:crossBetween val="midCat"/>
      </c:valAx>
      <c:valAx>
        <c:axId val="4477505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774886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G2 (-W1)</c:v>
          </c:tx>
          <c:spPr>
            <a:ln w="28575">
              <a:noFill/>
            </a:ln>
          </c:spPr>
          <c:marker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'1077V16-V0,25'!$B$54:$AF$54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'1077V16-V0,25'!$B$94:$AF$94</c:f>
              <c:numCache>
                <c:formatCode>General</c:formatCode>
                <c:ptCount val="31"/>
                <c:pt idx="0">
                  <c:v>1.7117632224279283E-3</c:v>
                </c:pt>
                <c:pt idx="1">
                  <c:v>2.0470575374715444E-3</c:v>
                </c:pt>
                <c:pt idx="2">
                  <c:v>2.5558800381772634E-3</c:v>
                </c:pt>
                <c:pt idx="3">
                  <c:v>2.7764731032006856E-3</c:v>
                </c:pt>
                <c:pt idx="4">
                  <c:v>3.7764738149502763E-3</c:v>
                </c:pt>
                <c:pt idx="5">
                  <c:v>5.9029440231183061E-3</c:v>
                </c:pt>
                <c:pt idx="6">
                  <c:v>9.5147078528123735E-3</c:v>
                </c:pt>
                <c:pt idx="7">
                  <c:v>1.5350001918918943E-2</c:v>
                </c:pt>
                <c:pt idx="8">
                  <c:v>2.4705878513700819E-2</c:v>
                </c:pt>
                <c:pt idx="9">
                  <c:v>3.8423533606178617E-2</c:v>
                </c:pt>
                <c:pt idx="10">
                  <c:v>5.7414704385925747E-2</c:v>
                </c:pt>
                <c:pt idx="11">
                  <c:v>8.1997052273329568E-2</c:v>
                </c:pt>
                <c:pt idx="12">
                  <c:v>0.11055587977170944</c:v>
                </c:pt>
                <c:pt idx="13">
                  <c:v>0.1440323472899549</c:v>
                </c:pt>
                <c:pt idx="14">
                  <c:v>0.18354118111379006</c:v>
                </c:pt>
                <c:pt idx="15">
                  <c:v>0.22594412503873601</c:v>
                </c:pt>
                <c:pt idx="16">
                  <c:v>0.27062941561726961</c:v>
                </c:pt>
                <c:pt idx="17">
                  <c:v>0.30987058623748664</c:v>
                </c:pt>
                <c:pt idx="18">
                  <c:v>0.34894412361523686</c:v>
                </c:pt>
                <c:pt idx="19">
                  <c:v>0.36958824908908677</c:v>
                </c:pt>
                <c:pt idx="20">
                  <c:v>0.3819235362769926</c:v>
                </c:pt>
                <c:pt idx="21">
                  <c:v>0.39425882346489849</c:v>
                </c:pt>
                <c:pt idx="22">
                  <c:v>0.40491177864811001</c:v>
                </c:pt>
                <c:pt idx="23">
                  <c:v>0.41582058983690595</c:v>
                </c:pt>
                <c:pt idx="24">
                  <c:v>0.42737939690842347</c:v>
                </c:pt>
                <c:pt idx="25">
                  <c:v>0.43567056340329791</c:v>
                </c:pt>
                <c:pt idx="26">
                  <c:v>0.44059411392492409</c:v>
                </c:pt>
                <c:pt idx="27">
                  <c:v>0.44722354872261777</c:v>
                </c:pt>
                <c:pt idx="28">
                  <c:v>0.45426763572237072</c:v>
                </c:pt>
                <c:pt idx="29">
                  <c:v>0.46060002091176366</c:v>
                </c:pt>
                <c:pt idx="30">
                  <c:v>0.46712057182894035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6F-2943-B455-EE9BCEF9288C}"/>
            </c:ext>
          </c:extLst>
        </c:ser>
        <c:ser>
          <c:idx val="1"/>
          <c:order val="1"/>
          <c:tx>
            <c:v>G3 (-W1)</c:v>
          </c:tx>
          <c:spPr>
            <a:ln w="28575">
              <a:noFill/>
            </a:ln>
          </c:spPr>
          <c:marker>
            <c:spPr>
              <a:solidFill>
                <a:srgbClr val="00808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'1077V16-V0,25'!$B$54:$AF$54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'1077V16-V0,25'!$B$95:$AF$95</c:f>
              <c:numCache>
                <c:formatCode>General</c:formatCode>
                <c:ptCount val="31"/>
                <c:pt idx="0">
                  <c:v>1.351514323191208E-3</c:v>
                </c:pt>
                <c:pt idx="1">
                  <c:v>1.6878782348199312E-3</c:v>
                </c:pt>
                <c:pt idx="2">
                  <c:v>1.8969704255913239E-3</c:v>
                </c:pt>
                <c:pt idx="3">
                  <c:v>2.3212137095856011E-3</c:v>
                </c:pt>
                <c:pt idx="4">
                  <c:v>3.4121252370603178E-3</c:v>
                </c:pt>
                <c:pt idx="5">
                  <c:v>5.3333335302092749E-3</c:v>
                </c:pt>
                <c:pt idx="6">
                  <c:v>8.8454521063602298E-3</c:v>
                </c:pt>
                <c:pt idx="7">
                  <c:v>1.4778786987969375E-2</c:v>
                </c:pt>
                <c:pt idx="8">
                  <c:v>2.3936361074447632E-2</c:v>
                </c:pt>
                <c:pt idx="9">
                  <c:v>3.7451517401319565E-2</c:v>
                </c:pt>
                <c:pt idx="10">
                  <c:v>5.6445450945334E-2</c:v>
                </c:pt>
                <c:pt idx="11">
                  <c:v>8.1227267556118241E-2</c:v>
                </c:pt>
                <c:pt idx="12">
                  <c:v>0.10949090281219194</c:v>
                </c:pt>
                <c:pt idx="13">
                  <c:v>0.14307271960106763</c:v>
                </c:pt>
                <c:pt idx="14">
                  <c:v>0.18298181259270871</c:v>
                </c:pt>
                <c:pt idx="15">
                  <c:v>0.22498483888127585</c:v>
                </c:pt>
                <c:pt idx="16">
                  <c:v>0.27016667705593689</c:v>
                </c:pt>
                <c:pt idx="17">
                  <c:v>0.30940303477373987</c:v>
                </c:pt>
                <c:pt idx="18">
                  <c:v>0.34827273632540845</c:v>
                </c:pt>
                <c:pt idx="19">
                  <c:v>0.36891513859683817</c:v>
                </c:pt>
                <c:pt idx="20">
                  <c:v>0.38139847496693785</c:v>
                </c:pt>
                <c:pt idx="21">
                  <c:v>0.39388181133703754</c:v>
                </c:pt>
                <c:pt idx="22">
                  <c:v>0.40363937097065378</c:v>
                </c:pt>
                <c:pt idx="23">
                  <c:v>0.41494845621513599</c:v>
                </c:pt>
                <c:pt idx="24">
                  <c:v>0.42621214552359149</c:v>
                </c:pt>
                <c:pt idx="25">
                  <c:v>0.43400605158372357</c:v>
                </c:pt>
                <c:pt idx="26">
                  <c:v>0.43943330916491419</c:v>
                </c:pt>
                <c:pt idx="27">
                  <c:v>0.44546365489562351</c:v>
                </c:pt>
                <c:pt idx="28">
                  <c:v>0.45120607135873853</c:v>
                </c:pt>
                <c:pt idx="29">
                  <c:v>0.45923639066291577</c:v>
                </c:pt>
                <c:pt idx="30">
                  <c:v>0.46545454498493311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6F-2943-B455-EE9BCEF9288C}"/>
            </c:ext>
          </c:extLst>
        </c:ser>
        <c:ser>
          <c:idx val="2"/>
          <c:order val="2"/>
          <c:tx>
            <c:v>G4 (-W1)</c:v>
          </c:tx>
          <c:spPr>
            <a:ln w="28575">
              <a:noFill/>
            </a:ln>
          </c:spPr>
          <c:marker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'1077V16-V0,25'!$B$54:$AF$54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'1077V16-V0,25'!$B$96:$AF$96</c:f>
              <c:numCache>
                <c:formatCode>General</c:formatCode>
                <c:ptCount val="31"/>
                <c:pt idx="0">
                  <c:v>1.511767287464702E-3</c:v>
                </c:pt>
                <c:pt idx="1">
                  <c:v>1.7470599097364065E-3</c:v>
                </c:pt>
                <c:pt idx="2">
                  <c:v>1.8558830899350759E-3</c:v>
                </c:pt>
                <c:pt idx="3">
                  <c:v>2.3764737826936361E-3</c:v>
                </c:pt>
                <c:pt idx="4">
                  <c:v>3.2764728016713152E-3</c:v>
                </c:pt>
                <c:pt idx="5">
                  <c:v>5.4029430098393449E-3</c:v>
                </c:pt>
                <c:pt idx="6">
                  <c:v>8.7147017612176775E-3</c:v>
                </c:pt>
                <c:pt idx="7">
                  <c:v>1.4649997520096159E-2</c:v>
                </c:pt>
                <c:pt idx="8">
                  <c:v>2.3605889695532178E-2</c:v>
                </c:pt>
                <c:pt idx="9">
                  <c:v>3.712352650130496E-2</c:v>
                </c:pt>
                <c:pt idx="10">
                  <c:v>5.591470879666946E-2</c:v>
                </c:pt>
                <c:pt idx="11">
                  <c:v>8.0697060069617105E-2</c:v>
                </c:pt>
                <c:pt idx="12">
                  <c:v>0.10905588418245316</c:v>
                </c:pt>
                <c:pt idx="13">
                  <c:v>0.14173235305968451</c:v>
                </c:pt>
                <c:pt idx="14">
                  <c:v>0.1814411902690635</c:v>
                </c:pt>
                <c:pt idx="15">
                  <c:v>0.22444411454831853</c:v>
                </c:pt>
                <c:pt idx="16">
                  <c:v>0.26802940140752229</c:v>
                </c:pt>
                <c:pt idx="17">
                  <c:v>0.30737058862167244</c:v>
                </c:pt>
                <c:pt idx="18">
                  <c:v>0.34664412938496647</c:v>
                </c:pt>
                <c:pt idx="19">
                  <c:v>0.36748822844203782</c:v>
                </c:pt>
                <c:pt idx="20">
                  <c:v>0.38002351901548748</c:v>
                </c:pt>
                <c:pt idx="21">
                  <c:v>0.39255880958893719</c:v>
                </c:pt>
                <c:pt idx="22">
                  <c:v>0.40261175461551724</c:v>
                </c:pt>
                <c:pt idx="23">
                  <c:v>0.4129205854500041</c:v>
                </c:pt>
                <c:pt idx="24">
                  <c:v>0.42427941893830018</c:v>
                </c:pt>
                <c:pt idx="25">
                  <c:v>0.43257058543317461</c:v>
                </c:pt>
                <c:pt idx="26">
                  <c:v>0.43679413900655861</c:v>
                </c:pt>
                <c:pt idx="27">
                  <c:v>0.44302350742851987</c:v>
                </c:pt>
                <c:pt idx="28">
                  <c:v>0.44976766385576306</c:v>
                </c:pt>
                <c:pt idx="29">
                  <c:v>0.45719999315984106</c:v>
                </c:pt>
                <c:pt idx="30">
                  <c:v>0.46312056372270866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6F-2943-B455-EE9BCEF92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481135"/>
        <c:axId val="447482863"/>
      </c:scatterChart>
      <c:valAx>
        <c:axId val="4474811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482863"/>
        <c:crosses val="autoZero"/>
        <c:crossBetween val="midCat"/>
      </c:valAx>
      <c:valAx>
        <c:axId val="44748286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7481135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G2</c:v>
          </c:tx>
          <c:spPr>
            <a:ln w="28575">
              <a:noFill/>
            </a:ln>
          </c:spPr>
          <c:xVal>
            <c:numRef>
              <c:f>'1077V16-V0,25'!$B$54:$Q$54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'1077V16-V0,25'!$B$94:$Q$94</c:f>
              <c:numCache>
                <c:formatCode>General</c:formatCode>
                <c:ptCount val="16"/>
                <c:pt idx="0">
                  <c:v>1.7117632224279283E-3</c:v>
                </c:pt>
                <c:pt idx="1">
                  <c:v>2.0470575374715444E-3</c:v>
                </c:pt>
                <c:pt idx="2">
                  <c:v>2.5558800381772634E-3</c:v>
                </c:pt>
                <c:pt idx="3">
                  <c:v>2.7764731032006856E-3</c:v>
                </c:pt>
                <c:pt idx="4">
                  <c:v>3.7764738149502763E-3</c:v>
                </c:pt>
                <c:pt idx="5">
                  <c:v>5.9029440231183061E-3</c:v>
                </c:pt>
                <c:pt idx="6">
                  <c:v>9.5147078528123735E-3</c:v>
                </c:pt>
                <c:pt idx="7">
                  <c:v>1.5350001918918943E-2</c:v>
                </c:pt>
                <c:pt idx="8">
                  <c:v>2.4705878513700819E-2</c:v>
                </c:pt>
                <c:pt idx="9">
                  <c:v>3.8423533606178617E-2</c:v>
                </c:pt>
                <c:pt idx="10">
                  <c:v>5.7414704385925747E-2</c:v>
                </c:pt>
                <c:pt idx="11">
                  <c:v>8.1997052273329568E-2</c:v>
                </c:pt>
                <c:pt idx="12">
                  <c:v>0.11055587977170944</c:v>
                </c:pt>
                <c:pt idx="13">
                  <c:v>0.1440323472899549</c:v>
                </c:pt>
                <c:pt idx="14">
                  <c:v>0.18354118111379006</c:v>
                </c:pt>
                <c:pt idx="15">
                  <c:v>0.22594412503873601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4F-8144-81AB-8A3E448FE386}"/>
            </c:ext>
          </c:extLst>
        </c:ser>
        <c:ser>
          <c:idx val="1"/>
          <c:order val="1"/>
          <c:tx>
            <c:v>Model: G2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'1077V16-V0,25'!$B$54:$Q$54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'1077V16-V0,25'!$B$100:$Q$100</c:f>
              <c:numCache>
                <c:formatCode>General</c:formatCode>
                <c:ptCount val="16"/>
                <c:pt idx="0">
                  <c:v>1.2347024842433243E-3</c:v>
                </c:pt>
                <c:pt idx="1">
                  <c:v>1.7748958076510446E-3</c:v>
                </c:pt>
                <c:pt idx="2">
                  <c:v>2.5514285167635808E-3</c:v>
                </c:pt>
                <c:pt idx="3">
                  <c:v>3.6677011958069095E-3</c:v>
                </c:pt>
                <c:pt idx="4">
                  <c:v>5.2723531046783862E-3</c:v>
                </c:pt>
                <c:pt idx="5">
                  <c:v>7.579054502092882E-3</c:v>
                </c:pt>
                <c:pt idx="6">
                  <c:v>1.0894958286220169E-2</c:v>
                </c:pt>
                <c:pt idx="7">
                  <c:v>1.5661599481267694E-2</c:v>
                </c:pt>
                <c:pt idx="8">
                  <c:v>2.2513688613372617E-2</c:v>
                </c:pt>
                <c:pt idx="9">
                  <c:v>3.2363627711597967E-2</c:v>
                </c:pt>
                <c:pt idx="10">
                  <c:v>4.6523002811399719E-2</c:v>
                </c:pt>
                <c:pt idx="11">
                  <c:v>6.6877230509417421E-2</c:v>
                </c:pt>
                <c:pt idx="12">
                  <c:v>9.6136613940014673E-2</c:v>
                </c:pt>
                <c:pt idx="13">
                  <c:v>0.13819723797548641</c:v>
                </c:pt>
                <c:pt idx="14">
                  <c:v>0.19865975928765181</c:v>
                </c:pt>
                <c:pt idx="15">
                  <c:v>0.2855751716776585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4F-8144-81AB-8A3E448FE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755983"/>
        <c:axId val="427900223"/>
      </c:scatterChart>
      <c:valAx>
        <c:axId val="4477559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7900223"/>
        <c:crosses val="autoZero"/>
        <c:crossBetween val="midCat"/>
      </c:valAx>
      <c:valAx>
        <c:axId val="42790022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775598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G3</c:v>
          </c:tx>
          <c:spPr>
            <a:ln w="28575">
              <a:noFill/>
            </a:ln>
          </c:spPr>
          <c:xVal>
            <c:numRef>
              <c:f>'1077V16-V0,25'!$B$54:$P$54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'1077V16-V0,25'!$B$95:$P$95</c:f>
              <c:numCache>
                <c:formatCode>General</c:formatCode>
                <c:ptCount val="15"/>
                <c:pt idx="0">
                  <c:v>1.351514323191208E-3</c:v>
                </c:pt>
                <c:pt idx="1">
                  <c:v>1.6878782348199312E-3</c:v>
                </c:pt>
                <c:pt idx="2">
                  <c:v>1.8969704255913239E-3</c:v>
                </c:pt>
                <c:pt idx="3">
                  <c:v>2.3212137095856011E-3</c:v>
                </c:pt>
                <c:pt idx="4">
                  <c:v>3.4121252370603178E-3</c:v>
                </c:pt>
                <c:pt idx="5">
                  <c:v>5.3333335302092749E-3</c:v>
                </c:pt>
                <c:pt idx="6">
                  <c:v>8.8454521063602298E-3</c:v>
                </c:pt>
                <c:pt idx="7">
                  <c:v>1.4778786987969375E-2</c:v>
                </c:pt>
                <c:pt idx="8">
                  <c:v>2.3936361074447632E-2</c:v>
                </c:pt>
                <c:pt idx="9">
                  <c:v>3.7451517401319565E-2</c:v>
                </c:pt>
                <c:pt idx="10">
                  <c:v>5.6445450945334E-2</c:v>
                </c:pt>
                <c:pt idx="11">
                  <c:v>8.1227267556118241E-2</c:v>
                </c:pt>
                <c:pt idx="12">
                  <c:v>0.10949090281219194</c:v>
                </c:pt>
                <c:pt idx="13">
                  <c:v>0.14307271960106763</c:v>
                </c:pt>
                <c:pt idx="14">
                  <c:v>0.18298181259270871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9F-A943-8126-913078011A20}"/>
            </c:ext>
          </c:extLst>
        </c:ser>
        <c:ser>
          <c:idx val="1"/>
          <c:order val="1"/>
          <c:tx>
            <c:v>Model: G3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'1077V16-V0,25'!$B$54:$P$54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'1077V16-V0,25'!$B$101:$P$101</c:f>
              <c:numCache>
                <c:formatCode>General</c:formatCode>
                <c:ptCount val="15"/>
                <c:pt idx="0">
                  <c:v>9.592915875583167E-4</c:v>
                </c:pt>
                <c:pt idx="1">
                  <c:v>1.4148650928824807E-3</c:v>
                </c:pt>
                <c:pt idx="2">
                  <c:v>2.086793272265255E-3</c:v>
                </c:pt>
                <c:pt idx="3">
                  <c:v>3.0778242979334247E-3</c:v>
                </c:pt>
                <c:pt idx="4">
                  <c:v>4.539502084299059E-3</c:v>
                </c:pt>
                <c:pt idx="5">
                  <c:v>6.6953396875812322E-3</c:v>
                </c:pt>
                <c:pt idx="6">
                  <c:v>9.8749978961673139E-3</c:v>
                </c:pt>
                <c:pt idx="7">
                  <c:v>1.4564695444830742E-2</c:v>
                </c:pt>
                <c:pt idx="8">
                  <c:v>2.1481559351319512E-2</c:v>
                </c:pt>
                <c:pt idx="9">
                  <c:v>3.1683284687428308E-2</c:v>
                </c:pt>
                <c:pt idx="10">
                  <c:v>4.6729872453275541E-2</c:v>
                </c:pt>
                <c:pt idx="11">
                  <c:v>6.8922177767946791E-2</c:v>
                </c:pt>
                <c:pt idx="12">
                  <c:v>0.10165374607059269</c:v>
                </c:pt>
                <c:pt idx="13">
                  <c:v>0.14992973850849886</c:v>
                </c:pt>
                <c:pt idx="14">
                  <c:v>0.22113229819997526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9F-A943-8126-913078011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785503"/>
        <c:axId val="447787231"/>
      </c:scatterChart>
      <c:valAx>
        <c:axId val="4477855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787231"/>
        <c:crosses val="autoZero"/>
        <c:crossBetween val="midCat"/>
      </c:valAx>
      <c:valAx>
        <c:axId val="4477872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778550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G4</c:v>
          </c:tx>
          <c:spPr>
            <a:ln w="28575">
              <a:noFill/>
            </a:ln>
          </c:spPr>
          <c:xVal>
            <c:numRef>
              <c:f>'1077V16-V0,25'!$B$54:$Q$54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'1077V16-V0,25'!$B$96:$Q$96</c:f>
              <c:numCache>
                <c:formatCode>General</c:formatCode>
                <c:ptCount val="16"/>
                <c:pt idx="0">
                  <c:v>1.511767287464702E-3</c:v>
                </c:pt>
                <c:pt idx="1">
                  <c:v>1.7470599097364065E-3</c:v>
                </c:pt>
                <c:pt idx="2">
                  <c:v>1.8558830899350759E-3</c:v>
                </c:pt>
                <c:pt idx="3">
                  <c:v>2.3764737826936361E-3</c:v>
                </c:pt>
                <c:pt idx="4">
                  <c:v>3.2764728016713152E-3</c:v>
                </c:pt>
                <c:pt idx="5">
                  <c:v>5.4029430098393449E-3</c:v>
                </c:pt>
                <c:pt idx="6">
                  <c:v>8.7147017612176775E-3</c:v>
                </c:pt>
                <c:pt idx="7">
                  <c:v>1.4649997520096159E-2</c:v>
                </c:pt>
                <c:pt idx="8">
                  <c:v>2.3605889695532178E-2</c:v>
                </c:pt>
                <c:pt idx="9">
                  <c:v>3.712352650130496E-2</c:v>
                </c:pt>
                <c:pt idx="10">
                  <c:v>5.591470879666946E-2</c:v>
                </c:pt>
                <c:pt idx="11">
                  <c:v>8.0697060069617105E-2</c:v>
                </c:pt>
                <c:pt idx="12">
                  <c:v>0.10905588418245316</c:v>
                </c:pt>
                <c:pt idx="13">
                  <c:v>0.14173235305968451</c:v>
                </c:pt>
                <c:pt idx="14">
                  <c:v>0.1814411902690635</c:v>
                </c:pt>
                <c:pt idx="15">
                  <c:v>0.22444411454831853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B4-8340-B90B-A6D538F1504C}"/>
            </c:ext>
          </c:extLst>
        </c:ser>
        <c:ser>
          <c:idx val="1"/>
          <c:order val="1"/>
          <c:tx>
            <c:v>Model: G4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'1077V16-V0,25'!$B$54:$Q$54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'1077V16-V0,25'!$B$102:$Q$102</c:f>
              <c:numCache>
                <c:formatCode>General</c:formatCode>
                <c:ptCount val="16"/>
                <c:pt idx="0">
                  <c:v>1.0238363788715697E-3</c:v>
                </c:pt>
                <c:pt idx="1">
                  <c:v>1.4928057788048991E-3</c:v>
                </c:pt>
                <c:pt idx="2">
                  <c:v>2.1765871375750761E-3</c:v>
                </c:pt>
                <c:pt idx="3">
                  <c:v>3.1735753134945698E-3</c:v>
                </c:pt>
                <c:pt idx="4">
                  <c:v>4.6272350399179747E-3</c:v>
                </c:pt>
                <c:pt idx="5">
                  <c:v>6.74674523197867E-3</c:v>
                </c:pt>
                <c:pt idx="6">
                  <c:v>9.8370994411457018E-3</c:v>
                </c:pt>
                <c:pt idx="7">
                  <c:v>1.4342993856699848E-2</c:v>
                </c:pt>
                <c:pt idx="8">
                  <c:v>2.0912818255435853E-2</c:v>
                </c:pt>
                <c:pt idx="9">
                  <c:v>3.0491958077538978E-2</c:v>
                </c:pt>
                <c:pt idx="10">
                  <c:v>4.4458833622805637E-2</c:v>
                </c:pt>
                <c:pt idx="11">
                  <c:v>6.4823252153042576E-2</c:v>
                </c:pt>
                <c:pt idx="12">
                  <c:v>9.4515615397104139E-2</c:v>
                </c:pt>
                <c:pt idx="13">
                  <c:v>0.13780859887749411</c:v>
                </c:pt>
                <c:pt idx="14">
                  <c:v>0.20093198192475573</c:v>
                </c:pt>
                <c:pt idx="15">
                  <c:v>0.29296910126849768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B4-8340-B90B-A6D538F15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529727"/>
        <c:axId val="447531455"/>
      </c:scatterChart>
      <c:valAx>
        <c:axId val="44752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531455"/>
        <c:crosses val="autoZero"/>
        <c:crossBetween val="midCat"/>
      </c:valAx>
      <c:valAx>
        <c:axId val="44753145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752972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G5 (-W1)</c:v>
          </c:tx>
          <c:spPr>
            <a:ln w="28575">
              <a:noFill/>
            </a:ln>
          </c:spPr>
          <c:marker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'1077V16-V0,125'!$B$54:$AF$54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'1077V16-V0,125'!$B$94:$AF$94</c:f>
              <c:numCache>
                <c:formatCode>General</c:formatCode>
                <c:ptCount val="31"/>
                <c:pt idx="0">
                  <c:v>4.2777773406770525E-3</c:v>
                </c:pt>
                <c:pt idx="1">
                  <c:v>6.244441494345665E-3</c:v>
                </c:pt>
                <c:pt idx="2">
                  <c:v>5.7444458620415778E-3</c:v>
                </c:pt>
                <c:pt idx="3">
                  <c:v>4.9694412284427281E-3</c:v>
                </c:pt>
                <c:pt idx="4">
                  <c:v>6.06944370600912E-3</c:v>
                </c:pt>
                <c:pt idx="5">
                  <c:v>7.7888882822460537E-3</c:v>
                </c:pt>
                <c:pt idx="6">
                  <c:v>1.1208336179455117E-2</c:v>
                </c:pt>
                <c:pt idx="7">
                  <c:v>1.7044446948501796E-2</c:v>
                </c:pt>
                <c:pt idx="8">
                  <c:v>2.6094450925787285E-2</c:v>
                </c:pt>
                <c:pt idx="9">
                  <c:v>3.9819444219271347E-2</c:v>
                </c:pt>
                <c:pt idx="10">
                  <c:v>5.8894440117809504E-2</c:v>
                </c:pt>
                <c:pt idx="11">
                  <c:v>8.3977777096960277E-2</c:v>
                </c:pt>
                <c:pt idx="12">
                  <c:v>0.11322777801089817</c:v>
                </c:pt>
                <c:pt idx="13">
                  <c:v>0.1477027918315596</c:v>
                </c:pt>
                <c:pt idx="14">
                  <c:v>0.18891943784223664</c:v>
                </c:pt>
                <c:pt idx="15">
                  <c:v>0.23362221258382004</c:v>
                </c:pt>
                <c:pt idx="16">
                  <c:v>0.27981666413446266</c:v>
                </c:pt>
                <c:pt idx="17">
                  <c:v>0.31694444496598506</c:v>
                </c:pt>
                <c:pt idx="18">
                  <c:v>0.35493333823978901</c:v>
                </c:pt>
                <c:pt idx="19">
                  <c:v>0.3762666765186522</c:v>
                </c:pt>
                <c:pt idx="20">
                  <c:v>0.38849862716678119</c:v>
                </c:pt>
                <c:pt idx="21">
                  <c:v>0.40073057781491017</c:v>
                </c:pt>
                <c:pt idx="22">
                  <c:v>0.4112889085792833</c:v>
                </c:pt>
                <c:pt idx="23">
                  <c:v>0.4212499772095018</c:v>
                </c:pt>
                <c:pt idx="24">
                  <c:v>0.43241112472282517</c:v>
                </c:pt>
                <c:pt idx="25">
                  <c:v>0.43842775726483929</c:v>
                </c:pt>
                <c:pt idx="26">
                  <c:v>0.44282775496443111</c:v>
                </c:pt>
                <c:pt idx="27">
                  <c:v>0.44858052560852635</c:v>
                </c:pt>
                <c:pt idx="28">
                  <c:v>0.45519999228417873</c:v>
                </c:pt>
                <c:pt idx="29">
                  <c:v>0.46133888036840492</c:v>
                </c:pt>
                <c:pt idx="30">
                  <c:v>0.47108889722989666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4E-B24E-B0DF-01334670393F}"/>
            </c:ext>
          </c:extLst>
        </c:ser>
        <c:ser>
          <c:idx val="1"/>
          <c:order val="1"/>
          <c:tx>
            <c:v>G6 (-W1)</c:v>
          </c:tx>
          <c:spPr>
            <a:ln w="28575">
              <a:noFill/>
            </a:ln>
          </c:spPr>
          <c:marker>
            <c:spPr>
              <a:solidFill>
                <a:srgbClr val="00808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'1077V16-V0,125'!$B$54:$AF$54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'1077V16-V0,125'!$B$95:$AF$95</c:f>
              <c:numCache>
                <c:formatCode>General</c:formatCode>
                <c:ptCount val="31"/>
                <c:pt idx="0">
                  <c:v>1.7628573945590448E-3</c:v>
                </c:pt>
                <c:pt idx="1">
                  <c:v>1.8999970385006476E-3</c:v>
                </c:pt>
                <c:pt idx="2">
                  <c:v>2.1085698689733284E-3</c:v>
                </c:pt>
                <c:pt idx="3">
                  <c:v>2.6285722851753235E-3</c:v>
                </c:pt>
                <c:pt idx="4">
                  <c:v>3.5285713417189529E-3</c:v>
                </c:pt>
                <c:pt idx="5">
                  <c:v>5.854288595063345E-3</c:v>
                </c:pt>
                <c:pt idx="6">
                  <c:v>9.765713981219698E-3</c:v>
                </c:pt>
                <c:pt idx="7">
                  <c:v>1.6100000483649124E-2</c:v>
                </c:pt>
                <c:pt idx="8">
                  <c:v>2.6354280752795084E-2</c:v>
                </c:pt>
                <c:pt idx="9">
                  <c:v>4.1271422164780747E-2</c:v>
                </c:pt>
                <c:pt idx="10">
                  <c:v>6.2262863985129771E-2</c:v>
                </c:pt>
                <c:pt idx="11">
                  <c:v>8.9345713811261315E-2</c:v>
                </c:pt>
                <c:pt idx="12">
                  <c:v>0.12050285999264036</c:v>
                </c:pt>
                <c:pt idx="13">
                  <c:v>0.15717999424253193</c:v>
                </c:pt>
                <c:pt idx="14">
                  <c:v>0.20098855942487717</c:v>
                </c:pt>
                <c:pt idx="15">
                  <c:v>0.24468285483973368</c:v>
                </c:pt>
                <c:pt idx="16">
                  <c:v>0.28927715037550245</c:v>
                </c:pt>
                <c:pt idx="17">
                  <c:v>0.3261114192860467</c:v>
                </c:pt>
                <c:pt idx="18">
                  <c:v>0.36308857926300592</c:v>
                </c:pt>
                <c:pt idx="19">
                  <c:v>0.3790314393384116</c:v>
                </c:pt>
                <c:pt idx="20">
                  <c:v>0.390658563375473</c:v>
                </c:pt>
                <c:pt idx="21">
                  <c:v>0.40228568741253445</c:v>
                </c:pt>
                <c:pt idx="22">
                  <c:v>0.41133716255426406</c:v>
                </c:pt>
                <c:pt idx="23">
                  <c:v>0.42120573456798283</c:v>
                </c:pt>
                <c:pt idx="24">
                  <c:v>0.43087141513824462</c:v>
                </c:pt>
                <c:pt idx="25">
                  <c:v>0.43505429710660659</c:v>
                </c:pt>
                <c:pt idx="26">
                  <c:v>0.44047142480100904</c:v>
                </c:pt>
                <c:pt idx="27">
                  <c:v>0.44531144712652482</c:v>
                </c:pt>
                <c:pt idx="28">
                  <c:v>0.45035429937498911</c:v>
                </c:pt>
                <c:pt idx="29">
                  <c:v>0.45678857437201908</c:v>
                </c:pt>
                <c:pt idx="30">
                  <c:v>0.46222573582615173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4E-B24E-B0DF-01334670393F}"/>
            </c:ext>
          </c:extLst>
        </c:ser>
        <c:ser>
          <c:idx val="2"/>
          <c:order val="2"/>
          <c:tx>
            <c:v>G7 (-W1)</c:v>
          </c:tx>
          <c:spPr>
            <a:ln w="28575">
              <a:noFill/>
            </a:ln>
          </c:spPr>
          <c:marker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'1077V16-V0,125'!$B$54:$AF$54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'1077V16-V0,125'!$B$96:$AF$96</c:f>
              <c:numCache>
                <c:formatCode>General</c:formatCode>
                <c:ptCount val="31"/>
                <c:pt idx="0">
                  <c:v>1.7628573945590448E-3</c:v>
                </c:pt>
                <c:pt idx="1">
                  <c:v>1.8999970385006476E-3</c:v>
                </c:pt>
                <c:pt idx="2">
                  <c:v>2.1085698689733284E-3</c:v>
                </c:pt>
                <c:pt idx="3">
                  <c:v>2.6285722851753235E-3</c:v>
                </c:pt>
                <c:pt idx="4">
                  <c:v>3.8285689694540909E-3</c:v>
                </c:pt>
                <c:pt idx="5">
                  <c:v>6.1542862227984829E-3</c:v>
                </c:pt>
                <c:pt idx="6">
                  <c:v>1.0165713301726748E-2</c:v>
                </c:pt>
                <c:pt idx="7">
                  <c:v>1.7000000817435135E-2</c:v>
                </c:pt>
                <c:pt idx="8">
                  <c:v>2.755428616489683E-2</c:v>
                </c:pt>
                <c:pt idx="9">
                  <c:v>4.297143604074205E-2</c:v>
                </c:pt>
                <c:pt idx="10">
                  <c:v>6.4462856522628245E-2</c:v>
                </c:pt>
                <c:pt idx="11">
                  <c:v>9.2145716505391259E-2</c:v>
                </c:pt>
                <c:pt idx="12">
                  <c:v>0.12380285624946867</c:v>
                </c:pt>
                <c:pt idx="13">
                  <c:v>0.16217998947416035</c:v>
                </c:pt>
                <c:pt idx="14">
                  <c:v>0.2060885712504387</c:v>
                </c:pt>
                <c:pt idx="15">
                  <c:v>0.24968285007136209</c:v>
                </c:pt>
                <c:pt idx="16">
                  <c:v>0.2921771547624043</c:v>
                </c:pt>
                <c:pt idx="17">
                  <c:v>0.32901142367294856</c:v>
                </c:pt>
                <c:pt idx="18">
                  <c:v>0.3653885734932763</c:v>
                </c:pt>
                <c:pt idx="19">
                  <c:v>0.37813143900462559</c:v>
                </c:pt>
                <c:pt idx="20">
                  <c:v>0.38885857760906217</c:v>
                </c:pt>
                <c:pt idx="21">
                  <c:v>0.39958571621349881</c:v>
                </c:pt>
                <c:pt idx="22">
                  <c:v>0.40953716188669204</c:v>
                </c:pt>
                <c:pt idx="23">
                  <c:v>0.42000571425471989</c:v>
                </c:pt>
                <c:pt idx="24">
                  <c:v>0.42757140398025512</c:v>
                </c:pt>
                <c:pt idx="25">
                  <c:v>0.43195425953183852</c:v>
                </c:pt>
                <c:pt idx="26">
                  <c:v>0.43687142346586499</c:v>
                </c:pt>
                <c:pt idx="27">
                  <c:v>0.44061144207205094</c:v>
                </c:pt>
                <c:pt idx="28">
                  <c:v>0.44725426180022104</c:v>
                </c:pt>
                <c:pt idx="29">
                  <c:v>0.45318857303687504</c:v>
                </c:pt>
                <c:pt idx="30">
                  <c:v>0.45862573449100769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4E-B24E-B0DF-013346703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600527"/>
        <c:axId val="433602223"/>
      </c:scatterChart>
      <c:valAx>
        <c:axId val="4336005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3602223"/>
        <c:crosses val="autoZero"/>
        <c:crossBetween val="midCat"/>
      </c:valAx>
      <c:valAx>
        <c:axId val="43360222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360052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G5</c:v>
          </c:tx>
          <c:spPr>
            <a:ln w="28575">
              <a:noFill/>
            </a:ln>
          </c:spPr>
          <c:xVal>
            <c:numRef>
              <c:f>'1077V16-V0,125'!$B$54:$T$54</c:f>
              <c:numCache>
                <c:formatCode>General</c:formatCode>
                <c:ptCount val="19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</c:numCache>
            </c:numRef>
          </c:xVal>
          <c:yVal>
            <c:numRef>
              <c:f>'1077V16-V0,125'!$B$94:$T$94</c:f>
              <c:numCache>
                <c:formatCode>General</c:formatCode>
                <c:ptCount val="19"/>
                <c:pt idx="0">
                  <c:v>4.2777773406770525E-3</c:v>
                </c:pt>
                <c:pt idx="1">
                  <c:v>6.244441494345665E-3</c:v>
                </c:pt>
                <c:pt idx="2">
                  <c:v>5.7444458620415778E-3</c:v>
                </c:pt>
                <c:pt idx="3">
                  <c:v>4.9694412284427281E-3</c:v>
                </c:pt>
                <c:pt idx="4">
                  <c:v>6.06944370600912E-3</c:v>
                </c:pt>
                <c:pt idx="5">
                  <c:v>7.7888882822460537E-3</c:v>
                </c:pt>
                <c:pt idx="6">
                  <c:v>1.1208336179455117E-2</c:v>
                </c:pt>
                <c:pt idx="7">
                  <c:v>1.7044446948501796E-2</c:v>
                </c:pt>
                <c:pt idx="8">
                  <c:v>2.6094450925787285E-2</c:v>
                </c:pt>
                <c:pt idx="9">
                  <c:v>3.9819444219271347E-2</c:v>
                </c:pt>
                <c:pt idx="10">
                  <c:v>5.8894440117809504E-2</c:v>
                </c:pt>
                <c:pt idx="11">
                  <c:v>8.3977777096960277E-2</c:v>
                </c:pt>
                <c:pt idx="12">
                  <c:v>0.11322777801089817</c:v>
                </c:pt>
                <c:pt idx="13">
                  <c:v>0.1477027918315596</c:v>
                </c:pt>
                <c:pt idx="14">
                  <c:v>0.18891943784223664</c:v>
                </c:pt>
                <c:pt idx="15">
                  <c:v>0.23362221258382004</c:v>
                </c:pt>
                <c:pt idx="16">
                  <c:v>0.27981666413446266</c:v>
                </c:pt>
                <c:pt idx="17">
                  <c:v>0.31694444496598506</c:v>
                </c:pt>
                <c:pt idx="18">
                  <c:v>0.35493333823978901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7-434E-8E14-AC893ECE5F1E}"/>
            </c:ext>
          </c:extLst>
        </c:ser>
        <c:ser>
          <c:idx val="1"/>
          <c:order val="1"/>
          <c:tx>
            <c:v>Model: G5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'1077V16-V0,125'!$B$54:$T$54</c:f>
              <c:numCache>
                <c:formatCode>General</c:formatCode>
                <c:ptCount val="19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</c:numCache>
            </c:numRef>
          </c:xVal>
          <c:yVal>
            <c:numRef>
              <c:f>'1077V16-V0,125'!$B$100:$T$100</c:f>
              <c:numCache>
                <c:formatCode>General</c:formatCode>
                <c:ptCount val="19"/>
                <c:pt idx="0">
                  <c:v>2.9362265310216031E-3</c:v>
                </c:pt>
                <c:pt idx="1">
                  <c:v>3.8972176404385777E-3</c:v>
                </c:pt>
                <c:pt idx="2">
                  <c:v>5.1727294118758468E-3</c:v>
                </c:pt>
                <c:pt idx="3">
                  <c:v>6.8657006195513119E-3</c:v>
                </c:pt>
                <c:pt idx="4">
                  <c:v>9.1127606422028405E-3</c:v>
                </c:pt>
                <c:pt idx="5">
                  <c:v>1.2095255986782035E-2</c:v>
                </c:pt>
                <c:pt idx="6">
                  <c:v>1.6053885658783476E-2</c:v>
                </c:pt>
                <c:pt idx="7">
                  <c:v>2.1308126510670277E-2</c:v>
                </c:pt>
                <c:pt idx="8">
                  <c:v>2.8282016269769259E-2</c:v>
                </c:pt>
                <c:pt idx="9">
                  <c:v>3.753837503653585E-2</c:v>
                </c:pt>
                <c:pt idx="10">
                  <c:v>4.9824227061556488E-2</c:v>
                </c:pt>
                <c:pt idx="11">
                  <c:v>6.6131088515828995E-2</c:v>
                </c:pt>
                <c:pt idx="12">
                  <c:v>8.7774986712494063E-2</c:v>
                </c:pt>
                <c:pt idx="13">
                  <c:v>0.1165026686432719</c:v>
                </c:pt>
                <c:pt idx="14">
                  <c:v>0.1546325702726882</c:v>
                </c:pt>
                <c:pt idx="15">
                  <c:v>0.20524192336188807</c:v>
                </c:pt>
                <c:pt idx="16">
                  <c:v>0.27241510007240244</c:v>
                </c:pt>
                <c:pt idx="17">
                  <c:v>0.36157323772788852</c:v>
                </c:pt>
                <c:pt idx="18">
                  <c:v>0.47991174573759415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7-434E-8E14-AC893ECE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599439"/>
        <c:axId val="447601167"/>
      </c:scatterChart>
      <c:valAx>
        <c:axId val="4475994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601167"/>
        <c:crosses val="autoZero"/>
        <c:crossBetween val="midCat"/>
      </c:valAx>
      <c:valAx>
        <c:axId val="4476011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759943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G6</c:v>
          </c:tx>
          <c:spPr>
            <a:ln w="28575">
              <a:noFill/>
            </a:ln>
          </c:spPr>
          <c:xVal>
            <c:numRef>
              <c:f>'1077V16-V0,125'!$B$54:$Q$54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'1077V16-V0,125'!$B$95:$Q$95</c:f>
              <c:numCache>
                <c:formatCode>General</c:formatCode>
                <c:ptCount val="16"/>
                <c:pt idx="0">
                  <c:v>1.7628573945590448E-3</c:v>
                </c:pt>
                <c:pt idx="1">
                  <c:v>1.8999970385006476E-3</c:v>
                </c:pt>
                <c:pt idx="2">
                  <c:v>2.1085698689733284E-3</c:v>
                </c:pt>
                <c:pt idx="3">
                  <c:v>2.6285722851753235E-3</c:v>
                </c:pt>
                <c:pt idx="4">
                  <c:v>3.5285713417189529E-3</c:v>
                </c:pt>
                <c:pt idx="5">
                  <c:v>5.854288595063345E-3</c:v>
                </c:pt>
                <c:pt idx="6">
                  <c:v>9.765713981219698E-3</c:v>
                </c:pt>
                <c:pt idx="7">
                  <c:v>1.6100000483649124E-2</c:v>
                </c:pt>
                <c:pt idx="8">
                  <c:v>2.6354280752795084E-2</c:v>
                </c:pt>
                <c:pt idx="9">
                  <c:v>4.1271422164780747E-2</c:v>
                </c:pt>
                <c:pt idx="10">
                  <c:v>6.2262863985129771E-2</c:v>
                </c:pt>
                <c:pt idx="11">
                  <c:v>8.9345713811261315E-2</c:v>
                </c:pt>
                <c:pt idx="12">
                  <c:v>0.12050285999264036</c:v>
                </c:pt>
                <c:pt idx="13">
                  <c:v>0.15717999424253193</c:v>
                </c:pt>
                <c:pt idx="14">
                  <c:v>0.20098855942487717</c:v>
                </c:pt>
                <c:pt idx="15">
                  <c:v>0.24468285483973368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FD-6B4C-8BA8-D098CDC6EC59}"/>
            </c:ext>
          </c:extLst>
        </c:ser>
        <c:ser>
          <c:idx val="1"/>
          <c:order val="1"/>
          <c:tx>
            <c:v>Model: G6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'1077V16-V0,125'!$B$54:$Q$54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'1077V16-V0,125'!$B$101:$Q$101</c:f>
              <c:numCache>
                <c:formatCode>General</c:formatCode>
                <c:ptCount val="16"/>
                <c:pt idx="0">
                  <c:v>1.1438630300634439E-3</c:v>
                </c:pt>
                <c:pt idx="1">
                  <c:v>1.6660368488588631E-3</c:v>
                </c:pt>
                <c:pt idx="2">
                  <c:v>2.4265831736878661E-3</c:v>
                </c:pt>
                <c:pt idx="3">
                  <c:v>3.5343191255692921E-3</c:v>
                </c:pt>
                <c:pt idx="4">
                  <c:v>5.1477368741417251E-3</c:v>
                </c:pt>
                <c:pt idx="5">
                  <c:v>7.4976803123656972E-3</c:v>
                </c:pt>
                <c:pt idx="6">
                  <c:v>1.0920373640078267E-2</c:v>
                </c:pt>
                <c:pt idx="7">
                  <c:v>1.5905527505918494E-2</c:v>
                </c:pt>
                <c:pt idx="8">
                  <c:v>2.3166405617575263E-2</c:v>
                </c:pt>
                <c:pt idx="9">
                  <c:v>3.3741876780780854E-2</c:v>
                </c:pt>
                <c:pt idx="10">
                  <c:v>4.9145053724936119E-2</c:v>
                </c:pt>
                <c:pt idx="11">
                  <c:v>7.1579785597538553E-2</c:v>
                </c:pt>
                <c:pt idx="12">
                  <c:v>0.10425597934772124</c:v>
                </c:pt>
                <c:pt idx="13">
                  <c:v>0.15184886541663836</c:v>
                </c:pt>
                <c:pt idx="14">
                  <c:v>0.22116791835426133</c:v>
                </c:pt>
                <c:pt idx="15">
                  <c:v>0.32213113989982778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FD-6B4C-8BA8-D098CDC6E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369199"/>
        <c:axId val="433362831"/>
      </c:scatterChart>
      <c:valAx>
        <c:axId val="4333691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3362831"/>
        <c:crosses val="autoZero"/>
        <c:crossBetween val="midCat"/>
      </c:valAx>
      <c:valAx>
        <c:axId val="4333628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336919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G7</c:v>
          </c:tx>
          <c:spPr>
            <a:ln w="28575">
              <a:noFill/>
            </a:ln>
          </c:spPr>
          <c:xVal>
            <c:numRef>
              <c:f>'1077V16-V0,125'!$B$54:$P$54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'1077V16-V0,125'!$B$96:$P$96</c:f>
              <c:numCache>
                <c:formatCode>General</c:formatCode>
                <c:ptCount val="15"/>
                <c:pt idx="0">
                  <c:v>1.7628573945590448E-3</c:v>
                </c:pt>
                <c:pt idx="1">
                  <c:v>1.8999970385006476E-3</c:v>
                </c:pt>
                <c:pt idx="2">
                  <c:v>2.1085698689733284E-3</c:v>
                </c:pt>
                <c:pt idx="3">
                  <c:v>2.6285722851753235E-3</c:v>
                </c:pt>
                <c:pt idx="4">
                  <c:v>3.8285689694540909E-3</c:v>
                </c:pt>
                <c:pt idx="5">
                  <c:v>6.1542862227984829E-3</c:v>
                </c:pt>
                <c:pt idx="6">
                  <c:v>1.0165713301726748E-2</c:v>
                </c:pt>
                <c:pt idx="7">
                  <c:v>1.7000000817435135E-2</c:v>
                </c:pt>
                <c:pt idx="8">
                  <c:v>2.755428616489683E-2</c:v>
                </c:pt>
                <c:pt idx="9">
                  <c:v>4.297143604074205E-2</c:v>
                </c:pt>
                <c:pt idx="10">
                  <c:v>6.4462856522628245E-2</c:v>
                </c:pt>
                <c:pt idx="11">
                  <c:v>9.2145716505391259E-2</c:v>
                </c:pt>
                <c:pt idx="12">
                  <c:v>0.12380285624946867</c:v>
                </c:pt>
                <c:pt idx="13">
                  <c:v>0.16217998947416035</c:v>
                </c:pt>
                <c:pt idx="14">
                  <c:v>0.2060885712504387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B6-DC48-8383-EC25004EAE0B}"/>
            </c:ext>
          </c:extLst>
        </c:ser>
        <c:ser>
          <c:idx val="1"/>
          <c:order val="1"/>
          <c:tx>
            <c:v>Model: G7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'1077V16-V0,125'!$B$54:$P$54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'1077V16-V0,125'!$B$102:$P$102</c:f>
              <c:numCache>
                <c:formatCode>General</c:formatCode>
                <c:ptCount val="15"/>
                <c:pt idx="0">
                  <c:v>1.123839599108477E-3</c:v>
                </c:pt>
                <c:pt idx="1">
                  <c:v>1.6525344326348162E-3</c:v>
                </c:pt>
                <c:pt idx="2">
                  <c:v>2.4299464560690216E-3</c:v>
                </c:pt>
                <c:pt idx="3">
                  <c:v>3.5730812397947957E-3</c:v>
                </c:pt>
                <c:pt idx="4">
                  <c:v>5.2539880104300034E-3</c:v>
                </c:pt>
                <c:pt idx="5">
                  <c:v>7.7256541794520047E-3</c:v>
                </c:pt>
                <c:pt idx="6">
                  <c:v>1.1360081595542007E-2</c:v>
                </c:pt>
                <c:pt idx="7">
                  <c:v>1.6704275244497944E-2</c:v>
                </c:pt>
                <c:pt idx="8">
                  <c:v>2.4562571060532411E-2</c:v>
                </c:pt>
                <c:pt idx="9">
                  <c:v>3.6117693720499819E-2</c:v>
                </c:pt>
                <c:pt idx="10">
                  <c:v>5.3108764407155541E-2</c:v>
                </c:pt>
                <c:pt idx="11">
                  <c:v>7.8093049868625947E-2</c:v>
                </c:pt>
                <c:pt idx="12">
                  <c:v>0.11483084771149421</c:v>
                </c:pt>
                <c:pt idx="13">
                  <c:v>0.16885143566966665</c:v>
                </c:pt>
                <c:pt idx="14">
                  <c:v>0.24828526389824568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B6-DC48-8383-EC25004EA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30991"/>
        <c:axId val="447632719"/>
      </c:scatterChart>
      <c:valAx>
        <c:axId val="4476309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632719"/>
        <c:crosses val="autoZero"/>
        <c:crossBetween val="midCat"/>
      </c:valAx>
      <c:valAx>
        <c:axId val="44763271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7630991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G8 (-W1)</c:v>
          </c:tx>
          <c:spPr>
            <a:ln w="28575">
              <a:noFill/>
            </a:ln>
          </c:spPr>
          <c:marker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'1077V16-V0,06'!$B$54:$AF$54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'1077V16-V0,06'!$B$94:$AF$94</c:f>
              <c:numCache>
                <c:formatCode>General</c:formatCode>
                <c:ptCount val="31"/>
                <c:pt idx="0">
                  <c:v>3.0628570488521051E-3</c:v>
                </c:pt>
                <c:pt idx="1">
                  <c:v>3.2999983855656195E-3</c:v>
                </c:pt>
                <c:pt idx="2">
                  <c:v>3.4085695232663887E-3</c:v>
                </c:pt>
                <c:pt idx="3">
                  <c:v>4.1285678744316101E-3</c:v>
                </c:pt>
                <c:pt idx="4">
                  <c:v>5.5285753948347977E-3</c:v>
                </c:pt>
                <c:pt idx="5">
                  <c:v>8.4542879036494656E-3</c:v>
                </c:pt>
                <c:pt idx="6">
                  <c:v>1.3365715316363741E-2</c:v>
                </c:pt>
                <c:pt idx="7">
                  <c:v>2.1400000793593277E-2</c:v>
                </c:pt>
                <c:pt idx="8">
                  <c:v>3.4054291886942728E-2</c:v>
                </c:pt>
                <c:pt idx="9">
                  <c:v>5.1871422784669052E-2</c:v>
                </c:pt>
                <c:pt idx="10">
                  <c:v>7.6162860861846385E-2</c:v>
                </c:pt>
                <c:pt idx="11">
                  <c:v>0.1070457154086658</c:v>
                </c:pt>
                <c:pt idx="12">
                  <c:v>0.14230285648788726</c:v>
                </c:pt>
                <c:pt idx="13">
                  <c:v>0.18407998766217915</c:v>
                </c:pt>
                <c:pt idx="14">
                  <c:v>0.22628858536481858</c:v>
                </c:pt>
                <c:pt idx="15">
                  <c:v>0.27088285131113871</c:v>
                </c:pt>
                <c:pt idx="16">
                  <c:v>0.3099771282502583</c:v>
                </c:pt>
                <c:pt idx="17">
                  <c:v>0.34661142357758112</c:v>
                </c:pt>
                <c:pt idx="18">
                  <c:v>0.37288856634071893</c:v>
                </c:pt>
                <c:pt idx="19">
                  <c:v>0.3871314423424857</c:v>
                </c:pt>
                <c:pt idx="20">
                  <c:v>0.39750858247280119</c:v>
                </c:pt>
                <c:pt idx="21">
                  <c:v>0.40788572260311673</c:v>
                </c:pt>
                <c:pt idx="22">
                  <c:v>0.41793712526559829</c:v>
                </c:pt>
                <c:pt idx="23">
                  <c:v>0.42640570338283268</c:v>
                </c:pt>
                <c:pt idx="24">
                  <c:v>0.43037145137786864</c:v>
                </c:pt>
                <c:pt idx="25">
                  <c:v>0.43475430692945205</c:v>
                </c:pt>
                <c:pt idx="26">
                  <c:v>0.43917144749845777</c:v>
                </c:pt>
                <c:pt idx="27">
                  <c:v>0.44501145694937028</c:v>
                </c:pt>
                <c:pt idx="28">
                  <c:v>0.44975425941603525</c:v>
                </c:pt>
                <c:pt idx="29">
                  <c:v>0.45588854423591069</c:v>
                </c:pt>
                <c:pt idx="30">
                  <c:v>0.46012568537678039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07-0641-82F0-3158E43912F6}"/>
            </c:ext>
          </c:extLst>
        </c:ser>
        <c:ser>
          <c:idx val="1"/>
          <c:order val="1"/>
          <c:tx>
            <c:v>G9 (-W1)</c:v>
          </c:tx>
          <c:spPr>
            <a:ln w="28575">
              <a:noFill/>
            </a:ln>
          </c:spPr>
          <c:marker>
            <c:spPr>
              <a:solidFill>
                <a:srgbClr val="00808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'1077V16-V0,06'!$B$54:$AF$54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'1077V16-V0,06'!$B$95:$AF$95</c:f>
              <c:numCache>
                <c:formatCode>General</c:formatCode>
                <c:ptCount val="31"/>
                <c:pt idx="0">
                  <c:v>2.5628560355731439E-3</c:v>
                </c:pt>
                <c:pt idx="1">
                  <c:v>3.0000007578304816E-3</c:v>
                </c:pt>
                <c:pt idx="2">
                  <c:v>3.5085712160383004E-3</c:v>
                </c:pt>
                <c:pt idx="3">
                  <c:v>3.9285719394683838E-3</c:v>
                </c:pt>
                <c:pt idx="4">
                  <c:v>6.1285706503050735E-3</c:v>
                </c:pt>
                <c:pt idx="5">
                  <c:v>8.354286210877554E-3</c:v>
                </c:pt>
                <c:pt idx="6">
                  <c:v>1.286571430308478E-2</c:v>
                </c:pt>
                <c:pt idx="7">
                  <c:v>2.099999402250563E-2</c:v>
                </c:pt>
                <c:pt idx="8">
                  <c:v>3.4054291886942728E-2</c:v>
                </c:pt>
                <c:pt idx="9">
                  <c:v>5.1871422784669052E-2</c:v>
                </c:pt>
                <c:pt idx="10">
                  <c:v>7.6762856117316661E-2</c:v>
                </c:pt>
                <c:pt idx="11">
                  <c:v>0.1070457154086658</c:v>
                </c:pt>
                <c:pt idx="12">
                  <c:v>0.14290285174335754</c:v>
                </c:pt>
                <c:pt idx="13">
                  <c:v>0.18508000458989826</c:v>
                </c:pt>
                <c:pt idx="14">
                  <c:v>0.22958856672048569</c:v>
                </c:pt>
                <c:pt idx="15">
                  <c:v>0.27398285908358438</c:v>
                </c:pt>
                <c:pt idx="16">
                  <c:v>0.31117714856352124</c:v>
                </c:pt>
                <c:pt idx="17">
                  <c:v>0.34701143034866877</c:v>
                </c:pt>
                <c:pt idx="18">
                  <c:v>0.37238857277802057</c:v>
                </c:pt>
                <c:pt idx="19">
                  <c:v>0.38763143590518406</c:v>
                </c:pt>
                <c:pt idx="20">
                  <c:v>0.39750856757163999</c:v>
                </c:pt>
                <c:pt idx="21">
                  <c:v>0.40738569923809598</c:v>
                </c:pt>
                <c:pt idx="22">
                  <c:v>0.41713717132806777</c:v>
                </c:pt>
                <c:pt idx="23">
                  <c:v>0.42550573285136906</c:v>
                </c:pt>
                <c:pt idx="24">
                  <c:v>0.43027143478393554</c:v>
                </c:pt>
                <c:pt idx="25">
                  <c:v>0.43605428423200332</c:v>
                </c:pt>
                <c:pt idx="26">
                  <c:v>0.44047142480100904</c:v>
                </c:pt>
                <c:pt idx="27">
                  <c:v>0.44391145323004044</c:v>
                </c:pt>
                <c:pt idx="28">
                  <c:v>0.44955428583281382</c:v>
                </c:pt>
                <c:pt idx="29">
                  <c:v>0.45678857437201908</c:v>
                </c:pt>
                <c:pt idx="30">
                  <c:v>0.46122568909611023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07-0641-82F0-3158E43912F6}"/>
            </c:ext>
          </c:extLst>
        </c:ser>
        <c:ser>
          <c:idx val="2"/>
          <c:order val="2"/>
          <c:tx>
            <c:v>G10 (-W1)</c:v>
          </c:tx>
          <c:spPr>
            <a:ln w="28575">
              <a:noFill/>
            </a:ln>
          </c:spPr>
          <c:marker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'1077V16-V0,06'!$B$54:$AF$54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'1077V16-V0,06'!$B$96:$AF$96</c:f>
              <c:numCache>
                <c:formatCode>General</c:formatCode>
                <c:ptCount val="31"/>
                <c:pt idx="0">
                  <c:v>3.0628570488521051E-3</c:v>
                </c:pt>
                <c:pt idx="1">
                  <c:v>3.1000024506023932E-3</c:v>
                </c:pt>
                <c:pt idx="2">
                  <c:v>3.308575281075074E-3</c:v>
                </c:pt>
                <c:pt idx="3">
                  <c:v>3.9285719394683838E-3</c:v>
                </c:pt>
                <c:pt idx="4">
                  <c:v>5.1285686237471512E-3</c:v>
                </c:pt>
                <c:pt idx="5">
                  <c:v>7.7542835048266812E-3</c:v>
                </c:pt>
                <c:pt idx="6">
                  <c:v>1.2265711597033907E-2</c:v>
                </c:pt>
                <c:pt idx="7">
                  <c:v>1.9600000126021255E-2</c:v>
                </c:pt>
                <c:pt idx="8">
                  <c:v>3.1154287500040873E-2</c:v>
                </c:pt>
                <c:pt idx="9">
                  <c:v>4.8171434657914292E-2</c:v>
                </c:pt>
                <c:pt idx="10">
                  <c:v>7.2362856141158519E-2</c:v>
                </c:pt>
                <c:pt idx="11">
                  <c:v>0.10194571848426547</c:v>
                </c:pt>
                <c:pt idx="12">
                  <c:v>0.13800285820450103</c:v>
                </c:pt>
                <c:pt idx="13">
                  <c:v>0.18148000325475422</c:v>
                </c:pt>
                <c:pt idx="14">
                  <c:v>0.22858857959508896</c:v>
                </c:pt>
                <c:pt idx="15">
                  <c:v>0.27378285569804056</c:v>
                </c:pt>
                <c:pt idx="16">
                  <c:v>0.32037715528692517</c:v>
                </c:pt>
                <c:pt idx="17">
                  <c:v>0.3586114180939538</c:v>
                </c:pt>
                <c:pt idx="18">
                  <c:v>0.38928857573441095</c:v>
                </c:pt>
                <c:pt idx="19">
                  <c:v>0.39773141316005162</c:v>
                </c:pt>
                <c:pt idx="20">
                  <c:v>0.40530856549739835</c:v>
                </c:pt>
                <c:pt idx="21">
                  <c:v>0.41288571783474515</c:v>
                </c:pt>
                <c:pt idx="22">
                  <c:v>0.42623713165521621</c:v>
                </c:pt>
                <c:pt idx="23">
                  <c:v>0.4323057287505695</c:v>
                </c:pt>
                <c:pt idx="24">
                  <c:v>0.43427144289016723</c:v>
                </c:pt>
                <c:pt idx="25">
                  <c:v>0.43725430454526626</c:v>
                </c:pt>
                <c:pt idx="26">
                  <c:v>0.44127143834318433</c:v>
                </c:pt>
                <c:pt idx="27">
                  <c:v>0.44421144340719498</c:v>
                </c:pt>
                <c:pt idx="28">
                  <c:v>0.44965430242674692</c:v>
                </c:pt>
                <c:pt idx="29">
                  <c:v>0.45678857437201908</c:v>
                </c:pt>
                <c:pt idx="30">
                  <c:v>0.46082574192966735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07-0641-82F0-3158E4391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639695"/>
        <c:axId val="433641391"/>
      </c:scatterChart>
      <c:valAx>
        <c:axId val="433639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3641391"/>
        <c:crosses val="autoZero"/>
        <c:crossBetween val="midCat"/>
      </c:valAx>
      <c:valAx>
        <c:axId val="4336413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3639695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G8</c:v>
          </c:tx>
          <c:spPr>
            <a:ln w="28575">
              <a:noFill/>
            </a:ln>
          </c:spPr>
          <c:xVal>
            <c:numRef>
              <c:f>'1077V16-V0,06'!$B$54:$Q$54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'1077V16-V0,06'!$B$94:$Q$94</c:f>
              <c:numCache>
                <c:formatCode>General</c:formatCode>
                <c:ptCount val="16"/>
                <c:pt idx="0">
                  <c:v>3.0628570488521051E-3</c:v>
                </c:pt>
                <c:pt idx="1">
                  <c:v>3.2999983855656195E-3</c:v>
                </c:pt>
                <c:pt idx="2">
                  <c:v>3.4085695232663887E-3</c:v>
                </c:pt>
                <c:pt idx="3">
                  <c:v>4.1285678744316101E-3</c:v>
                </c:pt>
                <c:pt idx="4">
                  <c:v>5.5285753948347977E-3</c:v>
                </c:pt>
                <c:pt idx="5">
                  <c:v>8.4542879036494656E-3</c:v>
                </c:pt>
                <c:pt idx="6">
                  <c:v>1.3365715316363741E-2</c:v>
                </c:pt>
                <c:pt idx="7">
                  <c:v>2.1400000793593277E-2</c:v>
                </c:pt>
                <c:pt idx="8">
                  <c:v>3.4054291886942728E-2</c:v>
                </c:pt>
                <c:pt idx="9">
                  <c:v>5.1871422784669052E-2</c:v>
                </c:pt>
                <c:pt idx="10">
                  <c:v>7.6162860861846385E-2</c:v>
                </c:pt>
                <c:pt idx="11">
                  <c:v>0.1070457154086658</c:v>
                </c:pt>
                <c:pt idx="12">
                  <c:v>0.14230285648788726</c:v>
                </c:pt>
                <c:pt idx="13">
                  <c:v>0.18407998766217915</c:v>
                </c:pt>
                <c:pt idx="14">
                  <c:v>0.22628858536481858</c:v>
                </c:pt>
                <c:pt idx="15">
                  <c:v>0.27088285131113871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DD-DA4F-9AC9-BE469CD9BC18}"/>
            </c:ext>
          </c:extLst>
        </c:ser>
        <c:ser>
          <c:idx val="1"/>
          <c:order val="1"/>
          <c:tx>
            <c:v>Model: G8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'1077V16-V0,06'!$B$54:$Q$54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'1077V16-V0,06'!$B$100:$Q$100</c:f>
              <c:numCache>
                <c:formatCode>General</c:formatCode>
                <c:ptCount val="16"/>
                <c:pt idx="0">
                  <c:v>1.9649662901424199E-3</c:v>
                </c:pt>
                <c:pt idx="1">
                  <c:v>2.772900591958101E-3</c:v>
                </c:pt>
                <c:pt idx="2">
                  <c:v>3.9130328756552327E-3</c:v>
                </c:pt>
                <c:pt idx="3">
                  <c:v>5.5219528353687283E-3</c:v>
                </c:pt>
                <c:pt idx="4">
                  <c:v>7.7924116880645645E-3</c:v>
                </c:pt>
                <c:pt idx="5">
                  <c:v>1.0996414081510451E-2</c:v>
                </c:pt>
                <c:pt idx="6">
                  <c:v>1.5517804691614677E-2</c:v>
                </c:pt>
                <c:pt idx="7">
                  <c:v>2.18982534362713E-2</c:v>
                </c:pt>
                <c:pt idx="8">
                  <c:v>3.0902148408807638E-2</c:v>
                </c:pt>
                <c:pt idx="9">
                  <c:v>4.3608170809560851E-2</c:v>
                </c:pt>
                <c:pt idx="10">
                  <c:v>6.1538522700700884E-2</c:v>
                </c:pt>
                <c:pt idx="11">
                  <c:v>8.6841289278622988E-2</c:v>
                </c:pt>
                <c:pt idx="12">
                  <c:v>0.12254778295949557</c:v>
                </c:pt>
                <c:pt idx="13">
                  <c:v>0.17293569951620316</c:v>
                </c:pt>
                <c:pt idx="14">
                  <c:v>0.24404159296005604</c:v>
                </c:pt>
                <c:pt idx="15">
                  <c:v>0.34438406448809378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DD-DA4F-9AC9-BE469CD9B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942063"/>
        <c:axId val="447943791"/>
      </c:scatterChart>
      <c:valAx>
        <c:axId val="4479420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943791"/>
        <c:crosses val="autoZero"/>
        <c:crossBetween val="midCat"/>
      </c:valAx>
      <c:valAx>
        <c:axId val="447943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7942063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G9</c:v>
          </c:tx>
          <c:spPr>
            <a:ln w="28575">
              <a:noFill/>
            </a:ln>
          </c:spPr>
          <c:xVal>
            <c:numRef>
              <c:f>'1077V16-V0,06'!$B$54:$P$54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'1077V16-V0,06'!$B$95:$P$95</c:f>
              <c:numCache>
                <c:formatCode>General</c:formatCode>
                <c:ptCount val="15"/>
                <c:pt idx="0">
                  <c:v>2.5628560355731439E-3</c:v>
                </c:pt>
                <c:pt idx="1">
                  <c:v>3.0000007578304816E-3</c:v>
                </c:pt>
                <c:pt idx="2">
                  <c:v>3.5085712160383004E-3</c:v>
                </c:pt>
                <c:pt idx="3">
                  <c:v>3.9285719394683838E-3</c:v>
                </c:pt>
                <c:pt idx="4">
                  <c:v>6.1285706503050735E-3</c:v>
                </c:pt>
                <c:pt idx="5">
                  <c:v>8.354286210877554E-3</c:v>
                </c:pt>
                <c:pt idx="6">
                  <c:v>1.286571430308478E-2</c:v>
                </c:pt>
                <c:pt idx="7">
                  <c:v>2.099999402250563E-2</c:v>
                </c:pt>
                <c:pt idx="8">
                  <c:v>3.4054291886942728E-2</c:v>
                </c:pt>
                <c:pt idx="9">
                  <c:v>5.1871422784669052E-2</c:v>
                </c:pt>
                <c:pt idx="10">
                  <c:v>7.6762856117316661E-2</c:v>
                </c:pt>
                <c:pt idx="11">
                  <c:v>0.1070457154086658</c:v>
                </c:pt>
                <c:pt idx="12">
                  <c:v>0.14290285174335754</c:v>
                </c:pt>
                <c:pt idx="13">
                  <c:v>0.18508000458989826</c:v>
                </c:pt>
                <c:pt idx="14">
                  <c:v>0.22958856672048569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A5-A943-AF10-91E2A3B6F53E}"/>
            </c:ext>
          </c:extLst>
        </c:ser>
        <c:ser>
          <c:idx val="1"/>
          <c:order val="1"/>
          <c:tx>
            <c:v>Model: G9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'1077V16-V0,06'!$B$54:$P$54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'1077V16-V0,06'!$B$101:$P$101</c:f>
              <c:numCache>
                <c:formatCode>General</c:formatCode>
                <c:ptCount val="15"/>
                <c:pt idx="0">
                  <c:v>1.7916460114556095E-3</c:v>
                </c:pt>
                <c:pt idx="1">
                  <c:v>2.5621794412657613E-3</c:v>
                </c:pt>
                <c:pt idx="2">
                  <c:v>3.664096282005749E-3</c:v>
                </c:pt>
                <c:pt idx="3">
                  <c:v>5.2399146396927901E-3</c:v>
                </c:pt>
                <c:pt idx="4">
                  <c:v>7.4934454004677098E-3</c:v>
                </c:pt>
                <c:pt idx="5">
                  <c:v>1.0716152424399565E-2</c:v>
                </c:pt>
                <c:pt idx="6">
                  <c:v>1.5324849471218828E-2</c:v>
                </c:pt>
                <c:pt idx="7">
                  <c:v>2.1915609447732805E-2</c:v>
                </c:pt>
                <c:pt idx="8">
                  <c:v>3.1340858412187478E-2</c:v>
                </c:pt>
                <c:pt idx="9">
                  <c:v>4.4819625406967496E-2</c:v>
                </c:pt>
                <c:pt idx="10">
                  <c:v>6.4095207450978048E-2</c:v>
                </c:pt>
                <c:pt idx="11">
                  <c:v>9.1660641535510679E-2</c:v>
                </c:pt>
                <c:pt idx="12">
                  <c:v>0.1310811453902733</c:v>
                </c:pt>
                <c:pt idx="13">
                  <c:v>0.18745523039099926</c:v>
                </c:pt>
                <c:pt idx="14">
                  <c:v>0.26807412535434061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A5-A943-AF10-91E2A3B6F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976479"/>
        <c:axId val="447978207"/>
      </c:scatterChart>
      <c:valAx>
        <c:axId val="4479764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978207"/>
        <c:crosses val="autoZero"/>
        <c:crossBetween val="midCat"/>
      </c:valAx>
      <c:valAx>
        <c:axId val="4479782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797647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G10</c:v>
          </c:tx>
          <c:spPr>
            <a:ln w="28575">
              <a:noFill/>
            </a:ln>
          </c:spPr>
          <c:xVal>
            <c:numRef>
              <c:f>'1077V16-V0,06'!$B$54:$Q$54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'1077V16-V0,06'!$B$96:$Q$96</c:f>
              <c:numCache>
                <c:formatCode>General</c:formatCode>
                <c:ptCount val="16"/>
                <c:pt idx="0">
                  <c:v>3.0628570488521051E-3</c:v>
                </c:pt>
                <c:pt idx="1">
                  <c:v>3.1000024506023932E-3</c:v>
                </c:pt>
                <c:pt idx="2">
                  <c:v>3.308575281075074E-3</c:v>
                </c:pt>
                <c:pt idx="3">
                  <c:v>3.9285719394683838E-3</c:v>
                </c:pt>
                <c:pt idx="4">
                  <c:v>5.1285686237471512E-3</c:v>
                </c:pt>
                <c:pt idx="5">
                  <c:v>7.7542835048266812E-3</c:v>
                </c:pt>
                <c:pt idx="6">
                  <c:v>1.2265711597033907E-2</c:v>
                </c:pt>
                <c:pt idx="7">
                  <c:v>1.9600000126021255E-2</c:v>
                </c:pt>
                <c:pt idx="8">
                  <c:v>3.1154287500040873E-2</c:v>
                </c:pt>
                <c:pt idx="9">
                  <c:v>4.8171434657914292E-2</c:v>
                </c:pt>
                <c:pt idx="10">
                  <c:v>7.2362856141158519E-2</c:v>
                </c:pt>
                <c:pt idx="11">
                  <c:v>0.10194571848426547</c:v>
                </c:pt>
                <c:pt idx="12">
                  <c:v>0.13800285820450103</c:v>
                </c:pt>
                <c:pt idx="13">
                  <c:v>0.18148000325475422</c:v>
                </c:pt>
                <c:pt idx="14">
                  <c:v>0.22858857959508896</c:v>
                </c:pt>
                <c:pt idx="15">
                  <c:v>0.27378285569804056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A0-1E42-ABE2-5040AE1AEDF5}"/>
            </c:ext>
          </c:extLst>
        </c:ser>
        <c:ser>
          <c:idx val="1"/>
          <c:order val="1"/>
          <c:tx>
            <c:v>Model: G10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'1077V16-V0,06'!$B$54:$Q$54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'1077V16-V0,06'!$B$102:$Q$102</c:f>
              <c:numCache>
                <c:formatCode>General</c:formatCode>
                <c:ptCount val="16"/>
                <c:pt idx="0">
                  <c:v>1.8356560493869628E-3</c:v>
                </c:pt>
                <c:pt idx="1">
                  <c:v>2.5974427017262181E-3</c:v>
                </c:pt>
                <c:pt idx="2">
                  <c:v>3.6753664124626892E-3</c:v>
                </c:pt>
                <c:pt idx="3">
                  <c:v>5.2006222338923797E-3</c:v>
                </c:pt>
                <c:pt idx="4">
                  <c:v>7.3588504068450682E-3</c:v>
                </c:pt>
                <c:pt idx="5">
                  <c:v>1.0412730799290051E-2</c:v>
                </c:pt>
                <c:pt idx="6">
                  <c:v>1.4733953906391244E-2</c:v>
                </c:pt>
                <c:pt idx="7">
                  <c:v>2.0848459630826439E-2</c:v>
                </c:pt>
                <c:pt idx="8">
                  <c:v>2.9500449895506677E-2</c:v>
                </c:pt>
                <c:pt idx="9">
                  <c:v>4.1742966120648657E-2</c:v>
                </c:pt>
                <c:pt idx="10">
                  <c:v>5.9066055830390089E-2</c:v>
                </c:pt>
                <c:pt idx="11">
                  <c:v>8.3578127660482268E-2</c:v>
                </c:pt>
                <c:pt idx="12">
                  <c:v>0.11826256764613458</c:v>
                </c:pt>
                <c:pt idx="13">
                  <c:v>0.16734084978634275</c:v>
                </c:pt>
                <c:pt idx="14">
                  <c:v>0.23678633539401808</c:v>
                </c:pt>
                <c:pt idx="15">
                  <c:v>0.33505129620719937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A0-1E42-ABE2-5040AE1AE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010799"/>
        <c:axId val="448012527"/>
      </c:scatterChart>
      <c:valAx>
        <c:axId val="4480107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8012527"/>
        <c:crosses val="autoZero"/>
        <c:crossBetween val="midCat"/>
      </c:valAx>
      <c:valAx>
        <c:axId val="4480125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801079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E11 (-W1)</c:v>
          </c:tx>
          <c:spPr>
            <a:ln w="28575">
              <a:noFill/>
            </a:ln>
          </c:spPr>
          <c:marker>
            <c:spPr>
              <a:solidFill>
                <a:srgbClr val="3366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xVal>
            <c:numRef>
              <c:f>'1077V16-V0,03'!$B$54:$AF$54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'1077V16-V0,03'!$B$94:$AF$94</c:f>
              <c:numCache>
                <c:formatCode>General</c:formatCode>
                <c:ptCount val="31"/>
                <c:pt idx="0">
                  <c:v>3.6777746346261797E-3</c:v>
                </c:pt>
                <c:pt idx="1">
                  <c:v>4.6444442123174667E-3</c:v>
                </c:pt>
                <c:pt idx="2">
                  <c:v>3.9444451944695563E-3</c:v>
                </c:pt>
                <c:pt idx="3">
                  <c:v>4.8694469862514134E-3</c:v>
                </c:pt>
                <c:pt idx="4">
                  <c:v>6.06944370600912E-3</c:v>
                </c:pt>
                <c:pt idx="5">
                  <c:v>8.788890308803976E-3</c:v>
                </c:pt>
                <c:pt idx="6">
                  <c:v>1.3108331089218453E-2</c:v>
                </c:pt>
                <c:pt idx="7">
                  <c:v>2.0844451669189662E-2</c:v>
                </c:pt>
                <c:pt idx="8">
                  <c:v>3.2394438361128167E-2</c:v>
                </c:pt>
                <c:pt idx="9">
                  <c:v>4.9719447890917465E-2</c:v>
                </c:pt>
                <c:pt idx="10">
                  <c:v>7.4094444099399775E-2</c:v>
                </c:pt>
                <c:pt idx="11">
                  <c:v>0.10537778172228071</c:v>
                </c:pt>
                <c:pt idx="12">
                  <c:v>0.14282777243190342</c:v>
                </c:pt>
                <c:pt idx="13">
                  <c:v>0.18710277333027786</c:v>
                </c:pt>
                <c:pt idx="14">
                  <c:v>0.23301945419775116</c:v>
                </c:pt>
                <c:pt idx="15">
                  <c:v>0.27952222960690659</c:v>
                </c:pt>
                <c:pt idx="16">
                  <c:v>0.3289166757216056</c:v>
                </c:pt>
                <c:pt idx="17">
                  <c:v>0.36014443118539119</c:v>
                </c:pt>
                <c:pt idx="18">
                  <c:v>0.38623334653675556</c:v>
                </c:pt>
                <c:pt idx="19">
                  <c:v>0.3972666445705626</c:v>
                </c:pt>
                <c:pt idx="20">
                  <c:v>0.40584858558658099</c:v>
                </c:pt>
                <c:pt idx="21">
                  <c:v>0.41443052660259938</c:v>
                </c:pt>
                <c:pt idx="22">
                  <c:v>0.42598890409701401</c:v>
                </c:pt>
                <c:pt idx="23">
                  <c:v>0.4310499940895372</c:v>
                </c:pt>
                <c:pt idx="24">
                  <c:v>0.43101113082634079</c:v>
                </c:pt>
                <c:pt idx="25">
                  <c:v>0.43432779216931927</c:v>
                </c:pt>
                <c:pt idx="26">
                  <c:v>0.43662779902418453</c:v>
                </c:pt>
                <c:pt idx="27">
                  <c:v>0.43888058492706883</c:v>
                </c:pt>
                <c:pt idx="28">
                  <c:v>0.44350001774728298</c:v>
                </c:pt>
                <c:pt idx="29">
                  <c:v>0.45103889972799355</c:v>
                </c:pt>
                <c:pt idx="30">
                  <c:v>0.45378888750241864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0-9449-B50B-07EEA36457F3}"/>
            </c:ext>
          </c:extLst>
        </c:ser>
        <c:ser>
          <c:idx val="1"/>
          <c:order val="1"/>
          <c:tx>
            <c:v>F11 (-W1)</c:v>
          </c:tx>
          <c:spPr>
            <a:ln w="28575">
              <a:noFill/>
            </a:ln>
          </c:spPr>
          <c:marker>
            <c:spPr>
              <a:solidFill>
                <a:srgbClr val="008080"/>
              </a:solidFill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'1077V16-V0,03'!$B$54:$AF$54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'1077V16-V0,03'!$B$95:$AF$95</c:f>
              <c:numCache>
                <c:formatCode>General</c:formatCode>
                <c:ptCount val="31"/>
                <c:pt idx="0">
                  <c:v>2.5628560355731439E-3</c:v>
                </c:pt>
                <c:pt idx="1">
                  <c:v>2.7999973722866583E-3</c:v>
                </c:pt>
                <c:pt idx="2">
                  <c:v>2.9085685099874276E-3</c:v>
                </c:pt>
                <c:pt idx="3">
                  <c:v>3.7285685539245605E-3</c:v>
                </c:pt>
                <c:pt idx="4">
                  <c:v>5.2285703165190628E-3</c:v>
                </c:pt>
                <c:pt idx="5">
                  <c:v>8.2542845181056423E-3</c:v>
                </c:pt>
                <c:pt idx="6">
                  <c:v>1.3365715316363741E-2</c:v>
                </c:pt>
                <c:pt idx="7">
                  <c:v>2.1999996049063553E-2</c:v>
                </c:pt>
                <c:pt idx="8">
                  <c:v>3.525428239788328E-2</c:v>
                </c:pt>
                <c:pt idx="9">
                  <c:v>5.407143022332872E-2</c:v>
                </c:pt>
                <c:pt idx="10">
                  <c:v>7.9662860504218516E-2</c:v>
                </c:pt>
                <c:pt idx="11">
                  <c:v>0.11254571910415377</c:v>
                </c:pt>
                <c:pt idx="12">
                  <c:v>0.15110285644020355</c:v>
                </c:pt>
                <c:pt idx="13">
                  <c:v>0.19748000587735859</c:v>
                </c:pt>
                <c:pt idx="14">
                  <c:v>0.24408855885267258</c:v>
                </c:pt>
                <c:pt idx="15">
                  <c:v>0.29658285421984537</c:v>
                </c:pt>
                <c:pt idx="16">
                  <c:v>0.33657713149275098</c:v>
                </c:pt>
                <c:pt idx="17">
                  <c:v>0.3732114268200738</c:v>
                </c:pt>
                <c:pt idx="18">
                  <c:v>0.3920885635273797</c:v>
                </c:pt>
                <c:pt idx="19">
                  <c:v>0.40073143414088658</c:v>
                </c:pt>
                <c:pt idx="20">
                  <c:v>0.40745856463909147</c:v>
                </c:pt>
                <c:pt idx="21">
                  <c:v>0.41418569513729642</c:v>
                </c:pt>
                <c:pt idx="22">
                  <c:v>0.42563715130090712</c:v>
                </c:pt>
                <c:pt idx="23">
                  <c:v>0.42720571692500797</c:v>
                </c:pt>
                <c:pt idx="24">
                  <c:v>0.42857145071029662</c:v>
                </c:pt>
                <c:pt idx="25">
                  <c:v>0.43205427612577163</c:v>
                </c:pt>
                <c:pt idx="26">
                  <c:v>0.43577141974653516</c:v>
                </c:pt>
                <c:pt idx="27">
                  <c:v>0.43961145494665421</c:v>
                </c:pt>
                <c:pt idx="28">
                  <c:v>0.44475426418440683</c:v>
                </c:pt>
                <c:pt idx="29">
                  <c:v>0.45028856864997319</c:v>
                </c:pt>
                <c:pt idx="30">
                  <c:v>0.45582568709339416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0-9449-B50B-07EEA36457F3}"/>
            </c:ext>
          </c:extLst>
        </c:ser>
        <c:ser>
          <c:idx val="2"/>
          <c:order val="2"/>
          <c:tx>
            <c:v>G11 (-W1)</c:v>
          </c:tx>
          <c:spPr>
            <a:ln w="28575">
              <a:noFill/>
            </a:ln>
          </c:spPr>
          <c:marker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'1077V16-V0,03'!$B$54:$AF$54</c:f>
              <c:numCache>
                <c:formatCode>General</c:formatCode>
                <c:ptCount val="31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  <c:pt idx="17">
                  <c:v>15301.7</c:v>
                </c:pt>
                <c:pt idx="18">
                  <c:v>16201.8</c:v>
                </c:pt>
                <c:pt idx="19">
                  <c:v>17101.900000000001</c:v>
                </c:pt>
                <c:pt idx="20">
                  <c:v>18002</c:v>
                </c:pt>
                <c:pt idx="21">
                  <c:v>18902.099999999999</c:v>
                </c:pt>
                <c:pt idx="22">
                  <c:v>19802.2</c:v>
                </c:pt>
                <c:pt idx="23">
                  <c:v>20702.3</c:v>
                </c:pt>
                <c:pt idx="24">
                  <c:v>21602.400000000001</c:v>
                </c:pt>
                <c:pt idx="25">
                  <c:v>22502.5</c:v>
                </c:pt>
                <c:pt idx="26">
                  <c:v>23402.6</c:v>
                </c:pt>
                <c:pt idx="27">
                  <c:v>24302.7</c:v>
                </c:pt>
                <c:pt idx="28">
                  <c:v>25202.799999999999</c:v>
                </c:pt>
                <c:pt idx="29">
                  <c:v>26102.9</c:v>
                </c:pt>
                <c:pt idx="30">
                  <c:v>27003</c:v>
                </c:pt>
              </c:numCache>
            </c:numRef>
          </c:xVal>
          <c:yVal>
            <c:numRef>
              <c:f>'1077V16-V0,03'!$B$96:$AF$96</c:f>
              <c:numCache>
                <c:formatCode>General</c:formatCode>
                <c:ptCount val="31"/>
                <c:pt idx="0">
                  <c:v>1.4375008177012205E-3</c:v>
                </c:pt>
                <c:pt idx="1">
                  <c:v>1.1718734167516232E-3</c:v>
                </c:pt>
                <c:pt idx="2">
                  <c:v>1.3812496326863766E-3</c:v>
                </c:pt>
                <c:pt idx="3">
                  <c:v>1.9812523387372494E-3</c:v>
                </c:pt>
                <c:pt idx="4">
                  <c:v>2.9843780212104321E-3</c:v>
                </c:pt>
                <c:pt idx="5">
                  <c:v>5.1874967757612467E-3</c:v>
                </c:pt>
                <c:pt idx="6">
                  <c:v>9.1031258925795555E-3</c:v>
                </c:pt>
                <c:pt idx="7">
                  <c:v>1.563437283039093E-2</c:v>
                </c:pt>
                <c:pt idx="8">
                  <c:v>2.5787498103454709E-2</c:v>
                </c:pt>
                <c:pt idx="9">
                  <c:v>4.1009376989677548E-2</c:v>
                </c:pt>
                <c:pt idx="10">
                  <c:v>6.3512495718896389E-2</c:v>
                </c:pt>
                <c:pt idx="11">
                  <c:v>9.0590628329664469E-2</c:v>
                </c:pt>
                <c:pt idx="12">
                  <c:v>0.1254624945577234</c:v>
                </c:pt>
                <c:pt idx="13">
                  <c:v>0.16724062291905284</c:v>
                </c:pt>
                <c:pt idx="14">
                  <c:v>0.21364375576376915</c:v>
                </c:pt>
                <c:pt idx="15">
                  <c:v>0.25965313496999443</c:v>
                </c:pt>
                <c:pt idx="16">
                  <c:v>0.30473438836634159</c:v>
                </c:pt>
                <c:pt idx="17">
                  <c:v>0.34578125807456672</c:v>
                </c:pt>
                <c:pt idx="18">
                  <c:v>0.37713123997673392</c:v>
                </c:pt>
                <c:pt idx="19">
                  <c:v>0.38627187185920775</c:v>
                </c:pt>
                <c:pt idx="20">
                  <c:v>0.39445625164080411</c:v>
                </c:pt>
                <c:pt idx="21">
                  <c:v>0.40264063142240047</c:v>
                </c:pt>
                <c:pt idx="22">
                  <c:v>0.41160935163497925</c:v>
                </c:pt>
                <c:pt idx="23">
                  <c:v>0.42161249369382858</c:v>
                </c:pt>
                <c:pt idx="24">
                  <c:v>0.4281843570061028</c:v>
                </c:pt>
                <c:pt idx="25">
                  <c:v>0.43173438496887684</c:v>
                </c:pt>
                <c:pt idx="26">
                  <c:v>0.43623752426356077</c:v>
                </c:pt>
                <c:pt idx="27">
                  <c:v>0.43989377631805837</c:v>
                </c:pt>
                <c:pt idx="28">
                  <c:v>0.44610935728996992</c:v>
                </c:pt>
                <c:pt idx="29">
                  <c:v>0.45231562294065952</c:v>
                </c:pt>
                <c:pt idx="30">
                  <c:v>0.4579656149726361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40-9449-B50B-07EEA3645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875615"/>
        <c:axId val="447877311"/>
      </c:scatterChart>
      <c:valAx>
        <c:axId val="447875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877311"/>
        <c:crosses val="autoZero"/>
        <c:crossBetween val="midCat"/>
      </c:valAx>
      <c:valAx>
        <c:axId val="44787731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7875615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E11</c:v>
          </c:tx>
          <c:spPr>
            <a:ln w="28575">
              <a:noFill/>
            </a:ln>
          </c:spPr>
          <c:xVal>
            <c:numRef>
              <c:f>'1077V16-V0,03'!$B$54:$R$54</c:f>
              <c:numCache>
                <c:formatCode>General</c:formatCode>
                <c:ptCount val="17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</c:numCache>
            </c:numRef>
          </c:xVal>
          <c:yVal>
            <c:numRef>
              <c:f>'1077V16-V0,03'!$B$94:$R$94</c:f>
              <c:numCache>
                <c:formatCode>General</c:formatCode>
                <c:ptCount val="17"/>
                <c:pt idx="0">
                  <c:v>3.6777746346261797E-3</c:v>
                </c:pt>
                <c:pt idx="1">
                  <c:v>4.6444442123174667E-3</c:v>
                </c:pt>
                <c:pt idx="2">
                  <c:v>3.9444451944695563E-3</c:v>
                </c:pt>
                <c:pt idx="3">
                  <c:v>4.8694469862514134E-3</c:v>
                </c:pt>
                <c:pt idx="4">
                  <c:v>6.06944370600912E-3</c:v>
                </c:pt>
                <c:pt idx="5">
                  <c:v>8.788890308803976E-3</c:v>
                </c:pt>
                <c:pt idx="6">
                  <c:v>1.3108331089218453E-2</c:v>
                </c:pt>
                <c:pt idx="7">
                  <c:v>2.0844451669189662E-2</c:v>
                </c:pt>
                <c:pt idx="8">
                  <c:v>3.2394438361128167E-2</c:v>
                </c:pt>
                <c:pt idx="9">
                  <c:v>4.9719447890917465E-2</c:v>
                </c:pt>
                <c:pt idx="10">
                  <c:v>7.4094444099399775E-2</c:v>
                </c:pt>
                <c:pt idx="11">
                  <c:v>0.10537778172228071</c:v>
                </c:pt>
                <c:pt idx="12">
                  <c:v>0.14282777243190342</c:v>
                </c:pt>
                <c:pt idx="13">
                  <c:v>0.18710277333027786</c:v>
                </c:pt>
                <c:pt idx="14">
                  <c:v>0.23301945419775116</c:v>
                </c:pt>
                <c:pt idx="15">
                  <c:v>0.27952222960690659</c:v>
                </c:pt>
                <c:pt idx="16">
                  <c:v>0.3289166757216056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B1-784B-A57B-FD17614D0556}"/>
            </c:ext>
          </c:extLst>
        </c:ser>
        <c:ser>
          <c:idx val="1"/>
          <c:order val="1"/>
          <c:tx>
            <c:v>Model: E11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'1077V16-V0,03'!$B$54:$R$54</c:f>
              <c:numCache>
                <c:formatCode>General</c:formatCode>
                <c:ptCount val="17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  <c:pt idx="16">
                  <c:v>14401.6</c:v>
                </c:pt>
              </c:numCache>
            </c:numRef>
          </c:xVal>
          <c:yVal>
            <c:numRef>
              <c:f>'1077V16-V0,03'!$B$100:$R$100</c:f>
              <c:numCache>
                <c:formatCode>General</c:formatCode>
                <c:ptCount val="17"/>
                <c:pt idx="0">
                  <c:v>2.3994649244094002E-3</c:v>
                </c:pt>
                <c:pt idx="1">
                  <c:v>3.3141457582750314E-3</c:v>
                </c:pt>
                <c:pt idx="2">
                  <c:v>4.5775047575641707E-3</c:v>
                </c:pt>
                <c:pt idx="3">
                  <c:v>6.322458737128285E-3</c:v>
                </c:pt>
                <c:pt idx="4">
                  <c:v>8.7325926677924177E-3</c:v>
                </c:pt>
                <c:pt idx="5">
                  <c:v>1.2061474478870069E-2</c:v>
                </c:pt>
                <c:pt idx="6">
                  <c:v>1.6659332702072649E-2</c:v>
                </c:pt>
                <c:pt idx="7">
                  <c:v>2.300990368669641E-2</c:v>
                </c:pt>
                <c:pt idx="8">
                  <c:v>3.1781325047021455E-2</c:v>
                </c:pt>
                <c:pt idx="9">
                  <c:v>4.3896429793768038E-2</c:v>
                </c:pt>
                <c:pt idx="10">
                  <c:v>6.0629836729220787E-2</c:v>
                </c:pt>
                <c:pt idx="11">
                  <c:v>8.3742051895387859E-2</c:v>
                </c:pt>
                <c:pt idx="12">
                  <c:v>0.1156646897627223</c:v>
                </c:pt>
                <c:pt idx="13">
                  <c:v>0.15975630110687089</c:v>
                </c:pt>
                <c:pt idx="14">
                  <c:v>0.22065572298430841</c:v>
                </c:pt>
                <c:pt idx="15">
                  <c:v>0.30477012642622958</c:v>
                </c:pt>
                <c:pt idx="16">
                  <c:v>0.42094910889061898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B1-784B-A57B-FD17614D0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060959"/>
        <c:axId val="448062767"/>
      </c:scatterChart>
      <c:valAx>
        <c:axId val="448060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8062767"/>
        <c:crosses val="autoZero"/>
        <c:crossBetween val="midCat"/>
      </c:valAx>
      <c:valAx>
        <c:axId val="4480627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806095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F11</c:v>
          </c:tx>
          <c:spPr>
            <a:ln w="28575">
              <a:noFill/>
            </a:ln>
          </c:spPr>
          <c:xVal>
            <c:numRef>
              <c:f>'1077V16-V0,03'!$B$54:$Q$54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'1077V16-V0,03'!$B$95:$Q$95</c:f>
              <c:numCache>
                <c:formatCode>General</c:formatCode>
                <c:ptCount val="16"/>
                <c:pt idx="0">
                  <c:v>2.5628560355731439E-3</c:v>
                </c:pt>
                <c:pt idx="1">
                  <c:v>2.7999973722866583E-3</c:v>
                </c:pt>
                <c:pt idx="2">
                  <c:v>2.9085685099874276E-3</c:v>
                </c:pt>
                <c:pt idx="3">
                  <c:v>3.7285685539245605E-3</c:v>
                </c:pt>
                <c:pt idx="4">
                  <c:v>5.2285703165190628E-3</c:v>
                </c:pt>
                <c:pt idx="5">
                  <c:v>8.2542845181056423E-3</c:v>
                </c:pt>
                <c:pt idx="6">
                  <c:v>1.3365715316363741E-2</c:v>
                </c:pt>
                <c:pt idx="7">
                  <c:v>2.1999996049063553E-2</c:v>
                </c:pt>
                <c:pt idx="8">
                  <c:v>3.525428239788328E-2</c:v>
                </c:pt>
                <c:pt idx="9">
                  <c:v>5.407143022332872E-2</c:v>
                </c:pt>
                <c:pt idx="10">
                  <c:v>7.9662860504218516E-2</c:v>
                </c:pt>
                <c:pt idx="11">
                  <c:v>0.11254571910415377</c:v>
                </c:pt>
                <c:pt idx="12">
                  <c:v>0.15110285644020355</c:v>
                </c:pt>
                <c:pt idx="13">
                  <c:v>0.19748000587735859</c:v>
                </c:pt>
                <c:pt idx="14">
                  <c:v>0.24408855885267258</c:v>
                </c:pt>
                <c:pt idx="15">
                  <c:v>0.29658285421984537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FC-D443-93BC-0C58D0CEBF81}"/>
            </c:ext>
          </c:extLst>
        </c:ser>
        <c:ser>
          <c:idx val="1"/>
          <c:order val="1"/>
          <c:tx>
            <c:v>Model: F11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'1077V16-V0,03'!$B$54:$Q$54</c:f>
              <c:numCache>
                <c:formatCode>General</c:formatCode>
                <c:ptCount val="16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  <c:pt idx="15">
                  <c:v>13501.5</c:v>
                </c:pt>
              </c:numCache>
            </c:numRef>
          </c:xVal>
          <c:yVal>
            <c:numRef>
              <c:f>'1077V16-V0,03'!$B$101:$Q$101</c:f>
              <c:numCache>
                <c:formatCode>General</c:formatCode>
                <c:ptCount val="16"/>
                <c:pt idx="0">
                  <c:v>1.6948652259984767E-3</c:v>
                </c:pt>
                <c:pt idx="1">
                  <c:v>2.4355614955286183E-3</c:v>
                </c:pt>
                <c:pt idx="2">
                  <c:v>3.4999595882362704E-3</c:v>
                </c:pt>
                <c:pt idx="3">
                  <c:v>5.029524872098662E-3</c:v>
                </c:pt>
                <c:pt idx="4">
                  <c:v>7.2275464334165367E-3</c:v>
                </c:pt>
                <c:pt idx="5">
                  <c:v>1.0386155506851097E-2</c:v>
                </c:pt>
                <c:pt idx="6">
                  <c:v>1.4925151599683478E-2</c:v>
                </c:pt>
                <c:pt idx="7">
                  <c:v>2.1447796552496557E-2</c:v>
                </c:pt>
                <c:pt idx="8">
                  <c:v>3.0820991926610596E-2</c:v>
                </c:pt>
                <c:pt idx="9">
                  <c:v>4.4290495809912032E-2</c:v>
                </c:pt>
                <c:pt idx="10">
                  <c:v>6.3646492097295726E-2</c:v>
                </c:pt>
                <c:pt idx="11">
                  <c:v>9.1461517470404041E-2</c:v>
                </c:pt>
                <c:pt idx="12">
                  <c:v>0.13143236810602571</c:v>
                </c:pt>
                <c:pt idx="13">
                  <c:v>0.18887142771874141</c:v>
                </c:pt>
                <c:pt idx="14">
                  <c:v>0.27141271760194619</c:v>
                </c:pt>
                <c:pt idx="15">
                  <c:v>0.3900265072691253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FC-D443-93BC-0C58D0CEB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656559"/>
        <c:axId val="430658287"/>
      </c:scatterChart>
      <c:valAx>
        <c:axId val="430656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0658287"/>
        <c:crosses val="autoZero"/>
        <c:crossBetween val="midCat"/>
      </c:valAx>
      <c:valAx>
        <c:axId val="4306582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0656559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Data: G11</c:v>
          </c:tx>
          <c:spPr>
            <a:ln w="28575">
              <a:noFill/>
            </a:ln>
          </c:spPr>
          <c:xVal>
            <c:numRef>
              <c:f>'1077V16-V0,03'!$B$54:$P$54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'1077V16-V0,03'!$B$96:$P$96</c:f>
              <c:numCache>
                <c:formatCode>General</c:formatCode>
                <c:ptCount val="15"/>
                <c:pt idx="0">
                  <c:v>1.4375008177012205E-3</c:v>
                </c:pt>
                <c:pt idx="1">
                  <c:v>1.1718734167516232E-3</c:v>
                </c:pt>
                <c:pt idx="2">
                  <c:v>1.3812496326863766E-3</c:v>
                </c:pt>
                <c:pt idx="3">
                  <c:v>1.9812523387372494E-3</c:v>
                </c:pt>
                <c:pt idx="4">
                  <c:v>2.9843780212104321E-3</c:v>
                </c:pt>
                <c:pt idx="5">
                  <c:v>5.1874967757612467E-3</c:v>
                </c:pt>
                <c:pt idx="6">
                  <c:v>9.1031258925795555E-3</c:v>
                </c:pt>
                <c:pt idx="7">
                  <c:v>1.563437283039093E-2</c:v>
                </c:pt>
                <c:pt idx="8">
                  <c:v>2.5787498103454709E-2</c:v>
                </c:pt>
                <c:pt idx="9">
                  <c:v>4.1009376989677548E-2</c:v>
                </c:pt>
                <c:pt idx="10">
                  <c:v>6.3512495718896389E-2</c:v>
                </c:pt>
                <c:pt idx="11">
                  <c:v>9.0590628329664469E-2</c:v>
                </c:pt>
                <c:pt idx="12">
                  <c:v>0.1254624945577234</c:v>
                </c:pt>
                <c:pt idx="13">
                  <c:v>0.16724062291905284</c:v>
                </c:pt>
                <c:pt idx="14">
                  <c:v>0.21364375576376915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F0-1E4B-B62A-AE1DD7C34054}"/>
            </c:ext>
          </c:extLst>
        </c:ser>
        <c:ser>
          <c:idx val="1"/>
          <c:order val="1"/>
          <c:tx>
            <c:v>Model: G11</c:v>
          </c:tx>
          <c:spPr>
            <a:ln w="28575">
              <a:solidFill>
                <a:srgbClr val="FF007D"/>
              </a:solidFill>
            </a:ln>
          </c:spPr>
          <c:marker>
            <c:symbol val="none"/>
          </c:marker>
          <c:xVal>
            <c:numRef>
              <c:f>'1077V16-V0,03'!$B$54:$P$54</c:f>
              <c:numCache>
                <c:formatCode>General</c:formatCode>
                <c:ptCount val="15"/>
                <c:pt idx="0">
                  <c:v>0</c:v>
                </c:pt>
                <c:pt idx="1">
                  <c:v>900.1</c:v>
                </c:pt>
                <c:pt idx="2">
                  <c:v>1800.2</c:v>
                </c:pt>
                <c:pt idx="3">
                  <c:v>2700.3</c:v>
                </c:pt>
                <c:pt idx="4">
                  <c:v>3600.4</c:v>
                </c:pt>
                <c:pt idx="5">
                  <c:v>4500.5</c:v>
                </c:pt>
                <c:pt idx="6">
                  <c:v>5400.6</c:v>
                </c:pt>
                <c:pt idx="7">
                  <c:v>6300.7</c:v>
                </c:pt>
                <c:pt idx="8">
                  <c:v>7200.8</c:v>
                </c:pt>
                <c:pt idx="9">
                  <c:v>8100.9</c:v>
                </c:pt>
                <c:pt idx="10">
                  <c:v>9001</c:v>
                </c:pt>
                <c:pt idx="11">
                  <c:v>9901.1</c:v>
                </c:pt>
                <c:pt idx="12">
                  <c:v>10801.2</c:v>
                </c:pt>
                <c:pt idx="13">
                  <c:v>11701.3</c:v>
                </c:pt>
                <c:pt idx="14">
                  <c:v>12601.4</c:v>
                </c:pt>
              </c:numCache>
            </c:numRef>
          </c:xVal>
          <c:yVal>
            <c:numRef>
              <c:f>'1077V16-V0,03'!$B$102:$P$102</c:f>
              <c:numCache>
                <c:formatCode>General</c:formatCode>
                <c:ptCount val="15"/>
                <c:pt idx="0">
                  <c:v>7.8155110849764675E-4</c:v>
                </c:pt>
                <c:pt idx="1">
                  <c:v>1.1867762449275958E-3</c:v>
                </c:pt>
                <c:pt idx="2">
                  <c:v>1.8021058894431671E-3</c:v>
                </c:pt>
                <c:pt idx="3">
                  <c:v>2.7364767795498646E-3</c:v>
                </c:pt>
                <c:pt idx="4">
                  <c:v>4.1553080808860842E-3</c:v>
                </c:pt>
                <c:pt idx="5">
                  <c:v>6.3097868675931002E-3</c:v>
                </c:pt>
                <c:pt idx="6">
                  <c:v>9.5813377827716883E-3</c:v>
                </c:pt>
                <c:pt idx="7">
                  <c:v>1.4549149699344217E-2</c:v>
                </c:pt>
                <c:pt idx="8">
                  <c:v>2.2092714167174881E-2</c:v>
                </c:pt>
                <c:pt idx="9">
                  <c:v>3.3547528849365633E-2</c:v>
                </c:pt>
                <c:pt idx="10">
                  <c:v>5.0941531374681971E-2</c:v>
                </c:pt>
                <c:pt idx="11">
                  <c:v>7.7354121385509428E-2</c:v>
                </c:pt>
                <c:pt idx="12">
                  <c:v>0.1174613313312762</c:v>
                </c:pt>
                <c:pt idx="13">
                  <c:v>0.17836366196126743</c:v>
                </c:pt>
                <c:pt idx="14">
                  <c:v>0.27084314086743483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F0-1E4B-B62A-AE1DD7C34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848687"/>
        <c:axId val="447702095"/>
      </c:scatterChart>
      <c:valAx>
        <c:axId val="4498486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702095"/>
        <c:crosses val="autoZero"/>
        <c:crossBetween val="midCat"/>
      </c:valAx>
      <c:valAx>
        <c:axId val="4477020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9848687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4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4" Type="http://schemas.openxmlformats.org/officeDocument/2006/relationships/chart" Target="../charts/chart3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chart" Target="../charts/chart3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4" Type="http://schemas.openxmlformats.org/officeDocument/2006/relationships/chart" Target="../charts/chart4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4" Type="http://schemas.openxmlformats.org/officeDocument/2006/relationships/chart" Target="../charts/chart47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Relationship Id="rId4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Relationship Id="rId4" Type="http://schemas.openxmlformats.org/officeDocument/2006/relationships/chart" Target="../charts/chart5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4" Type="http://schemas.openxmlformats.org/officeDocument/2006/relationships/chart" Target="../charts/chart6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5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4" Type="http://schemas.openxmlformats.org/officeDocument/2006/relationships/chart" Target="../charts/chart6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Relationship Id="rId4" Type="http://schemas.openxmlformats.org/officeDocument/2006/relationships/chart" Target="../charts/chart7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3.xml"/><Relationship Id="rId2" Type="http://schemas.openxmlformats.org/officeDocument/2006/relationships/chart" Target="../charts/chart72.xml"/><Relationship Id="rId1" Type="http://schemas.openxmlformats.org/officeDocument/2006/relationships/chart" Target="../charts/chart71.xml"/><Relationship Id="rId4" Type="http://schemas.openxmlformats.org/officeDocument/2006/relationships/chart" Target="../charts/chart7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7.xml"/><Relationship Id="rId2" Type="http://schemas.openxmlformats.org/officeDocument/2006/relationships/chart" Target="../charts/chart76.xml"/><Relationship Id="rId1" Type="http://schemas.openxmlformats.org/officeDocument/2006/relationships/chart" Target="../charts/chart75.xml"/><Relationship Id="rId4" Type="http://schemas.openxmlformats.org/officeDocument/2006/relationships/chart" Target="../charts/chart7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139700</xdr:colOff>
          <xdr:row>34</xdr:row>
          <xdr:rowOff>12700</xdr:rowOff>
        </xdr:from>
        <xdr:to>
          <xdr:col>24</xdr:col>
          <xdr:colOff>749300</xdr:colOff>
          <xdr:row>36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one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139700</xdr:colOff>
          <xdr:row>37</xdr:row>
          <xdr:rowOff>12700</xdr:rowOff>
        </xdr:from>
        <xdr:to>
          <xdr:col>24</xdr:col>
          <xdr:colOff>749300</xdr:colOff>
          <xdr:row>39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Compute all 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63500</xdr:colOff>
          <xdr:row>3</xdr:row>
          <xdr:rowOff>114300</xdr:rowOff>
        </xdr:from>
        <xdr:to>
          <xdr:col>22</xdr:col>
          <xdr:colOff>0</xdr:colOff>
          <xdr:row>4</xdr:row>
          <xdr:rowOff>152400</xdr:rowOff>
        </xdr:to>
        <xdr:sp macro="" textlink="">
          <xdr:nvSpPr>
            <xdr:cNvPr id="5129" name="Button 9" descr="calc.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12700</xdr:rowOff>
    </xdr:from>
    <xdr:to>
      <xdr:col>24</xdr:col>
      <xdr:colOff>101600</xdr:colOff>
      <xdr:row>51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01B552-9FC8-1B43-973C-A0EAF621D1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5E89E3-3236-DE44-BB21-F82778B823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12700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94B084A-1790-DA4D-87B3-3D425AAFB3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19</xdr:col>
      <xdr:colOff>12700</xdr:colOff>
      <xdr:row>40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FB73DCD-D1CA-2644-A3D0-DB5F163B20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E154BF-7CD5-AE49-B86C-520B6198F5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12700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4DA4F68-3A03-FD42-892E-1345749830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1DF5CA7-D539-5B47-BCF6-2C0ABDAF1E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12700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90A9406-9980-D741-9D88-DB64BD51ED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9B525A-4365-CC43-823E-18B4F364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12700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92E68C4-7427-0E4C-8D39-2E89CF17CF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19</xdr:col>
      <xdr:colOff>12700</xdr:colOff>
      <xdr:row>40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1815598-A274-F649-B249-2628383D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25</xdr:col>
      <xdr:colOff>12700</xdr:colOff>
      <xdr:row>40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FFF2049-52CF-8F49-9799-C2F04CBF1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4DA0B9-50DB-8844-B00D-FD805769AE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12700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B617B86-D440-514A-A679-1CD1687420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19</xdr:col>
      <xdr:colOff>12700</xdr:colOff>
      <xdr:row>40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CC58FDB-9E17-DD43-9E0F-20E0B72702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25</xdr:col>
      <xdr:colOff>12700</xdr:colOff>
      <xdr:row>40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84EBA68-6794-A24E-A503-F3A99D1880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5791B8-A656-E247-9555-E3C1D206F1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12700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7A4A36D-C8F4-D644-9F23-598611937A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19</xdr:col>
      <xdr:colOff>12700</xdr:colOff>
      <xdr:row>40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6492E06-9121-264D-B416-A452C12E6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25</xdr:col>
      <xdr:colOff>12700</xdr:colOff>
      <xdr:row>40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DD8ACE3-9D9A-5847-8844-903E597C6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810BA1-7010-F546-9570-9218C626D6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12700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EE2ECF-0CCF-F741-B46B-D6102361A5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19</xdr:col>
      <xdr:colOff>12700</xdr:colOff>
      <xdr:row>40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275F6FF-D538-354B-9FD8-CF87863DFF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25</xdr:col>
      <xdr:colOff>12700</xdr:colOff>
      <xdr:row>40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8E9020-DCCD-6D48-98A2-E4F9CF1BF4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DF3860-E75D-9542-B726-8633A89E0B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12700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BC7BD68-DDEE-A24C-BEC8-A87BE4C6F7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19</xdr:col>
      <xdr:colOff>12700</xdr:colOff>
      <xdr:row>40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841DEAE-9405-8142-BA82-8E68171BC9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F19B51-2980-D64E-A9CD-624DC9AD5E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12700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453035-6CF0-D841-B187-A03D8EF574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19</xdr:col>
      <xdr:colOff>12700</xdr:colOff>
      <xdr:row>40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A3D0463-1C59-6F42-A60C-EE65491ACF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25</xdr:col>
      <xdr:colOff>12700</xdr:colOff>
      <xdr:row>40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E5E6433-BEBC-594D-928F-40E9367980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1F16A6-92DB-3342-93AD-81EDEC6826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12700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795B29D-DCB7-644C-A697-CBA56CD803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19</xdr:col>
      <xdr:colOff>12700</xdr:colOff>
      <xdr:row>40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EB3836D-EEF6-084B-A2B0-A27D1B183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25</xdr:col>
      <xdr:colOff>12700</xdr:colOff>
      <xdr:row>40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377FF02-D6F5-E148-8CDA-3C9468DFD8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7FE706-48C4-B84A-BA2E-D7B1088A5E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12700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D14EEC-9336-464B-8631-94E97CB49F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19</xdr:col>
      <xdr:colOff>12700</xdr:colOff>
      <xdr:row>40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AD6B8EC-790F-DA4B-AAEC-E07715F382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25</xdr:col>
      <xdr:colOff>12700</xdr:colOff>
      <xdr:row>40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E8254B0-3DCF-0648-84D5-689A04DA43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88D21A-01B9-CC42-9308-5DD3CD5EE4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12700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2D4C883-3634-3C44-82AF-88A7C5207F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19</xdr:col>
      <xdr:colOff>12700</xdr:colOff>
      <xdr:row>40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32B2581-8AAC-694B-94A4-0966FD1F7E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25</xdr:col>
      <xdr:colOff>12700</xdr:colOff>
      <xdr:row>40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B3017B-69BD-024D-AEAC-B70432F8CE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67003C-00A5-314F-8F98-87EA0614E7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12700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73E3632-4B08-0146-9B59-4DD480146C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19</xdr:col>
      <xdr:colOff>12700</xdr:colOff>
      <xdr:row>40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BC199B3-76A1-B243-B121-AD438754D7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25</xdr:col>
      <xdr:colOff>12700</xdr:colOff>
      <xdr:row>40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F5B3609-1C3C-4F4F-B6FD-11F2291576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7681D1-559D-BA4E-ACCA-F74438C25B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12700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7C9588-B7EA-254C-8486-793A1F4258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19</xdr:col>
      <xdr:colOff>12700</xdr:colOff>
      <xdr:row>40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578F76-34DA-F444-AD76-656A2D53F4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25</xdr:col>
      <xdr:colOff>12700</xdr:colOff>
      <xdr:row>40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86AA4E7-577A-A440-A24A-62347E9026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82910D-B97F-6C47-B554-2F04D1EFE2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12700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6AF172-DDF6-584D-A848-CBB7184122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19</xdr:col>
      <xdr:colOff>12700</xdr:colOff>
      <xdr:row>40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42C6EB4-9A0E-5B4F-9518-E17CA6F14F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86F715-5B05-DA4B-9B1F-0740AC72BD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12700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8320BD6-708F-C742-BEFD-0AB48DD73D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19</xdr:col>
      <xdr:colOff>12700</xdr:colOff>
      <xdr:row>40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0C944C3-8832-BE4A-8B29-2573468055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25</xdr:col>
      <xdr:colOff>12700</xdr:colOff>
      <xdr:row>40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DBA1622-87CA-3E48-BACD-68ECC0E563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2CFE99-8A89-F848-9CD0-84A1D021BB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12700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D871891-90E3-724D-B204-F2C9B90441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19</xdr:col>
      <xdr:colOff>12700</xdr:colOff>
      <xdr:row>40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C051F95-7BC6-4247-A078-B8D146AE5D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25</xdr:col>
      <xdr:colOff>12700</xdr:colOff>
      <xdr:row>40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CE50E1E-80F5-D24A-8F45-26C4CB7401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AA53D2-C1AE-0646-B047-DA44847B43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12700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E8974-8612-C044-9619-37155EC7A6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19</xdr:col>
      <xdr:colOff>12700</xdr:colOff>
      <xdr:row>40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FEA6316-B044-D344-9FE1-E8A7D8A9FE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25</xdr:col>
      <xdr:colOff>12700</xdr:colOff>
      <xdr:row>40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D619763-5B5A-0B4C-9FB6-626F215380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B641C1-C171-054F-82AD-B02024B251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12700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3CCAE7-94FB-4B41-BB47-39E421F4BC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19</xdr:col>
      <xdr:colOff>12700</xdr:colOff>
      <xdr:row>40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A88F4E0-3B32-1642-98EB-66B9382C71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25</xdr:col>
      <xdr:colOff>12700</xdr:colOff>
      <xdr:row>40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C33E99-2FA7-FD4B-B41B-EECD7E88B5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F4D24B-BED2-A34B-9B09-6BD5975209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12700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7EA563-4BD6-A648-8A26-4C659F6985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19</xdr:col>
      <xdr:colOff>12700</xdr:colOff>
      <xdr:row>40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E0C3B13-94A9-2547-ACF2-110B53932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25</xdr:col>
      <xdr:colOff>12700</xdr:colOff>
      <xdr:row>40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CAEDD4C-A16E-8F4F-87EC-47A7AFC180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52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0D995D-FE43-F545-879E-532839DEA1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0</xdr:row>
      <xdr:rowOff>0</xdr:rowOff>
    </xdr:from>
    <xdr:to>
      <xdr:col>13</xdr:col>
      <xdr:colOff>12700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2B19EE-7781-B24A-B773-AB82F694ED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0</xdr:row>
      <xdr:rowOff>0</xdr:rowOff>
    </xdr:from>
    <xdr:to>
      <xdr:col>19</xdr:col>
      <xdr:colOff>12700</xdr:colOff>
      <xdr:row>40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60F2322-FB87-B44D-987F-D73C66E81A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25</xdr:col>
      <xdr:colOff>12700</xdr:colOff>
      <xdr:row>40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490509E-16B9-C048-8993-1CFA12520D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G222"/>
  <sheetViews>
    <sheetView tabSelected="1" topLeftCell="A5" zoomScale="125" zoomScaleNormal="125" zoomScalePageLayoutView="125" workbookViewId="0">
      <selection activeCell="Q36" sqref="Q36"/>
    </sheetView>
  </sheetViews>
  <sheetFormatPr baseColWidth="10" defaultColWidth="7" defaultRowHeight="15" customHeight="1" x14ac:dyDescent="0.2"/>
  <cols>
    <col min="1" max="1" width="3.33203125" style="4" customWidth="1"/>
    <col min="2" max="2" width="3" style="4" customWidth="1"/>
    <col min="3" max="3" width="20.1640625" style="4" bestFit="1" customWidth="1"/>
    <col min="4" max="4" width="7.6640625" style="4" bestFit="1" customWidth="1"/>
    <col min="5" max="5" width="3" style="4" customWidth="1"/>
    <col min="6" max="6" width="3.5" style="4" customWidth="1"/>
    <col min="7" max="7" width="3.1640625" style="2" customWidth="1"/>
    <col min="8" max="10" width="7" style="2"/>
    <col min="11" max="11" width="7.6640625" style="2" bestFit="1" customWidth="1"/>
    <col min="12" max="20" width="7" style="2"/>
    <col min="21" max="21" width="3.1640625" style="2" customWidth="1"/>
    <col min="22" max="22" width="5.6640625" style="2" customWidth="1"/>
    <col min="23" max="23" width="7.6640625" style="2" customWidth="1"/>
    <col min="24" max="24" width="5.1640625" style="2" customWidth="1"/>
    <col min="25" max="28" width="11.83203125" style="2" customWidth="1"/>
    <col min="29" max="29" width="2.83203125" style="2" customWidth="1"/>
    <col min="30" max="30" width="11.83203125" style="4" customWidth="1"/>
    <col min="31" max="111" width="7" style="4"/>
    <col min="112" max="16384" width="7" style="2"/>
  </cols>
  <sheetData>
    <row r="1" spans="2:30" s="3" customFormat="1" ht="15" customHeight="1" thickBot="1" x14ac:dyDescent="0.25"/>
    <row r="2" spans="2:30" ht="15" customHeight="1" thickBot="1" x14ac:dyDescent="0.25">
      <c r="B2" s="59"/>
      <c r="C2" s="60" t="s">
        <v>173</v>
      </c>
      <c r="D2" s="60"/>
      <c r="E2" s="61"/>
      <c r="G2" s="11"/>
      <c r="H2" s="12" t="s">
        <v>155</v>
      </c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3"/>
    </row>
    <row r="3" spans="2:30" s="4" customFormat="1" ht="15" customHeight="1" thickBot="1" x14ac:dyDescent="0.25"/>
    <row r="4" spans="2:30" ht="15" customHeight="1" x14ac:dyDescent="0.2">
      <c r="B4" s="44"/>
      <c r="C4" s="45"/>
      <c r="D4" s="45"/>
      <c r="E4" s="46"/>
      <c r="G4" s="14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6"/>
      <c r="AD4" s="103"/>
    </row>
    <row r="5" spans="2:30" ht="15" customHeight="1" x14ac:dyDescent="0.2">
      <c r="B5" s="47"/>
      <c r="C5" s="106" t="s">
        <v>157</v>
      </c>
      <c r="D5" s="9" t="s">
        <v>159</v>
      </c>
      <c r="E5" s="48"/>
      <c r="G5" s="17"/>
      <c r="H5" s="5"/>
      <c r="I5" s="5">
        <v>1</v>
      </c>
      <c r="J5" s="5">
        <v>2</v>
      </c>
      <c r="K5" s="5">
        <v>3</v>
      </c>
      <c r="L5" s="5">
        <v>4</v>
      </c>
      <c r="M5" s="5">
        <v>5</v>
      </c>
      <c r="N5" s="5">
        <v>6</v>
      </c>
      <c r="O5" s="5">
        <v>7</v>
      </c>
      <c r="P5" s="5">
        <v>8</v>
      </c>
      <c r="Q5" s="5">
        <v>9</v>
      </c>
      <c r="R5" s="5">
        <v>10</v>
      </c>
      <c r="S5" s="5">
        <v>11</v>
      </c>
      <c r="T5" s="5">
        <v>12</v>
      </c>
      <c r="U5" s="5"/>
      <c r="V5" s="5"/>
      <c r="W5" s="113" t="s">
        <v>160</v>
      </c>
      <c r="X5" s="114" t="s">
        <v>161</v>
      </c>
      <c r="Y5" s="115" t="s">
        <v>162</v>
      </c>
      <c r="Z5" s="116" t="s">
        <v>163</v>
      </c>
      <c r="AA5" s="116" t="s">
        <v>164</v>
      </c>
      <c r="AB5" s="116" t="s">
        <v>166</v>
      </c>
      <c r="AC5" s="18"/>
      <c r="AD5" s="103"/>
    </row>
    <row r="6" spans="2:30" ht="15" customHeight="1" x14ac:dyDescent="0.2">
      <c r="B6" s="47"/>
      <c r="C6" s="107" t="s">
        <v>187</v>
      </c>
      <c r="D6" s="145">
        <v>37</v>
      </c>
      <c r="E6" s="48"/>
      <c r="G6" s="17"/>
      <c r="H6" s="5" t="s">
        <v>139</v>
      </c>
      <c r="I6" s="117" t="s">
        <v>149</v>
      </c>
      <c r="J6" s="54" t="s">
        <v>149</v>
      </c>
      <c r="K6" s="54" t="s">
        <v>149</v>
      </c>
      <c r="L6" s="54" t="s">
        <v>149</v>
      </c>
      <c r="M6" s="54" t="s">
        <v>149</v>
      </c>
      <c r="N6" s="54" t="s">
        <v>149</v>
      </c>
      <c r="O6" s="54" t="s">
        <v>149</v>
      </c>
      <c r="P6" s="54" t="s">
        <v>149</v>
      </c>
      <c r="Q6" s="54" t="s">
        <v>149</v>
      </c>
      <c r="R6" s="54" t="s">
        <v>149</v>
      </c>
      <c r="S6" s="54" t="s">
        <v>149</v>
      </c>
      <c r="T6" s="54" t="s">
        <v>149</v>
      </c>
      <c r="U6" s="5"/>
      <c r="V6" s="117" t="s">
        <v>149</v>
      </c>
      <c r="W6" s="55" t="s">
        <v>147</v>
      </c>
      <c r="X6" s="56">
        <f t="shared" ref="X6:X13" si="0">COUNTIF(white_border_definition,V6)</f>
        <v>36</v>
      </c>
      <c r="Y6" s="100">
        <f t="shared" ref="Y6:Y13" ca="1" si="1">compute_white_average($V6, white_border_definition)</f>
        <v>0.10589807346049283</v>
      </c>
      <c r="Z6" s="101">
        <f t="shared" ref="Z6:Z13" ca="1" si="2">compute_white_min($V6, white_border_definition)</f>
        <v>0.10289999842643738</v>
      </c>
      <c r="AA6" s="102">
        <f t="shared" ref="AA6:AA13" ca="1" si="3">compute_white_max($V6, white_border_definition)</f>
        <v>0.10999999940395355</v>
      </c>
      <c r="AB6" s="102">
        <f t="shared" ref="AB6:AB13" ca="1" si="4">compute_white_std($V6, white_border_definition,$Y6)</f>
        <v>1.0754425933734619E-3</v>
      </c>
      <c r="AC6" s="18"/>
      <c r="AD6" s="103"/>
    </row>
    <row r="7" spans="2:30" ht="15" customHeight="1" x14ac:dyDescent="0.2">
      <c r="B7" s="47"/>
      <c r="C7" s="108" t="s">
        <v>165</v>
      </c>
      <c r="D7" s="10">
        <f>D6+96+2-1</f>
        <v>134</v>
      </c>
      <c r="E7" s="48"/>
      <c r="G7" s="17"/>
      <c r="H7" s="5" t="s">
        <v>140</v>
      </c>
      <c r="I7" s="54" t="s">
        <v>149</v>
      </c>
      <c r="J7" s="54"/>
      <c r="K7" s="54"/>
      <c r="L7" s="54"/>
      <c r="M7" s="54"/>
      <c r="N7" s="54"/>
      <c r="O7" s="54"/>
      <c r="P7" s="54"/>
      <c r="Q7" s="54"/>
      <c r="R7" s="54"/>
      <c r="S7" s="54"/>
      <c r="T7" s="54" t="s">
        <v>149</v>
      </c>
      <c r="U7" s="5"/>
      <c r="V7" s="118" t="s">
        <v>150</v>
      </c>
      <c r="W7" s="55" t="s">
        <v>148</v>
      </c>
      <c r="X7" s="56">
        <f t="shared" si="0"/>
        <v>0</v>
      </c>
      <c r="Y7" s="100">
        <f t="shared" si="1"/>
        <v>0</v>
      </c>
      <c r="Z7" s="101">
        <f t="shared" si="2"/>
        <v>0</v>
      </c>
      <c r="AA7" s="102">
        <f t="shared" si="3"/>
        <v>0</v>
      </c>
      <c r="AB7" s="102">
        <f t="shared" si="4"/>
        <v>0</v>
      </c>
      <c r="AC7" s="18"/>
      <c r="AD7" s="103"/>
    </row>
    <row r="8" spans="2:30" ht="15" customHeight="1" x14ac:dyDescent="0.2">
      <c r="B8" s="47"/>
      <c r="C8" s="109" t="s">
        <v>158</v>
      </c>
      <c r="D8" s="104">
        <f ca="1">COUNTA(INDIRECT(data_sheet_name&amp;"!A"&amp;$D$6&amp;":ZZ"&amp;$D$6))-1</f>
        <v>31</v>
      </c>
      <c r="E8" s="48"/>
      <c r="G8" s="17"/>
      <c r="H8" s="5" t="s">
        <v>141</v>
      </c>
      <c r="I8" s="54" t="s">
        <v>149</v>
      </c>
      <c r="J8" s="54"/>
      <c r="K8" s="54"/>
      <c r="L8" s="54"/>
      <c r="M8" s="54"/>
      <c r="N8" s="54"/>
      <c r="O8" s="54"/>
      <c r="P8" s="54"/>
      <c r="Q8" s="54"/>
      <c r="R8" s="54"/>
      <c r="S8" s="54"/>
      <c r="T8" s="54" t="s">
        <v>149</v>
      </c>
      <c r="U8" s="5"/>
      <c r="V8" s="119" t="s">
        <v>151</v>
      </c>
      <c r="W8" s="55" t="s">
        <v>152</v>
      </c>
      <c r="X8" s="56">
        <f t="shared" si="0"/>
        <v>0</v>
      </c>
      <c r="Y8" s="100">
        <f t="shared" si="1"/>
        <v>0</v>
      </c>
      <c r="Z8" s="101">
        <f t="shared" si="2"/>
        <v>0</v>
      </c>
      <c r="AA8" s="102">
        <f t="shared" si="3"/>
        <v>0</v>
      </c>
      <c r="AB8" s="102">
        <f t="shared" si="4"/>
        <v>0</v>
      </c>
      <c r="AC8" s="18"/>
    </row>
    <row r="9" spans="2:30" ht="15" customHeight="1" x14ac:dyDescent="0.2">
      <c r="B9" s="47"/>
      <c r="C9" s="110" t="s">
        <v>196</v>
      </c>
      <c r="D9" s="112">
        <v>36.4</v>
      </c>
      <c r="E9" s="48"/>
      <c r="G9" s="17"/>
      <c r="H9" s="5" t="s">
        <v>142</v>
      </c>
      <c r="I9" s="54" t="s">
        <v>149</v>
      </c>
      <c r="J9" s="54"/>
      <c r="K9" s="54"/>
      <c r="L9" s="54"/>
      <c r="M9" s="54"/>
      <c r="N9" s="54"/>
      <c r="O9" s="54"/>
      <c r="P9" s="54"/>
      <c r="Q9" s="54"/>
      <c r="R9" s="54"/>
      <c r="S9" s="54"/>
      <c r="T9" s="54" t="s">
        <v>149</v>
      </c>
      <c r="U9" s="5"/>
      <c r="V9" s="120" t="s">
        <v>153</v>
      </c>
      <c r="W9" s="55" t="s">
        <v>154</v>
      </c>
      <c r="X9" s="56">
        <f t="shared" si="0"/>
        <v>0</v>
      </c>
      <c r="Y9" s="100">
        <f t="shared" si="1"/>
        <v>0</v>
      </c>
      <c r="Z9" s="101">
        <f t="shared" si="2"/>
        <v>0</v>
      </c>
      <c r="AA9" s="102">
        <f t="shared" si="3"/>
        <v>0</v>
      </c>
      <c r="AB9" s="102">
        <f t="shared" si="4"/>
        <v>0</v>
      </c>
      <c r="AC9" s="18"/>
    </row>
    <row r="10" spans="2:30" ht="15" customHeight="1" x14ac:dyDescent="0.2">
      <c r="B10" s="47"/>
      <c r="C10" s="111" t="s">
        <v>197</v>
      </c>
      <c r="D10" s="105">
        <v>37.6</v>
      </c>
      <c r="E10" s="48"/>
      <c r="G10" s="17"/>
      <c r="H10" s="5" t="s">
        <v>143</v>
      </c>
      <c r="I10" s="54" t="s">
        <v>149</v>
      </c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 t="s">
        <v>149</v>
      </c>
      <c r="U10" s="5"/>
      <c r="V10" s="121" t="s">
        <v>188</v>
      </c>
      <c r="W10" s="55" t="s">
        <v>190</v>
      </c>
      <c r="X10" s="56">
        <f t="shared" si="0"/>
        <v>0</v>
      </c>
      <c r="Y10" s="100">
        <f t="shared" si="1"/>
        <v>0</v>
      </c>
      <c r="Z10" s="101">
        <f t="shared" si="2"/>
        <v>0</v>
      </c>
      <c r="AA10" s="102">
        <f t="shared" si="3"/>
        <v>0</v>
      </c>
      <c r="AB10" s="102">
        <f t="shared" si="4"/>
        <v>0</v>
      </c>
      <c r="AC10" s="18"/>
    </row>
    <row r="11" spans="2:30" ht="15" customHeight="1" x14ac:dyDescent="0.2">
      <c r="B11" s="49"/>
      <c r="C11" s="110" t="s">
        <v>198</v>
      </c>
      <c r="D11" s="7" t="str">
        <f ca="1">IF(COUNTIFS(Data!B38:BK38,"&lt;="&amp;$D$10,Data!B38:BK38,"&gt;="&amp;$D$9) =number_of_cycles, "OK", "T° PB !")</f>
        <v>OK</v>
      </c>
      <c r="E11" s="51"/>
      <c r="G11" s="17"/>
      <c r="H11" s="5" t="s">
        <v>144</v>
      </c>
      <c r="I11" s="54" t="s">
        <v>149</v>
      </c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 t="s">
        <v>149</v>
      </c>
      <c r="U11" s="5"/>
      <c r="V11" s="122" t="s">
        <v>189</v>
      </c>
      <c r="W11" s="55" t="s">
        <v>192</v>
      </c>
      <c r="X11" s="56">
        <f t="shared" si="0"/>
        <v>0</v>
      </c>
      <c r="Y11" s="100">
        <f t="shared" si="1"/>
        <v>0</v>
      </c>
      <c r="Z11" s="101">
        <f t="shared" si="2"/>
        <v>0</v>
      </c>
      <c r="AA11" s="102">
        <f t="shared" si="3"/>
        <v>0</v>
      </c>
      <c r="AB11" s="102">
        <f t="shared" si="4"/>
        <v>0</v>
      </c>
      <c r="AC11" s="18"/>
    </row>
    <row r="12" spans="2:30" ht="15" customHeight="1" x14ac:dyDescent="0.2">
      <c r="B12" s="49"/>
      <c r="C12" s="50" t="s">
        <v>199</v>
      </c>
      <c r="D12" s="105">
        <v>5400</v>
      </c>
      <c r="E12" s="51"/>
      <c r="G12" s="17"/>
      <c r="H12" s="5" t="s">
        <v>145</v>
      </c>
      <c r="I12" s="54" t="s">
        <v>149</v>
      </c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 t="s">
        <v>149</v>
      </c>
      <c r="U12" s="5"/>
      <c r="V12" s="123" t="s">
        <v>191</v>
      </c>
      <c r="W12" s="55" t="s">
        <v>194</v>
      </c>
      <c r="X12" s="56">
        <f t="shared" si="0"/>
        <v>0</v>
      </c>
      <c r="Y12" s="100">
        <f t="shared" si="1"/>
        <v>0</v>
      </c>
      <c r="Z12" s="101">
        <f t="shared" si="2"/>
        <v>0</v>
      </c>
      <c r="AA12" s="102">
        <f t="shared" si="3"/>
        <v>0</v>
      </c>
      <c r="AB12" s="102">
        <f t="shared" si="4"/>
        <v>0</v>
      </c>
      <c r="AC12" s="18"/>
    </row>
    <row r="13" spans="2:30" ht="15" customHeight="1" x14ac:dyDescent="0.2">
      <c r="B13" s="49"/>
      <c r="C13" s="7"/>
      <c r="D13" s="7"/>
      <c r="E13" s="51"/>
      <c r="G13" s="17"/>
      <c r="H13" s="5" t="s">
        <v>146</v>
      </c>
      <c r="I13" s="54" t="s">
        <v>149</v>
      </c>
      <c r="J13" s="54" t="s">
        <v>149</v>
      </c>
      <c r="K13" s="54" t="s">
        <v>149</v>
      </c>
      <c r="L13" s="54" t="s">
        <v>149</v>
      </c>
      <c r="M13" s="54" t="s">
        <v>149</v>
      </c>
      <c r="N13" s="54" t="s">
        <v>149</v>
      </c>
      <c r="O13" s="54" t="s">
        <v>149</v>
      </c>
      <c r="P13" s="54" t="s">
        <v>149</v>
      </c>
      <c r="Q13" s="54" t="s">
        <v>149</v>
      </c>
      <c r="R13" s="54" t="s">
        <v>149</v>
      </c>
      <c r="S13" s="54" t="s">
        <v>149</v>
      </c>
      <c r="T13" s="54" t="s">
        <v>149</v>
      </c>
      <c r="U13" s="5"/>
      <c r="V13" s="124" t="s">
        <v>193</v>
      </c>
      <c r="W13" s="55" t="s">
        <v>195</v>
      </c>
      <c r="X13" s="56">
        <f t="shared" si="0"/>
        <v>0</v>
      </c>
      <c r="Y13" s="100">
        <f t="shared" si="1"/>
        <v>0</v>
      </c>
      <c r="Z13" s="101">
        <f t="shared" si="2"/>
        <v>0</v>
      </c>
      <c r="AA13" s="102">
        <f t="shared" si="3"/>
        <v>0</v>
      </c>
      <c r="AB13" s="102">
        <f t="shared" si="4"/>
        <v>0</v>
      </c>
      <c r="AC13" s="18"/>
    </row>
    <row r="14" spans="2:30" ht="15" customHeight="1" x14ac:dyDescent="0.2">
      <c r="B14" s="49"/>
      <c r="C14" s="104" t="s">
        <v>168</v>
      </c>
      <c r="D14" s="104" t="s">
        <v>172</v>
      </c>
      <c r="E14" s="51"/>
      <c r="G14" s="17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5"/>
      <c r="V14" s="5"/>
      <c r="W14" s="5"/>
      <c r="X14" s="5"/>
      <c r="Y14" s="5"/>
      <c r="Z14" s="5"/>
      <c r="AA14" s="5"/>
      <c r="AB14" s="5"/>
      <c r="AC14" s="18"/>
    </row>
    <row r="15" spans="2:30" ht="15" customHeight="1" thickBot="1" x14ac:dyDescent="0.25">
      <c r="B15" s="49"/>
      <c r="C15" s="125" t="s">
        <v>264</v>
      </c>
      <c r="D15" s="63" t="s">
        <v>66</v>
      </c>
      <c r="E15" s="51"/>
      <c r="G15" s="19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1"/>
    </row>
    <row r="16" spans="2:30" s="4" customFormat="1" ht="15" customHeight="1" thickBot="1" x14ac:dyDescent="0.25">
      <c r="B16" s="49"/>
      <c r="C16" s="126" t="s">
        <v>265</v>
      </c>
      <c r="D16" s="64" t="s">
        <v>67</v>
      </c>
      <c r="E16" s="51"/>
    </row>
    <row r="17" spans="2:29" ht="15" customHeight="1" thickBot="1" x14ac:dyDescent="0.25">
      <c r="B17" s="49"/>
      <c r="C17" s="126" t="s">
        <v>266</v>
      </c>
      <c r="D17" s="65" t="s">
        <v>68</v>
      </c>
      <c r="E17" s="51"/>
      <c r="G17" s="30"/>
      <c r="H17" s="31" t="s">
        <v>156</v>
      </c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2"/>
    </row>
    <row r="18" spans="2:29" s="4" customFormat="1" ht="15" customHeight="1" thickBot="1" x14ac:dyDescent="0.25">
      <c r="B18" s="49"/>
      <c r="C18" s="126" t="s">
        <v>267</v>
      </c>
      <c r="D18" s="66" t="s">
        <v>69</v>
      </c>
      <c r="E18" s="51"/>
    </row>
    <row r="19" spans="2:29" ht="15" customHeight="1" x14ac:dyDescent="0.2">
      <c r="B19" s="49"/>
      <c r="C19" s="126" t="s">
        <v>268</v>
      </c>
      <c r="D19" s="67" t="s">
        <v>70</v>
      </c>
      <c r="E19" s="51"/>
      <c r="G19" s="22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4"/>
    </row>
    <row r="20" spans="2:29" ht="15" customHeight="1" x14ac:dyDescent="0.2">
      <c r="B20" s="49"/>
      <c r="C20" s="126" t="s">
        <v>269</v>
      </c>
      <c r="D20" s="68" t="s">
        <v>71</v>
      </c>
      <c r="E20" s="51"/>
      <c r="G20" s="25"/>
      <c r="H20" s="6"/>
      <c r="I20" s="6">
        <v>1</v>
      </c>
      <c r="J20" s="6">
        <v>2</v>
      </c>
      <c r="K20" s="6">
        <v>3</v>
      </c>
      <c r="L20" s="6">
        <v>4</v>
      </c>
      <c r="M20" s="6">
        <v>5</v>
      </c>
      <c r="N20" s="6">
        <v>6</v>
      </c>
      <c r="O20" s="6">
        <v>7</v>
      </c>
      <c r="P20" s="6">
        <v>8</v>
      </c>
      <c r="Q20" s="6">
        <v>9</v>
      </c>
      <c r="R20" s="6">
        <v>10</v>
      </c>
      <c r="S20" s="6">
        <v>11</v>
      </c>
      <c r="T20" s="6">
        <v>12</v>
      </c>
      <c r="U20" s="6"/>
      <c r="V20" s="6"/>
      <c r="W20" s="6"/>
      <c r="X20" s="6"/>
      <c r="Y20" s="6"/>
      <c r="Z20" s="6"/>
      <c r="AA20" s="6"/>
      <c r="AB20" s="6"/>
      <c r="AC20" s="26"/>
    </row>
    <row r="21" spans="2:29" ht="15" customHeight="1" x14ac:dyDescent="0.2">
      <c r="B21" s="49"/>
      <c r="C21" s="126" t="s">
        <v>270</v>
      </c>
      <c r="D21" s="69" t="s">
        <v>72</v>
      </c>
      <c r="E21" s="51"/>
      <c r="G21" s="25"/>
      <c r="H21" s="6" t="s">
        <v>139</v>
      </c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6"/>
      <c r="V21" s="6"/>
      <c r="W21" s="6"/>
      <c r="X21" s="6"/>
      <c r="Y21" s="6"/>
      <c r="Z21" s="6"/>
      <c r="AA21" s="6"/>
      <c r="AB21" s="6"/>
      <c r="AC21" s="26"/>
    </row>
    <row r="22" spans="2:29" ht="15" customHeight="1" x14ac:dyDescent="0.2">
      <c r="B22" s="49"/>
      <c r="C22" s="126" t="s">
        <v>271</v>
      </c>
      <c r="D22" s="70" t="s">
        <v>73</v>
      </c>
      <c r="E22" s="51"/>
      <c r="G22" s="25"/>
      <c r="H22" s="6" t="s">
        <v>140</v>
      </c>
      <c r="I22" s="57"/>
      <c r="J22" s="136" t="s">
        <v>149</v>
      </c>
      <c r="K22" s="57" t="s">
        <v>149</v>
      </c>
      <c r="L22" s="57" t="s">
        <v>149</v>
      </c>
      <c r="M22" s="57" t="s">
        <v>149</v>
      </c>
      <c r="N22" s="57" t="s">
        <v>149</v>
      </c>
      <c r="O22" s="57" t="s">
        <v>149</v>
      </c>
      <c r="P22" s="57" t="s">
        <v>149</v>
      </c>
      <c r="Q22" s="57" t="s">
        <v>149</v>
      </c>
      <c r="R22" s="57" t="s">
        <v>149</v>
      </c>
      <c r="S22" s="57" t="s">
        <v>149</v>
      </c>
      <c r="T22" s="57"/>
      <c r="U22" s="6"/>
      <c r="V22" s="6"/>
      <c r="W22" s="6"/>
      <c r="X22" s="6"/>
      <c r="Y22" s="6"/>
      <c r="Z22" s="6"/>
      <c r="AA22" s="6"/>
      <c r="AB22" s="6"/>
      <c r="AC22" s="26"/>
    </row>
    <row r="23" spans="2:29" ht="15" customHeight="1" x14ac:dyDescent="0.2">
      <c r="B23" s="49"/>
      <c r="C23" s="126" t="s">
        <v>272</v>
      </c>
      <c r="D23" s="71" t="s">
        <v>74</v>
      </c>
      <c r="E23" s="51"/>
      <c r="G23" s="25"/>
      <c r="H23" s="6" t="s">
        <v>141</v>
      </c>
      <c r="I23" s="57"/>
      <c r="J23" s="57" t="s">
        <v>149</v>
      </c>
      <c r="K23" s="57" t="s">
        <v>149</v>
      </c>
      <c r="L23" s="57" t="s">
        <v>149</v>
      </c>
      <c r="M23" s="57" t="s">
        <v>149</v>
      </c>
      <c r="N23" s="57" t="s">
        <v>149</v>
      </c>
      <c r="O23" s="57" t="s">
        <v>149</v>
      </c>
      <c r="P23" s="57" t="s">
        <v>149</v>
      </c>
      <c r="Q23" s="57" t="s">
        <v>149</v>
      </c>
      <c r="R23" s="57" t="s">
        <v>149</v>
      </c>
      <c r="S23" s="57" t="s">
        <v>149</v>
      </c>
      <c r="T23" s="57"/>
      <c r="U23" s="6"/>
      <c r="V23" s="6"/>
      <c r="W23" s="6"/>
      <c r="X23" s="6"/>
      <c r="Y23" s="6"/>
      <c r="Z23" s="6"/>
      <c r="AA23" s="6"/>
      <c r="AB23" s="6"/>
      <c r="AC23" s="26"/>
    </row>
    <row r="24" spans="2:29" ht="15" customHeight="1" x14ac:dyDescent="0.2">
      <c r="B24" s="49"/>
      <c r="C24" s="126" t="s">
        <v>273</v>
      </c>
      <c r="D24" s="72" t="s">
        <v>75</v>
      </c>
      <c r="E24" s="51"/>
      <c r="G24" s="25"/>
      <c r="H24" s="6" t="s">
        <v>142</v>
      </c>
      <c r="I24" s="57"/>
      <c r="J24" s="57" t="s">
        <v>149</v>
      </c>
      <c r="K24" s="57" t="s">
        <v>149</v>
      </c>
      <c r="L24" s="57" t="s">
        <v>149</v>
      </c>
      <c r="M24" s="57" t="s">
        <v>149</v>
      </c>
      <c r="N24" s="57" t="s">
        <v>149</v>
      </c>
      <c r="O24" s="57" t="s">
        <v>149</v>
      </c>
      <c r="P24" s="57" t="s">
        <v>149</v>
      </c>
      <c r="Q24" s="57" t="s">
        <v>149</v>
      </c>
      <c r="R24" s="57" t="s">
        <v>149</v>
      </c>
      <c r="S24" s="57" t="s">
        <v>149</v>
      </c>
      <c r="T24" s="57"/>
      <c r="U24" s="6"/>
      <c r="V24" s="6"/>
      <c r="W24" s="6"/>
      <c r="X24" s="6"/>
      <c r="Y24" s="6"/>
      <c r="Z24" s="6"/>
      <c r="AA24" s="6"/>
      <c r="AB24" s="6"/>
      <c r="AC24" s="26"/>
    </row>
    <row r="25" spans="2:29" ht="15" customHeight="1" x14ac:dyDescent="0.2">
      <c r="B25" s="49"/>
      <c r="C25" s="126" t="s">
        <v>274</v>
      </c>
      <c r="D25" s="73" t="s">
        <v>76</v>
      </c>
      <c r="E25" s="51"/>
      <c r="G25" s="25"/>
      <c r="H25" s="6" t="s">
        <v>143</v>
      </c>
      <c r="I25" s="57"/>
      <c r="J25" s="57" t="s">
        <v>149</v>
      </c>
      <c r="K25" s="57" t="s">
        <v>149</v>
      </c>
      <c r="L25" s="57" t="s">
        <v>149</v>
      </c>
      <c r="M25" s="57" t="s">
        <v>149</v>
      </c>
      <c r="N25" s="57" t="s">
        <v>149</v>
      </c>
      <c r="O25" s="57" t="s">
        <v>149</v>
      </c>
      <c r="P25" s="57" t="s">
        <v>149</v>
      </c>
      <c r="Q25" s="57" t="s">
        <v>149</v>
      </c>
      <c r="R25" s="57" t="s">
        <v>149</v>
      </c>
      <c r="S25" s="57" t="s">
        <v>149</v>
      </c>
      <c r="T25" s="57"/>
      <c r="U25" s="6"/>
      <c r="V25" s="6"/>
      <c r="W25" s="6"/>
      <c r="X25" s="6"/>
      <c r="Y25" s="6"/>
      <c r="Z25" s="6"/>
      <c r="AA25" s="6"/>
      <c r="AB25" s="6"/>
      <c r="AC25" s="26"/>
    </row>
    <row r="26" spans="2:29" ht="15" customHeight="1" x14ac:dyDescent="0.2">
      <c r="B26" s="49"/>
      <c r="C26" s="126" t="s">
        <v>275</v>
      </c>
      <c r="D26" s="74" t="s">
        <v>77</v>
      </c>
      <c r="E26" s="51"/>
      <c r="G26" s="25"/>
      <c r="H26" s="6" t="s">
        <v>144</v>
      </c>
      <c r="I26" s="57"/>
      <c r="J26" s="57" t="s">
        <v>149</v>
      </c>
      <c r="K26" s="57" t="s">
        <v>149</v>
      </c>
      <c r="L26" s="57" t="s">
        <v>149</v>
      </c>
      <c r="M26" s="57" t="s">
        <v>149</v>
      </c>
      <c r="N26" s="57" t="s">
        <v>149</v>
      </c>
      <c r="O26" s="57" t="s">
        <v>149</v>
      </c>
      <c r="P26" s="57" t="s">
        <v>149</v>
      </c>
      <c r="Q26" s="57" t="s">
        <v>149</v>
      </c>
      <c r="R26" s="57" t="s">
        <v>149</v>
      </c>
      <c r="S26" s="57" t="s">
        <v>149</v>
      </c>
      <c r="T26" s="57"/>
      <c r="U26" s="6"/>
      <c r="V26" s="6"/>
      <c r="W26" s="151"/>
      <c r="X26" s="6"/>
      <c r="Y26" s="6"/>
      <c r="Z26" s="6"/>
      <c r="AA26" s="6"/>
      <c r="AB26" s="6"/>
      <c r="AC26" s="26"/>
    </row>
    <row r="27" spans="2:29" ht="15" customHeight="1" x14ac:dyDescent="0.2">
      <c r="B27" s="49"/>
      <c r="C27" s="126" t="s">
        <v>276</v>
      </c>
      <c r="D27" s="75" t="s">
        <v>169</v>
      </c>
      <c r="E27" s="51"/>
      <c r="G27" s="25"/>
      <c r="H27" s="6" t="s">
        <v>145</v>
      </c>
      <c r="I27" s="57"/>
      <c r="J27" s="57" t="s">
        <v>149</v>
      </c>
      <c r="K27" s="57" t="s">
        <v>149</v>
      </c>
      <c r="L27" s="57" t="s">
        <v>149</v>
      </c>
      <c r="M27" s="57" t="s">
        <v>149</v>
      </c>
      <c r="N27" s="57" t="s">
        <v>149</v>
      </c>
      <c r="O27" s="57" t="s">
        <v>149</v>
      </c>
      <c r="P27" s="57" t="s">
        <v>149</v>
      </c>
      <c r="Q27" s="57" t="s">
        <v>149</v>
      </c>
      <c r="R27" s="57" t="s">
        <v>149</v>
      </c>
      <c r="S27" s="57" t="s">
        <v>149</v>
      </c>
      <c r="T27" s="57"/>
      <c r="U27" s="6"/>
      <c r="V27" s="6"/>
      <c r="W27" s="6"/>
      <c r="X27" s="6"/>
      <c r="Y27" s="6"/>
      <c r="Z27" s="6"/>
      <c r="AA27" s="6"/>
      <c r="AB27" s="6"/>
      <c r="AC27" s="26"/>
    </row>
    <row r="28" spans="2:29" ht="15" customHeight="1" x14ac:dyDescent="0.2">
      <c r="B28" s="49"/>
      <c r="C28" s="126" t="s">
        <v>277</v>
      </c>
      <c r="D28" s="76" t="s">
        <v>170</v>
      </c>
      <c r="E28" s="51"/>
      <c r="G28" s="25"/>
      <c r="H28" s="6" t="s">
        <v>146</v>
      </c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6"/>
      <c r="V28" s="6"/>
      <c r="W28" s="6"/>
      <c r="X28" s="6"/>
      <c r="Y28" s="6"/>
      <c r="Z28" s="6"/>
      <c r="AA28" s="6"/>
      <c r="AB28" s="6"/>
      <c r="AC28" s="26"/>
    </row>
    <row r="29" spans="2:29" ht="15" customHeight="1" thickBot="1" x14ac:dyDescent="0.25">
      <c r="B29" s="49"/>
      <c r="C29" s="126" t="s">
        <v>278</v>
      </c>
      <c r="D29" s="77" t="s">
        <v>171</v>
      </c>
      <c r="E29" s="51"/>
      <c r="G29" s="27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9"/>
    </row>
    <row r="30" spans="2:29" s="4" customFormat="1" ht="15" customHeight="1" thickBot="1" x14ac:dyDescent="0.25">
      <c r="B30" s="49"/>
      <c r="C30" s="126" t="s">
        <v>279</v>
      </c>
      <c r="D30" s="78" t="s">
        <v>174</v>
      </c>
      <c r="E30" s="51"/>
    </row>
    <row r="31" spans="2:29" ht="15" customHeight="1" thickBot="1" x14ac:dyDescent="0.25">
      <c r="B31" s="49"/>
      <c r="C31" s="126" t="s">
        <v>280</v>
      </c>
      <c r="D31" s="79" t="s">
        <v>175</v>
      </c>
      <c r="E31" s="51"/>
      <c r="G31" s="33"/>
      <c r="H31" s="34" t="s">
        <v>167</v>
      </c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5"/>
    </row>
    <row r="32" spans="2:29" s="4" customFormat="1" ht="15" customHeight="1" thickBot="1" x14ac:dyDescent="0.25">
      <c r="B32" s="49"/>
      <c r="C32" s="126" t="s">
        <v>281</v>
      </c>
      <c r="D32" s="80" t="s">
        <v>176</v>
      </c>
      <c r="E32" s="51"/>
    </row>
    <row r="33" spans="2:29" ht="15" customHeight="1" x14ac:dyDescent="0.2">
      <c r="B33" s="49"/>
      <c r="C33" s="137" t="s">
        <v>282</v>
      </c>
      <c r="D33" s="81" t="s">
        <v>180</v>
      </c>
      <c r="E33" s="51"/>
      <c r="G33" s="36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8"/>
    </row>
    <row r="34" spans="2:29" ht="15" customHeight="1" x14ac:dyDescent="0.2">
      <c r="B34" s="49"/>
      <c r="C34" s="138" t="s">
        <v>283</v>
      </c>
      <c r="D34" s="82" t="s">
        <v>181</v>
      </c>
      <c r="E34" s="51"/>
      <c r="G34" s="39"/>
      <c r="H34" s="8"/>
      <c r="I34" s="8">
        <v>1</v>
      </c>
      <c r="J34" s="8">
        <v>2</v>
      </c>
      <c r="K34" s="8">
        <v>3</v>
      </c>
      <c r="L34" s="8">
        <v>4</v>
      </c>
      <c r="M34" s="8">
        <v>5</v>
      </c>
      <c r="N34" s="8">
        <v>6</v>
      </c>
      <c r="O34" s="8">
        <v>7</v>
      </c>
      <c r="P34" s="8">
        <v>8</v>
      </c>
      <c r="Q34" s="8">
        <v>9</v>
      </c>
      <c r="R34" s="8">
        <v>10</v>
      </c>
      <c r="S34" s="8">
        <v>11</v>
      </c>
      <c r="T34" s="8">
        <v>12</v>
      </c>
      <c r="U34" s="8"/>
      <c r="V34" s="8"/>
      <c r="W34" s="8"/>
      <c r="X34" s="8"/>
      <c r="Y34" s="8"/>
      <c r="Z34" s="8"/>
      <c r="AA34" s="8"/>
      <c r="AB34" s="8"/>
      <c r="AC34" s="40"/>
    </row>
    <row r="35" spans="2:29" ht="15" customHeight="1" x14ac:dyDescent="0.2">
      <c r="B35" s="49"/>
      <c r="C35" s="138" t="s">
        <v>284</v>
      </c>
      <c r="D35" s="83" t="s">
        <v>182</v>
      </c>
      <c r="E35" s="51"/>
      <c r="G35" s="39"/>
      <c r="H35" s="8" t="s">
        <v>139</v>
      </c>
      <c r="I35" s="62"/>
      <c r="J35" s="62"/>
      <c r="K35" s="62"/>
      <c r="L35" s="58"/>
      <c r="M35" s="58"/>
      <c r="N35" s="58"/>
      <c r="O35" s="58"/>
      <c r="P35" s="58"/>
      <c r="Q35" s="58"/>
      <c r="R35" s="58"/>
      <c r="S35" s="58"/>
      <c r="T35" s="58"/>
      <c r="U35" s="8"/>
      <c r="V35" s="8"/>
      <c r="W35" s="8"/>
      <c r="X35" s="8"/>
      <c r="Y35" s="8"/>
      <c r="Z35" s="8"/>
      <c r="AA35" s="8"/>
      <c r="AB35" s="8"/>
      <c r="AC35" s="40"/>
    </row>
    <row r="36" spans="2:29" ht="15" customHeight="1" x14ac:dyDescent="0.2">
      <c r="B36" s="49"/>
      <c r="C36" s="126"/>
      <c r="D36" s="84" t="s">
        <v>183</v>
      </c>
      <c r="E36" s="51"/>
      <c r="G36" s="39"/>
      <c r="H36" s="8" t="s">
        <v>140</v>
      </c>
      <c r="I36" s="58"/>
      <c r="J36" s="63" t="s">
        <v>66</v>
      </c>
      <c r="K36" s="63" t="s">
        <v>66</v>
      </c>
      <c r="L36" s="64" t="s">
        <v>67</v>
      </c>
      <c r="M36" s="91" t="s">
        <v>67</v>
      </c>
      <c r="N36" s="91" t="s">
        <v>67</v>
      </c>
      <c r="O36" s="92" t="s">
        <v>68</v>
      </c>
      <c r="P36" s="92" t="s">
        <v>68</v>
      </c>
      <c r="Q36" s="92" t="s">
        <v>68</v>
      </c>
      <c r="R36" s="146" t="s">
        <v>73</v>
      </c>
      <c r="S36" s="146" t="s">
        <v>73</v>
      </c>
      <c r="T36" s="62"/>
      <c r="U36" s="8"/>
      <c r="V36" s="8"/>
      <c r="W36" s="8"/>
      <c r="X36" s="8"/>
      <c r="Y36" s="8"/>
      <c r="Z36" s="129"/>
      <c r="AA36" s="8"/>
      <c r="AB36" s="8"/>
      <c r="AC36" s="40"/>
    </row>
    <row r="37" spans="2:29" ht="15" customHeight="1" x14ac:dyDescent="0.2">
      <c r="B37" s="49"/>
      <c r="C37" s="126"/>
      <c r="D37" s="85" t="s">
        <v>184</v>
      </c>
      <c r="E37" s="51"/>
      <c r="G37" s="39"/>
      <c r="H37" s="8" t="s">
        <v>141</v>
      </c>
      <c r="I37" s="62"/>
      <c r="J37" s="93" t="s">
        <v>69</v>
      </c>
      <c r="K37" s="93" t="s">
        <v>69</v>
      </c>
      <c r="L37" s="93" t="s">
        <v>69</v>
      </c>
      <c r="M37" s="94" t="s">
        <v>70</v>
      </c>
      <c r="N37" s="94" t="s">
        <v>70</v>
      </c>
      <c r="O37" s="94" t="s">
        <v>70</v>
      </c>
      <c r="P37" s="95" t="s">
        <v>71</v>
      </c>
      <c r="Q37" s="95" t="s">
        <v>71</v>
      </c>
      <c r="R37" s="95" t="s">
        <v>71</v>
      </c>
      <c r="S37" s="98" t="s">
        <v>171</v>
      </c>
      <c r="T37" s="58"/>
      <c r="U37" s="8"/>
      <c r="V37" s="8"/>
      <c r="W37" s="8"/>
      <c r="X37" s="8"/>
      <c r="Y37" s="8"/>
      <c r="Z37" s="8"/>
      <c r="AA37" s="8"/>
      <c r="AB37" s="8"/>
      <c r="AC37" s="40"/>
    </row>
    <row r="38" spans="2:29" ht="15" customHeight="1" x14ac:dyDescent="0.2">
      <c r="B38" s="49"/>
      <c r="C38" s="126"/>
      <c r="D38" s="86" t="s">
        <v>177</v>
      </c>
      <c r="E38" s="51"/>
      <c r="G38" s="39"/>
      <c r="H38" s="8" t="s">
        <v>142</v>
      </c>
      <c r="I38" s="62"/>
      <c r="J38" s="96" t="s">
        <v>72</v>
      </c>
      <c r="K38" s="96" t="s">
        <v>72</v>
      </c>
      <c r="L38" s="96" t="s">
        <v>72</v>
      </c>
      <c r="M38" s="163" t="s">
        <v>74</v>
      </c>
      <c r="N38" s="152" t="s">
        <v>74</v>
      </c>
      <c r="O38" s="152" t="s">
        <v>74</v>
      </c>
      <c r="P38" s="147" t="s">
        <v>75</v>
      </c>
      <c r="Q38" s="150" t="s">
        <v>75</v>
      </c>
      <c r="R38" s="150" t="s">
        <v>75</v>
      </c>
      <c r="S38" s="98" t="s">
        <v>171</v>
      </c>
      <c r="T38" s="58"/>
      <c r="U38" s="8"/>
      <c r="V38" s="8"/>
      <c r="W38" s="8"/>
      <c r="X38" s="8"/>
      <c r="Y38" s="8"/>
      <c r="Z38" s="8"/>
      <c r="AA38" s="8"/>
      <c r="AB38" s="8"/>
      <c r="AC38" s="40"/>
    </row>
    <row r="39" spans="2:29" ht="15" customHeight="1" x14ac:dyDescent="0.2">
      <c r="B39" s="49"/>
      <c r="C39" s="126"/>
      <c r="D39" s="87" t="s">
        <v>179</v>
      </c>
      <c r="E39" s="51"/>
      <c r="G39" s="39"/>
      <c r="H39" s="8" t="s">
        <v>143</v>
      </c>
      <c r="I39" s="62"/>
      <c r="J39" s="154" t="s">
        <v>76</v>
      </c>
      <c r="K39" s="139" t="s">
        <v>76</v>
      </c>
      <c r="L39" s="139" t="s">
        <v>76</v>
      </c>
      <c r="M39" s="153" t="s">
        <v>77</v>
      </c>
      <c r="N39" s="153" t="s">
        <v>77</v>
      </c>
      <c r="O39" s="153" t="s">
        <v>77</v>
      </c>
      <c r="P39" s="97" t="s">
        <v>169</v>
      </c>
      <c r="Q39" s="97" t="s">
        <v>169</v>
      </c>
      <c r="R39" s="97" t="s">
        <v>169</v>
      </c>
      <c r="S39" s="162" t="s">
        <v>182</v>
      </c>
      <c r="T39" s="58"/>
      <c r="U39" s="8"/>
      <c r="V39" s="8"/>
      <c r="W39" s="8"/>
      <c r="X39" s="8"/>
      <c r="Y39" s="8"/>
      <c r="Z39" s="8"/>
      <c r="AA39" s="8"/>
      <c r="AB39" s="8"/>
      <c r="AC39" s="40"/>
    </row>
    <row r="40" spans="2:29" ht="15" customHeight="1" x14ac:dyDescent="0.2">
      <c r="B40" s="49"/>
      <c r="C40" s="126"/>
      <c r="D40" s="88" t="s">
        <v>178</v>
      </c>
      <c r="E40" s="51"/>
      <c r="G40" s="39"/>
      <c r="H40" s="8" t="s">
        <v>144</v>
      </c>
      <c r="I40" s="62"/>
      <c r="J40" s="149" t="s">
        <v>170</v>
      </c>
      <c r="K40" s="149" t="s">
        <v>170</v>
      </c>
      <c r="L40" s="149" t="s">
        <v>170</v>
      </c>
      <c r="M40" s="140" t="s">
        <v>174</v>
      </c>
      <c r="N40" s="140" t="s">
        <v>174</v>
      </c>
      <c r="O40" s="140" t="s">
        <v>174</v>
      </c>
      <c r="P40" s="141" t="s">
        <v>175</v>
      </c>
      <c r="Q40" s="141" t="s">
        <v>175</v>
      </c>
      <c r="R40" s="141" t="s">
        <v>175</v>
      </c>
      <c r="S40" s="162" t="s">
        <v>182</v>
      </c>
      <c r="T40" s="58"/>
      <c r="U40" s="8"/>
      <c r="V40" s="8"/>
      <c r="W40" s="8"/>
      <c r="X40" s="8"/>
      <c r="Y40" s="8"/>
      <c r="Z40" s="8"/>
      <c r="AA40" s="8"/>
      <c r="AB40" s="8"/>
      <c r="AC40" s="40"/>
    </row>
    <row r="41" spans="2:29" ht="15" customHeight="1" x14ac:dyDescent="0.2">
      <c r="B41" s="49"/>
      <c r="C41" s="127"/>
      <c r="D41" s="89" t="s">
        <v>185</v>
      </c>
      <c r="E41" s="51"/>
      <c r="G41" s="39"/>
      <c r="H41" s="8" t="s">
        <v>145</v>
      </c>
      <c r="I41" s="62"/>
      <c r="J41" s="142" t="s">
        <v>176</v>
      </c>
      <c r="K41" s="142" t="s">
        <v>176</v>
      </c>
      <c r="L41" s="142" t="s">
        <v>176</v>
      </c>
      <c r="M41" s="143" t="s">
        <v>180</v>
      </c>
      <c r="N41" s="143" t="s">
        <v>180</v>
      </c>
      <c r="O41" s="143" t="s">
        <v>180</v>
      </c>
      <c r="P41" s="148" t="s">
        <v>181</v>
      </c>
      <c r="Q41" s="148" t="s">
        <v>181</v>
      </c>
      <c r="R41" s="148" t="s">
        <v>181</v>
      </c>
      <c r="S41" s="162" t="s">
        <v>182</v>
      </c>
      <c r="T41" s="58"/>
      <c r="U41" s="8"/>
      <c r="V41" s="8"/>
      <c r="W41" s="8"/>
      <c r="X41" s="8"/>
      <c r="Y41" s="8"/>
      <c r="Z41" s="8"/>
      <c r="AA41" s="8"/>
      <c r="AB41" s="8"/>
      <c r="AC41" s="40"/>
    </row>
    <row r="42" spans="2:29" ht="15" customHeight="1" x14ac:dyDescent="0.2">
      <c r="B42" s="49"/>
      <c r="C42" s="128"/>
      <c r="D42" s="90" t="s">
        <v>186</v>
      </c>
      <c r="E42" s="51"/>
      <c r="G42" s="39"/>
      <c r="H42" s="8" t="s">
        <v>146</v>
      </c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8"/>
      <c r="V42" s="8"/>
      <c r="W42" s="8"/>
      <c r="X42" s="8"/>
      <c r="Y42" s="8"/>
      <c r="Z42" s="8"/>
      <c r="AA42" s="8"/>
      <c r="AB42" s="8"/>
      <c r="AC42" s="40"/>
    </row>
    <row r="43" spans="2:29" ht="15" customHeight="1" thickBot="1" x14ac:dyDescent="0.25">
      <c r="B43" s="52"/>
      <c r="C43" s="99"/>
      <c r="D43" s="99"/>
      <c r="E43" s="53"/>
      <c r="G43" s="41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3"/>
    </row>
    <row r="44" spans="2:29" s="4" customFormat="1" ht="15" customHeight="1" x14ac:dyDescent="0.2"/>
    <row r="45" spans="2:29" s="4" customFormat="1" ht="15" customHeight="1" x14ac:dyDescent="0.2"/>
    <row r="46" spans="2:29" s="4" customFormat="1" ht="15" customHeight="1" x14ac:dyDescent="0.2"/>
    <row r="47" spans="2:29" s="4" customFormat="1" ht="15" customHeight="1" x14ac:dyDescent="0.2"/>
    <row r="48" spans="2:29" s="4" customFormat="1" ht="15" customHeight="1" x14ac:dyDescent="0.2"/>
    <row r="49" s="4" customFormat="1" ht="15" customHeight="1" x14ac:dyDescent="0.2"/>
    <row r="50" s="4" customFormat="1" ht="15" customHeight="1" x14ac:dyDescent="0.2"/>
    <row r="51" s="4" customFormat="1" ht="15" customHeight="1" x14ac:dyDescent="0.2"/>
    <row r="52" s="4" customFormat="1" ht="15" customHeight="1" x14ac:dyDescent="0.2"/>
    <row r="53" s="4" customFormat="1" ht="15" customHeight="1" x14ac:dyDescent="0.2"/>
    <row r="54" s="4" customFormat="1" ht="15" customHeight="1" x14ac:dyDescent="0.2"/>
    <row r="55" s="4" customFormat="1" ht="15" customHeight="1" x14ac:dyDescent="0.2"/>
    <row r="56" s="4" customFormat="1" ht="15" customHeight="1" x14ac:dyDescent="0.2"/>
    <row r="57" s="4" customFormat="1" ht="15" customHeight="1" x14ac:dyDescent="0.2"/>
    <row r="58" s="4" customFormat="1" ht="15" customHeight="1" x14ac:dyDescent="0.2"/>
    <row r="59" s="4" customFormat="1" ht="15" customHeight="1" x14ac:dyDescent="0.2"/>
    <row r="60" s="4" customFormat="1" ht="15" customHeight="1" x14ac:dyDescent="0.2"/>
    <row r="61" s="4" customFormat="1" ht="15" customHeight="1" x14ac:dyDescent="0.2"/>
    <row r="62" s="4" customFormat="1" ht="15" customHeight="1" x14ac:dyDescent="0.2"/>
    <row r="63" s="4" customFormat="1" ht="15" customHeight="1" x14ac:dyDescent="0.2"/>
    <row r="64" s="4" customFormat="1" ht="15" customHeight="1" x14ac:dyDescent="0.2"/>
    <row r="65" s="4" customFormat="1" ht="15" customHeight="1" x14ac:dyDescent="0.2"/>
    <row r="66" s="4" customFormat="1" ht="15" customHeight="1" x14ac:dyDescent="0.2"/>
    <row r="67" s="4" customFormat="1" ht="15" customHeight="1" x14ac:dyDescent="0.2"/>
    <row r="68" s="4" customFormat="1" ht="15" customHeight="1" x14ac:dyDescent="0.2"/>
    <row r="69" s="4" customFormat="1" ht="15" customHeight="1" x14ac:dyDescent="0.2"/>
    <row r="70" s="4" customFormat="1" ht="15" customHeight="1" x14ac:dyDescent="0.2"/>
    <row r="71" s="4" customFormat="1" ht="15" customHeight="1" x14ac:dyDescent="0.2"/>
    <row r="72" s="4" customFormat="1" ht="15" customHeight="1" x14ac:dyDescent="0.2"/>
    <row r="73" s="4" customFormat="1" ht="15" customHeight="1" x14ac:dyDescent="0.2"/>
    <row r="74" s="4" customFormat="1" ht="15" customHeight="1" x14ac:dyDescent="0.2"/>
    <row r="75" s="4" customFormat="1" ht="15" customHeight="1" x14ac:dyDescent="0.2"/>
    <row r="76" s="4" customFormat="1" ht="15" customHeight="1" x14ac:dyDescent="0.2"/>
    <row r="77" s="4" customFormat="1" ht="15" customHeight="1" x14ac:dyDescent="0.2"/>
    <row r="78" s="4" customFormat="1" ht="15" customHeight="1" x14ac:dyDescent="0.2"/>
    <row r="79" s="4" customFormat="1" ht="15" customHeight="1" x14ac:dyDescent="0.2"/>
    <row r="80" s="4" customFormat="1" ht="15" customHeight="1" x14ac:dyDescent="0.2"/>
    <row r="81" s="4" customFormat="1" ht="15" customHeight="1" x14ac:dyDescent="0.2"/>
    <row r="82" s="4" customFormat="1" ht="15" customHeight="1" x14ac:dyDescent="0.2"/>
    <row r="83" s="4" customFormat="1" ht="15" customHeight="1" x14ac:dyDescent="0.2"/>
    <row r="84" s="4" customFormat="1" ht="15" customHeight="1" x14ac:dyDescent="0.2"/>
    <row r="85" s="4" customFormat="1" ht="15" customHeight="1" x14ac:dyDescent="0.2"/>
    <row r="86" s="4" customFormat="1" ht="15" customHeight="1" x14ac:dyDescent="0.2"/>
    <row r="87" s="4" customFormat="1" ht="15" customHeight="1" x14ac:dyDescent="0.2"/>
    <row r="88" s="4" customFormat="1" ht="15" customHeight="1" x14ac:dyDescent="0.2"/>
    <row r="89" s="4" customFormat="1" ht="15" customHeight="1" x14ac:dyDescent="0.2"/>
    <row r="90" s="4" customFormat="1" ht="15" customHeight="1" x14ac:dyDescent="0.2"/>
    <row r="91" s="4" customFormat="1" ht="15" customHeight="1" x14ac:dyDescent="0.2"/>
    <row r="92" s="4" customFormat="1" ht="15" customHeight="1" x14ac:dyDescent="0.2"/>
    <row r="93" s="4" customFormat="1" ht="15" customHeight="1" x14ac:dyDescent="0.2"/>
    <row r="94" s="4" customFormat="1" ht="15" customHeight="1" x14ac:dyDescent="0.2"/>
    <row r="95" s="4" customFormat="1" ht="15" customHeight="1" x14ac:dyDescent="0.2"/>
    <row r="96" s="4" customFormat="1" ht="15" customHeight="1" x14ac:dyDescent="0.2"/>
    <row r="97" s="4" customFormat="1" ht="15" customHeight="1" x14ac:dyDescent="0.2"/>
    <row r="98" s="4" customFormat="1" ht="15" customHeight="1" x14ac:dyDescent="0.2"/>
    <row r="99" s="4" customFormat="1" ht="15" customHeight="1" x14ac:dyDescent="0.2"/>
    <row r="100" s="4" customFormat="1" ht="15" customHeight="1" x14ac:dyDescent="0.2"/>
    <row r="101" s="4" customFormat="1" ht="15" customHeight="1" x14ac:dyDescent="0.2"/>
    <row r="102" s="4" customFormat="1" ht="15" customHeight="1" x14ac:dyDescent="0.2"/>
    <row r="103" s="4" customFormat="1" ht="15" customHeight="1" x14ac:dyDescent="0.2"/>
    <row r="104" s="4" customFormat="1" ht="15" customHeight="1" x14ac:dyDescent="0.2"/>
    <row r="105" s="4" customFormat="1" ht="15" customHeight="1" x14ac:dyDescent="0.2"/>
    <row r="106" s="4" customFormat="1" ht="15" customHeight="1" x14ac:dyDescent="0.2"/>
    <row r="107" s="4" customFormat="1" ht="15" customHeight="1" x14ac:dyDescent="0.2"/>
    <row r="108" s="4" customFormat="1" ht="15" customHeight="1" x14ac:dyDescent="0.2"/>
    <row r="109" s="4" customFormat="1" ht="15" customHeight="1" x14ac:dyDescent="0.2"/>
    <row r="110" s="4" customFormat="1" ht="15" customHeight="1" x14ac:dyDescent="0.2"/>
    <row r="111" s="4" customFormat="1" ht="15" customHeight="1" x14ac:dyDescent="0.2"/>
    <row r="112" s="4" customFormat="1" ht="15" customHeight="1" x14ac:dyDescent="0.2"/>
    <row r="113" s="4" customFormat="1" ht="15" customHeight="1" x14ac:dyDescent="0.2"/>
    <row r="114" s="4" customFormat="1" ht="15" customHeight="1" x14ac:dyDescent="0.2"/>
    <row r="115" s="4" customFormat="1" ht="15" customHeight="1" x14ac:dyDescent="0.2"/>
    <row r="116" s="4" customFormat="1" ht="15" customHeight="1" x14ac:dyDescent="0.2"/>
    <row r="117" s="4" customFormat="1" ht="15" customHeight="1" x14ac:dyDescent="0.2"/>
    <row r="118" s="4" customFormat="1" ht="15" customHeight="1" x14ac:dyDescent="0.2"/>
    <row r="119" s="4" customFormat="1" ht="15" customHeight="1" x14ac:dyDescent="0.2"/>
    <row r="120" s="4" customFormat="1" ht="15" customHeight="1" x14ac:dyDescent="0.2"/>
    <row r="121" s="4" customFormat="1" ht="15" customHeight="1" x14ac:dyDescent="0.2"/>
    <row r="122" s="4" customFormat="1" ht="15" customHeight="1" x14ac:dyDescent="0.2"/>
    <row r="123" s="4" customFormat="1" ht="15" customHeight="1" x14ac:dyDescent="0.2"/>
    <row r="124" s="4" customFormat="1" ht="15" customHeight="1" x14ac:dyDescent="0.2"/>
    <row r="125" s="4" customFormat="1" ht="15" customHeight="1" x14ac:dyDescent="0.2"/>
    <row r="126" s="4" customFormat="1" ht="15" customHeight="1" x14ac:dyDescent="0.2"/>
    <row r="127" s="4" customFormat="1" ht="15" customHeight="1" x14ac:dyDescent="0.2"/>
    <row r="128" s="4" customFormat="1" ht="15" customHeight="1" x14ac:dyDescent="0.2"/>
    <row r="129" s="4" customFormat="1" ht="15" customHeight="1" x14ac:dyDescent="0.2"/>
    <row r="130" s="4" customFormat="1" ht="15" customHeight="1" x14ac:dyDescent="0.2"/>
    <row r="131" s="4" customFormat="1" ht="15" customHeight="1" x14ac:dyDescent="0.2"/>
    <row r="132" s="4" customFormat="1" ht="15" customHeight="1" x14ac:dyDescent="0.2"/>
    <row r="133" s="4" customFormat="1" ht="15" customHeight="1" x14ac:dyDescent="0.2"/>
    <row r="134" s="4" customFormat="1" ht="15" customHeight="1" x14ac:dyDescent="0.2"/>
    <row r="135" s="4" customFormat="1" ht="15" customHeight="1" x14ac:dyDescent="0.2"/>
    <row r="136" s="4" customFormat="1" ht="15" customHeight="1" x14ac:dyDescent="0.2"/>
    <row r="137" s="4" customFormat="1" ht="15" customHeight="1" x14ac:dyDescent="0.2"/>
    <row r="138" s="4" customFormat="1" ht="15" customHeight="1" x14ac:dyDescent="0.2"/>
    <row r="139" s="4" customFormat="1" ht="15" customHeight="1" x14ac:dyDescent="0.2"/>
    <row r="140" s="4" customFormat="1" ht="15" customHeight="1" x14ac:dyDescent="0.2"/>
    <row r="141" s="4" customFormat="1" ht="15" customHeight="1" x14ac:dyDescent="0.2"/>
    <row r="142" s="4" customFormat="1" ht="15" customHeight="1" x14ac:dyDescent="0.2"/>
    <row r="143" s="4" customFormat="1" ht="15" customHeight="1" x14ac:dyDescent="0.2"/>
    <row r="144" s="4" customFormat="1" ht="15" customHeight="1" x14ac:dyDescent="0.2"/>
    <row r="145" s="4" customFormat="1" ht="15" customHeight="1" x14ac:dyDescent="0.2"/>
    <row r="146" s="4" customFormat="1" ht="15" customHeight="1" x14ac:dyDescent="0.2"/>
    <row r="147" s="4" customFormat="1" ht="15" customHeight="1" x14ac:dyDescent="0.2"/>
    <row r="148" s="4" customFormat="1" ht="15" customHeight="1" x14ac:dyDescent="0.2"/>
    <row r="149" s="4" customFormat="1" ht="15" customHeight="1" x14ac:dyDescent="0.2"/>
    <row r="150" s="4" customFormat="1" ht="15" customHeight="1" x14ac:dyDescent="0.2"/>
    <row r="151" s="4" customFormat="1" ht="15" customHeight="1" x14ac:dyDescent="0.2"/>
    <row r="152" s="4" customFormat="1" ht="15" customHeight="1" x14ac:dyDescent="0.2"/>
    <row r="153" s="4" customFormat="1" ht="15" customHeight="1" x14ac:dyDescent="0.2"/>
    <row r="154" s="4" customFormat="1" ht="15" customHeight="1" x14ac:dyDescent="0.2"/>
    <row r="155" s="4" customFormat="1" ht="15" customHeight="1" x14ac:dyDescent="0.2"/>
    <row r="156" s="4" customFormat="1" ht="15" customHeight="1" x14ac:dyDescent="0.2"/>
    <row r="157" s="4" customFormat="1" ht="15" customHeight="1" x14ac:dyDescent="0.2"/>
    <row r="158" s="4" customFormat="1" ht="15" customHeight="1" x14ac:dyDescent="0.2"/>
    <row r="159" s="4" customFormat="1" ht="15" customHeight="1" x14ac:dyDescent="0.2"/>
    <row r="160" s="4" customFormat="1" ht="15" customHeight="1" x14ac:dyDescent="0.2"/>
    <row r="161" s="4" customFormat="1" ht="15" customHeight="1" x14ac:dyDescent="0.2"/>
    <row r="162" s="4" customFormat="1" ht="15" customHeight="1" x14ac:dyDescent="0.2"/>
    <row r="163" s="4" customFormat="1" ht="15" customHeight="1" x14ac:dyDescent="0.2"/>
    <row r="164" s="4" customFormat="1" ht="15" customHeight="1" x14ac:dyDescent="0.2"/>
    <row r="165" s="4" customFormat="1" ht="15" customHeight="1" x14ac:dyDescent="0.2"/>
    <row r="166" s="4" customFormat="1" ht="15" customHeight="1" x14ac:dyDescent="0.2"/>
    <row r="167" s="4" customFormat="1" ht="15" customHeight="1" x14ac:dyDescent="0.2"/>
    <row r="168" s="4" customFormat="1" ht="15" customHeight="1" x14ac:dyDescent="0.2"/>
    <row r="169" s="4" customFormat="1" ht="15" customHeight="1" x14ac:dyDescent="0.2"/>
    <row r="170" s="4" customFormat="1" ht="15" customHeight="1" x14ac:dyDescent="0.2"/>
    <row r="171" s="4" customFormat="1" ht="15" customHeight="1" x14ac:dyDescent="0.2"/>
    <row r="172" s="4" customFormat="1" ht="15" customHeight="1" x14ac:dyDescent="0.2"/>
    <row r="173" s="4" customFormat="1" ht="15" customHeight="1" x14ac:dyDescent="0.2"/>
    <row r="174" s="4" customFormat="1" ht="15" customHeight="1" x14ac:dyDescent="0.2"/>
    <row r="175" s="4" customFormat="1" ht="15" customHeight="1" x14ac:dyDescent="0.2"/>
    <row r="176" s="4" customFormat="1" ht="15" customHeight="1" x14ac:dyDescent="0.2"/>
    <row r="177" s="4" customFormat="1" ht="15" customHeight="1" x14ac:dyDescent="0.2"/>
    <row r="178" s="4" customFormat="1" ht="15" customHeight="1" x14ac:dyDescent="0.2"/>
    <row r="179" s="4" customFormat="1" ht="15" customHeight="1" x14ac:dyDescent="0.2"/>
    <row r="180" s="4" customFormat="1" ht="15" customHeight="1" x14ac:dyDescent="0.2"/>
    <row r="181" s="4" customFormat="1" ht="15" customHeight="1" x14ac:dyDescent="0.2"/>
    <row r="182" s="4" customFormat="1" ht="15" customHeight="1" x14ac:dyDescent="0.2"/>
    <row r="183" s="4" customFormat="1" ht="15" customHeight="1" x14ac:dyDescent="0.2"/>
    <row r="184" s="4" customFormat="1" ht="15" customHeight="1" x14ac:dyDescent="0.2"/>
    <row r="185" s="4" customFormat="1" ht="15" customHeight="1" x14ac:dyDescent="0.2"/>
    <row r="186" s="4" customFormat="1" ht="15" customHeight="1" x14ac:dyDescent="0.2"/>
    <row r="187" s="4" customFormat="1" ht="15" customHeight="1" x14ac:dyDescent="0.2"/>
    <row r="188" s="4" customFormat="1" ht="15" customHeight="1" x14ac:dyDescent="0.2"/>
    <row r="189" s="4" customFormat="1" ht="15" customHeight="1" x14ac:dyDescent="0.2"/>
    <row r="190" s="4" customFormat="1" ht="15" customHeight="1" x14ac:dyDescent="0.2"/>
    <row r="191" s="4" customFormat="1" ht="15" customHeight="1" x14ac:dyDescent="0.2"/>
    <row r="192" s="4" customFormat="1" ht="15" customHeight="1" x14ac:dyDescent="0.2"/>
    <row r="193" s="4" customFormat="1" ht="15" customHeight="1" x14ac:dyDescent="0.2"/>
    <row r="194" s="4" customFormat="1" ht="15" customHeight="1" x14ac:dyDescent="0.2"/>
    <row r="195" s="4" customFormat="1" ht="15" customHeight="1" x14ac:dyDescent="0.2"/>
    <row r="196" s="4" customFormat="1" ht="15" customHeight="1" x14ac:dyDescent="0.2"/>
    <row r="197" s="4" customFormat="1" ht="15" customHeight="1" x14ac:dyDescent="0.2"/>
    <row r="198" s="4" customFormat="1" ht="15" customHeight="1" x14ac:dyDescent="0.2"/>
    <row r="199" s="4" customFormat="1" ht="15" customHeight="1" x14ac:dyDescent="0.2"/>
    <row r="200" s="4" customFormat="1" ht="15" customHeight="1" x14ac:dyDescent="0.2"/>
    <row r="201" s="4" customFormat="1" ht="15" customHeight="1" x14ac:dyDescent="0.2"/>
    <row r="202" s="4" customFormat="1" ht="15" customHeight="1" x14ac:dyDescent="0.2"/>
    <row r="203" s="4" customFormat="1" ht="15" customHeight="1" x14ac:dyDescent="0.2"/>
    <row r="204" s="4" customFormat="1" ht="15" customHeight="1" x14ac:dyDescent="0.2"/>
    <row r="205" s="4" customFormat="1" ht="15" customHeight="1" x14ac:dyDescent="0.2"/>
    <row r="206" s="4" customFormat="1" ht="15" customHeight="1" x14ac:dyDescent="0.2"/>
    <row r="207" s="4" customFormat="1" ht="15" customHeight="1" x14ac:dyDescent="0.2"/>
    <row r="208" s="4" customFormat="1" ht="15" customHeight="1" x14ac:dyDescent="0.2"/>
    <row r="209" s="4" customFormat="1" ht="15" customHeight="1" x14ac:dyDescent="0.2"/>
    <row r="210" s="4" customFormat="1" ht="15" customHeight="1" x14ac:dyDescent="0.2"/>
    <row r="211" s="4" customFormat="1" ht="15" customHeight="1" x14ac:dyDescent="0.2"/>
    <row r="212" s="4" customFormat="1" ht="15" customHeight="1" x14ac:dyDescent="0.2"/>
    <row r="213" s="4" customFormat="1" ht="15" customHeight="1" x14ac:dyDescent="0.2"/>
    <row r="214" s="4" customFormat="1" ht="15" customHeight="1" x14ac:dyDescent="0.2"/>
    <row r="215" s="4" customFormat="1" ht="15" customHeight="1" x14ac:dyDescent="0.2"/>
    <row r="216" s="4" customFormat="1" ht="15" customHeight="1" x14ac:dyDescent="0.2"/>
    <row r="217" s="4" customFormat="1" ht="15" customHeight="1" x14ac:dyDescent="0.2"/>
    <row r="218" s="4" customFormat="1" ht="15" customHeight="1" x14ac:dyDescent="0.2"/>
    <row r="219" s="4" customFormat="1" ht="15" customHeight="1" x14ac:dyDescent="0.2"/>
    <row r="220" s="4" customFormat="1" ht="15" customHeight="1" x14ac:dyDescent="0.2"/>
    <row r="221" s="4" customFormat="1" ht="15" customHeight="1" x14ac:dyDescent="0.2"/>
    <row r="222" s="4" customFormat="1" ht="15" customHeight="1" x14ac:dyDescent="0.2"/>
  </sheetData>
  <phoneticPr fontId="6" type="noConversion"/>
  <conditionalFormatting sqref="I15:AB16 I29:AB29 I21:T21 I7:T13 M36:O36 S36:T39 I37:R37 I39 I38:L38 K6:T6 W6:W13 I22 K22:T22 I23:T28 P39:R40 M39:O39 Y6:Y13">
    <cfRule type="expression" dxfId="20" priority="1">
      <formula>I6="W8"</formula>
    </cfRule>
    <cfRule type="expression" dxfId="19" priority="2">
      <formula>I6="W7"</formula>
    </cfRule>
    <cfRule type="expression" dxfId="18" priority="3">
      <formula>I6="W6"</formula>
    </cfRule>
    <cfRule type="expression" dxfId="17" priority="4">
      <formula>I6="W5"</formula>
    </cfRule>
    <cfRule type="expression" dxfId="16" priority="122">
      <formula>I6="W4"</formula>
    </cfRule>
    <cfRule type="expression" dxfId="15" priority="123">
      <formula>I6="W3"</formula>
    </cfRule>
    <cfRule type="expression" dxfId="14" priority="124">
      <formula>I6="W2"</formula>
    </cfRule>
  </conditionalFormatting>
  <conditionalFormatting sqref="Z6:Z13">
    <cfRule type="expression" dxfId="13" priority="22">
      <formula>Z6="W4"</formula>
    </cfRule>
    <cfRule type="expression" dxfId="12" priority="23">
      <formula>Z6="W3"</formula>
    </cfRule>
    <cfRule type="expression" dxfId="11" priority="24">
      <formula>Z6="W2"</formula>
    </cfRule>
    <cfRule type="expression" dxfId="10" priority="25">
      <formula>Z6="W1"</formula>
    </cfRule>
  </conditionalFormatting>
  <conditionalFormatting sqref="I30:AB30 I43:AB43 I35:T35 I36 I41:T42 I40:O40 S40:T40">
    <cfRule type="expression" dxfId="9" priority="18">
      <formula>I30="W4"</formula>
    </cfRule>
    <cfRule type="expression" dxfId="8" priority="19">
      <formula>I30="W3"</formula>
    </cfRule>
    <cfRule type="expression" dxfId="7" priority="20">
      <formula>I30="W2"</formula>
    </cfRule>
    <cfRule type="expression" dxfId="6" priority="21">
      <formula>I30="W1"</formula>
    </cfRule>
  </conditionalFormatting>
  <conditionalFormatting sqref="P36:R36">
    <cfRule type="expression" dxfId="5" priority="14">
      <formula>P36="W4"</formula>
    </cfRule>
    <cfRule type="expression" dxfId="4" priority="15">
      <formula>P36="W3"</formula>
    </cfRule>
    <cfRule type="expression" dxfId="3" priority="16">
      <formula>P36="W2"</formula>
    </cfRule>
    <cfRule type="expression" dxfId="2" priority="17">
      <formula>P36="W1"</formula>
    </cfRule>
  </conditionalFormatting>
  <conditionalFormatting sqref="D11">
    <cfRule type="notContainsText" dxfId="1" priority="9" operator="notContains" text="OK">
      <formula>ISERROR(SEARCH("OK",D11))</formula>
    </cfRule>
  </conditionalFormatting>
  <conditionalFormatting sqref="I7:T13 I21:T21 I22 K22:T22 I23:T28 J6:T6">
    <cfRule type="expression" dxfId="0" priority="126">
      <formula>I6="W1"</formula>
    </cfRule>
  </conditionalFormatting>
  <dataValidations count="1">
    <dataValidation type="list" allowBlank="1" showInputMessage="1" showErrorMessage="1" sqref="K21:T28 I21:I28 J21 J23:J28 I7:I13 J6:T13" xr:uid="{00000000-0002-0000-0000-000000000000}">
      <formula1>"W1,W2,W3,W4,W5,W6,W7,W8"</formula1>
    </dataValidation>
  </dataValidations>
  <pageMargins left="0.75" right="0.75" top="1" bottom="1" header="0.5" footer="0.5"/>
  <pageSetup paperSize="9" scale="31" orientation="portrait" horizontalDpi="4294967292" verticalDpi="4294967292" r:id="rId1"/>
  <colBreaks count="2" manualBreakCount="2">
    <brk id="52" max="1048575" man="1"/>
    <brk id="88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fresh_workbook_one">
                <anchor moveWithCells="1">
                  <from>
                    <xdr:col>21</xdr:col>
                    <xdr:colOff>139700</xdr:colOff>
                    <xdr:row>34</xdr:row>
                    <xdr:rowOff>12700</xdr:rowOff>
                  </from>
                  <to>
                    <xdr:col>24</xdr:col>
                    <xdr:colOff>749300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fresh_workbook_all">
                <anchor moveWithCells="1">
                  <from>
                    <xdr:col>21</xdr:col>
                    <xdr:colOff>139700</xdr:colOff>
                    <xdr:row>37</xdr:row>
                    <xdr:rowOff>12700</xdr:rowOff>
                  </from>
                  <to>
                    <xdr:col>24</xdr:col>
                    <xdr:colOff>749300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calc" altText="calc.">
                <anchor moveWithCells="1">
                  <from>
                    <xdr:col>20</xdr:col>
                    <xdr:colOff>63500</xdr:colOff>
                    <xdr:row>3</xdr:row>
                    <xdr:rowOff>114300</xdr:rowOff>
                  </from>
                  <to>
                    <xdr:col>22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M139"/>
  <sheetViews>
    <sheetView topLeftCell="A99" zoomScale="85" zoomScaleNormal="85" workbookViewId="0">
      <selection activeCell="T50" sqref="T50"/>
    </sheetView>
  </sheetViews>
  <sheetFormatPr baseColWidth="10" defaultRowHeight="15" x14ac:dyDescent="0.2"/>
  <cols>
    <col min="5" max="5" width="11.1640625" customWidth="1"/>
  </cols>
  <sheetData>
    <row r="1" spans="1:33" x14ac:dyDescent="0.2">
      <c r="A1" s="130" t="s">
        <v>0</v>
      </c>
      <c r="B1" s="130"/>
      <c r="C1" s="130"/>
      <c r="D1" s="130"/>
      <c r="E1" s="130" t="s">
        <v>1</v>
      </c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130"/>
    </row>
    <row r="2" spans="1:33" x14ac:dyDescent="0.2">
      <c r="A2" s="130" t="s">
        <v>2</v>
      </c>
      <c r="B2" s="130"/>
      <c r="C2" s="130"/>
      <c r="D2" s="130"/>
      <c r="E2" s="130" t="s">
        <v>3</v>
      </c>
      <c r="F2" s="130"/>
      <c r="G2" s="130"/>
      <c r="H2" s="130"/>
      <c r="I2" s="130" t="s">
        <v>4</v>
      </c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</row>
    <row r="3" spans="1:33" x14ac:dyDescent="0.2">
      <c r="A3" s="130" t="s">
        <v>5</v>
      </c>
      <c r="B3" s="130"/>
      <c r="C3" s="130"/>
      <c r="D3" s="130"/>
      <c r="E3" s="130" t="s">
        <v>6</v>
      </c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  <c r="AE3" s="130"/>
      <c r="AF3" s="130"/>
      <c r="AG3" s="130"/>
    </row>
    <row r="4" spans="1:33" x14ac:dyDescent="0.2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</row>
    <row r="5" spans="1:33" x14ac:dyDescent="0.2">
      <c r="A5" s="130" t="s">
        <v>7</v>
      </c>
      <c r="B5" s="131">
        <v>43438</v>
      </c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</row>
    <row r="6" spans="1:33" x14ac:dyDescent="0.2">
      <c r="A6" s="130" t="s">
        <v>8</v>
      </c>
      <c r="B6" s="132">
        <v>0.38624999999999998</v>
      </c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</row>
    <row r="7" spans="1:33" x14ac:dyDescent="0.2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</row>
    <row r="8" spans="1:33" x14ac:dyDescent="0.2">
      <c r="A8" s="130"/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0"/>
      <c r="P8" s="130"/>
      <c r="Q8" s="130"/>
      <c r="R8" s="130"/>
      <c r="S8" s="130"/>
      <c r="T8" s="130"/>
      <c r="U8" s="130"/>
      <c r="V8" s="130"/>
      <c r="W8" s="130"/>
      <c r="X8" s="130"/>
      <c r="Y8" s="130"/>
      <c r="Z8" s="130"/>
      <c r="AA8" s="130"/>
      <c r="AB8" s="130"/>
      <c r="AC8" s="130"/>
      <c r="AD8" s="130"/>
      <c r="AE8" s="130"/>
      <c r="AF8" s="130"/>
      <c r="AG8" s="130"/>
    </row>
    <row r="9" spans="1:33" x14ac:dyDescent="0.2">
      <c r="A9" s="130" t="s">
        <v>9</v>
      </c>
      <c r="B9" s="130"/>
      <c r="C9" s="130"/>
      <c r="D9" s="130"/>
      <c r="E9" s="130" t="s">
        <v>10</v>
      </c>
      <c r="F9" s="130"/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0"/>
      <c r="AC9" s="130"/>
      <c r="AD9" s="130"/>
      <c r="AE9" s="130"/>
      <c r="AF9" s="130"/>
      <c r="AG9" s="130"/>
    </row>
    <row r="10" spans="1:33" x14ac:dyDescent="0.2">
      <c r="A10" s="130" t="s">
        <v>11</v>
      </c>
      <c r="B10" s="130"/>
      <c r="C10" s="130"/>
      <c r="D10" s="130"/>
      <c r="E10" s="130" t="s">
        <v>12</v>
      </c>
      <c r="F10" s="130"/>
      <c r="G10" s="130"/>
      <c r="H10" s="130"/>
      <c r="I10" s="130"/>
      <c r="J10" s="130"/>
      <c r="K10" s="130"/>
      <c r="L10" s="130"/>
      <c r="M10" s="130"/>
      <c r="N10" s="130"/>
      <c r="O10" s="130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</row>
    <row r="11" spans="1:33" x14ac:dyDescent="0.2">
      <c r="A11" s="130" t="s">
        <v>13</v>
      </c>
      <c r="B11" s="130"/>
      <c r="C11" s="130"/>
      <c r="D11" s="130"/>
      <c r="E11" s="130" t="s">
        <v>14</v>
      </c>
      <c r="F11" s="130"/>
      <c r="G11" s="130"/>
      <c r="H11" s="130"/>
      <c r="I11" s="130"/>
      <c r="J11" s="130"/>
      <c r="K11" s="130"/>
      <c r="L11" s="130"/>
      <c r="M11" s="130"/>
      <c r="N11" s="130"/>
      <c r="O11" s="130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</row>
    <row r="12" spans="1:33" x14ac:dyDescent="0.2">
      <c r="A12" s="130" t="s">
        <v>15</v>
      </c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0"/>
      <c r="P12" s="130"/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30"/>
      <c r="AC12" s="130"/>
      <c r="AD12" s="130"/>
      <c r="AE12" s="130"/>
      <c r="AF12" s="130"/>
      <c r="AG12" s="130"/>
    </row>
    <row r="13" spans="1:33" x14ac:dyDescent="0.2">
      <c r="A13" s="130"/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0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</row>
    <row r="14" spans="1:33" x14ac:dyDescent="0.2">
      <c r="A14" s="133" t="s">
        <v>16</v>
      </c>
      <c r="B14" s="133"/>
      <c r="C14" s="133"/>
      <c r="D14" s="133"/>
      <c r="E14" s="133" t="s">
        <v>17</v>
      </c>
      <c r="F14" s="133" t="s">
        <v>18</v>
      </c>
      <c r="G14" s="133"/>
      <c r="H14" s="133"/>
      <c r="I14" s="133"/>
      <c r="J14" s="133"/>
      <c r="K14" s="133"/>
      <c r="L14" s="133"/>
      <c r="M14" s="130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</row>
    <row r="15" spans="1:33" x14ac:dyDescent="0.2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30"/>
      <c r="AE15" s="130"/>
      <c r="AF15" s="130"/>
      <c r="AG15" s="130"/>
    </row>
    <row r="16" spans="1:33" x14ac:dyDescent="0.2">
      <c r="A16" s="133" t="s">
        <v>19</v>
      </c>
      <c r="B16" s="133"/>
      <c r="C16" s="133"/>
      <c r="D16" s="133"/>
      <c r="E16" s="133" t="s">
        <v>20</v>
      </c>
      <c r="F16" s="133"/>
      <c r="G16" s="133"/>
      <c r="H16" s="133"/>
      <c r="I16" s="133"/>
      <c r="J16" s="133"/>
      <c r="K16" s="133"/>
      <c r="L16" s="133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30"/>
      <c r="Z16" s="130"/>
      <c r="AA16" s="130"/>
      <c r="AB16" s="130"/>
      <c r="AC16" s="130"/>
      <c r="AD16" s="130"/>
      <c r="AE16" s="130"/>
      <c r="AF16" s="130"/>
      <c r="AG16" s="130"/>
    </row>
    <row r="17" spans="1:33" x14ac:dyDescent="0.2">
      <c r="A17" s="130"/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  <c r="AE17" s="130"/>
      <c r="AF17" s="130"/>
      <c r="AG17" s="130"/>
    </row>
    <row r="18" spans="1:33" x14ac:dyDescent="0.2">
      <c r="A18" s="133" t="s">
        <v>21</v>
      </c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/>
    </row>
    <row r="19" spans="1:33" x14ac:dyDescent="0.2">
      <c r="A19" s="133" t="s">
        <v>22</v>
      </c>
      <c r="B19" s="133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0"/>
      <c r="N19" s="130"/>
      <c r="O19" s="130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</row>
    <row r="20" spans="1:33" x14ac:dyDescent="0.2">
      <c r="A20" s="133" t="s">
        <v>23</v>
      </c>
      <c r="B20" s="133"/>
      <c r="C20" s="133"/>
      <c r="D20" s="133"/>
      <c r="E20" s="133">
        <v>20</v>
      </c>
      <c r="F20" s="133" t="s">
        <v>24</v>
      </c>
      <c r="G20" s="133"/>
      <c r="H20" s="133"/>
      <c r="I20" s="133"/>
      <c r="J20" s="133"/>
      <c r="K20" s="133"/>
      <c r="L20" s="133"/>
      <c r="M20" s="130"/>
      <c r="N20" s="130"/>
      <c r="O20" s="130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</row>
    <row r="21" spans="1:33" x14ac:dyDescent="0.2">
      <c r="A21" s="133" t="s">
        <v>25</v>
      </c>
      <c r="B21" s="133"/>
      <c r="C21" s="133"/>
      <c r="D21" s="133"/>
      <c r="E21" s="133">
        <v>3</v>
      </c>
      <c r="F21" s="133" t="s">
        <v>26</v>
      </c>
      <c r="G21" s="133"/>
      <c r="H21" s="133"/>
      <c r="I21" s="133"/>
      <c r="J21" s="133"/>
      <c r="K21" s="133"/>
      <c r="L21" s="133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</row>
    <row r="22" spans="1:33" x14ac:dyDescent="0.2">
      <c r="A22" s="133" t="s">
        <v>27</v>
      </c>
      <c r="B22" s="133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0"/>
      <c r="N22" s="130"/>
      <c r="O22" s="130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</row>
    <row r="23" spans="1:33" x14ac:dyDescent="0.2">
      <c r="A23" s="130"/>
      <c r="B23" s="130"/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130"/>
      <c r="Z23" s="130"/>
      <c r="AA23" s="130"/>
      <c r="AB23" s="130"/>
      <c r="AC23" s="130"/>
      <c r="AD23" s="130"/>
      <c r="AE23" s="130"/>
      <c r="AF23" s="130"/>
      <c r="AG23" s="130"/>
    </row>
    <row r="24" spans="1:33" x14ac:dyDescent="0.2">
      <c r="A24" s="130"/>
      <c r="B24" s="130"/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130"/>
      <c r="W24" s="130"/>
      <c r="X24" s="130"/>
      <c r="Y24" s="130"/>
      <c r="Z24" s="130"/>
      <c r="AA24" s="130"/>
      <c r="AB24" s="130"/>
      <c r="AC24" s="130"/>
      <c r="AD24" s="130"/>
      <c r="AE24" s="130"/>
      <c r="AF24" s="130"/>
      <c r="AG24" s="130"/>
    </row>
    <row r="25" spans="1:33" x14ac:dyDescent="0.2">
      <c r="A25" s="130" t="s">
        <v>28</v>
      </c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0"/>
      <c r="Q25" s="130"/>
      <c r="R25" s="130"/>
      <c r="S25" s="130"/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30"/>
      <c r="AG25" s="130"/>
    </row>
    <row r="26" spans="1:33" x14ac:dyDescent="0.2">
      <c r="A26" s="130" t="s">
        <v>29</v>
      </c>
      <c r="B26" s="130"/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0"/>
      <c r="Q26" s="130"/>
      <c r="R26" s="130"/>
      <c r="S26" s="130"/>
      <c r="T26" s="130"/>
      <c r="U26" s="130"/>
      <c r="V26" s="130"/>
      <c r="W26" s="130"/>
      <c r="X26" s="130"/>
      <c r="Y26" s="130"/>
      <c r="Z26" s="130"/>
      <c r="AA26" s="130"/>
      <c r="AB26" s="130"/>
      <c r="AC26" s="130"/>
      <c r="AD26" s="130"/>
      <c r="AE26" s="130"/>
      <c r="AF26" s="130"/>
      <c r="AG26" s="130"/>
    </row>
    <row r="27" spans="1:33" x14ac:dyDescent="0.2">
      <c r="A27" s="130" t="s">
        <v>30</v>
      </c>
      <c r="B27" s="130"/>
      <c r="C27" s="130"/>
      <c r="D27" s="130"/>
      <c r="E27" s="130">
        <v>32</v>
      </c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130"/>
      <c r="W27" s="130"/>
      <c r="X27" s="130"/>
      <c r="Y27" s="130"/>
      <c r="Z27" s="130"/>
      <c r="AA27" s="130"/>
      <c r="AB27" s="130"/>
      <c r="AC27" s="130"/>
      <c r="AD27" s="130"/>
      <c r="AE27" s="130"/>
      <c r="AF27" s="130"/>
      <c r="AG27" s="130"/>
    </row>
    <row r="28" spans="1:33" x14ac:dyDescent="0.2">
      <c r="A28" s="130" t="s">
        <v>31</v>
      </c>
      <c r="B28" s="130"/>
      <c r="C28" s="130"/>
      <c r="D28" s="130"/>
      <c r="E28" s="134">
        <v>1.0416666666666666E-2</v>
      </c>
      <c r="F28" s="130"/>
      <c r="G28" s="130"/>
      <c r="H28" s="130"/>
      <c r="I28" s="130"/>
      <c r="J28" s="130"/>
      <c r="K28" s="130"/>
      <c r="L28" s="130"/>
      <c r="M28" s="130"/>
      <c r="N28" s="130"/>
      <c r="O28" s="130"/>
      <c r="P28" s="130"/>
      <c r="Q28" s="130"/>
      <c r="R28" s="130"/>
      <c r="S28" s="130"/>
      <c r="T28" s="130"/>
      <c r="U28" s="130"/>
      <c r="V28" s="130"/>
      <c r="W28" s="130"/>
      <c r="X28" s="130"/>
      <c r="Y28" s="130"/>
      <c r="Z28" s="130"/>
      <c r="AA28" s="130"/>
      <c r="AB28" s="130"/>
      <c r="AC28" s="130"/>
      <c r="AD28" s="130"/>
      <c r="AE28" s="130"/>
      <c r="AF28" s="130"/>
      <c r="AG28" s="130"/>
    </row>
    <row r="29" spans="1:33" x14ac:dyDescent="0.2">
      <c r="A29" s="130" t="s">
        <v>32</v>
      </c>
      <c r="B29" s="130"/>
      <c r="C29" s="130"/>
      <c r="D29" s="130"/>
      <c r="E29" s="130">
        <v>600</v>
      </c>
      <c r="F29" s="130" t="s">
        <v>33</v>
      </c>
      <c r="G29" s="130"/>
      <c r="H29" s="130"/>
      <c r="I29" s="130"/>
      <c r="J29" s="130"/>
      <c r="K29" s="130"/>
      <c r="L29" s="130"/>
      <c r="M29" s="130"/>
      <c r="N29" s="130"/>
      <c r="O29" s="130"/>
      <c r="P29" s="130"/>
      <c r="Q29" s="130"/>
      <c r="R29" s="130"/>
      <c r="S29" s="130"/>
      <c r="T29" s="130"/>
      <c r="U29" s="130"/>
      <c r="V29" s="130"/>
      <c r="W29" s="130"/>
      <c r="X29" s="130"/>
      <c r="Y29" s="130"/>
      <c r="Z29" s="130"/>
      <c r="AA29" s="130"/>
      <c r="AB29" s="130"/>
      <c r="AC29" s="130"/>
      <c r="AD29" s="130"/>
      <c r="AE29" s="130"/>
      <c r="AF29" s="130"/>
      <c r="AG29" s="130"/>
    </row>
    <row r="30" spans="1:33" x14ac:dyDescent="0.2">
      <c r="A30" s="130" t="s">
        <v>34</v>
      </c>
      <c r="B30" s="130"/>
      <c r="C30" s="130"/>
      <c r="D30" s="130"/>
      <c r="E30" s="130">
        <v>9</v>
      </c>
      <c r="F30" s="130" t="s">
        <v>33</v>
      </c>
      <c r="G30" s="130"/>
      <c r="H30" s="130"/>
      <c r="I30" s="130"/>
      <c r="J30" s="130"/>
      <c r="K30" s="130"/>
      <c r="L30" s="130"/>
      <c r="M30" s="130"/>
      <c r="N30" s="130"/>
      <c r="O30" s="130"/>
      <c r="P30" s="130"/>
      <c r="Q30" s="130"/>
      <c r="R30" s="130"/>
      <c r="S30" s="130"/>
      <c r="T30" s="130"/>
      <c r="U30" s="130"/>
      <c r="V30" s="130"/>
      <c r="W30" s="130"/>
      <c r="X30" s="130"/>
      <c r="Y30" s="130"/>
      <c r="Z30" s="130"/>
      <c r="AA30" s="130"/>
      <c r="AB30" s="130"/>
      <c r="AC30" s="130"/>
      <c r="AD30" s="130"/>
      <c r="AE30" s="130"/>
      <c r="AF30" s="130"/>
      <c r="AG30" s="130"/>
    </row>
    <row r="31" spans="1:33" x14ac:dyDescent="0.2">
      <c r="A31" s="130" t="s">
        <v>35</v>
      </c>
      <c r="B31" s="130"/>
      <c r="C31" s="130"/>
      <c r="D31" s="130"/>
      <c r="E31" s="130">
        <v>25</v>
      </c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0"/>
      <c r="W31" s="130"/>
      <c r="X31" s="130"/>
      <c r="Y31" s="130"/>
      <c r="Z31" s="130"/>
      <c r="AA31" s="130"/>
      <c r="AB31" s="130"/>
      <c r="AC31" s="130"/>
      <c r="AD31" s="130"/>
      <c r="AE31" s="130"/>
      <c r="AF31" s="130"/>
      <c r="AG31" s="130"/>
    </row>
    <row r="32" spans="1:33" x14ac:dyDescent="0.2">
      <c r="A32" s="130" t="s">
        <v>36</v>
      </c>
      <c r="B32" s="130"/>
      <c r="C32" s="130"/>
      <c r="D32" s="130"/>
      <c r="E32" s="130">
        <v>100</v>
      </c>
      <c r="F32" s="130" t="s">
        <v>37</v>
      </c>
      <c r="G32" s="130"/>
      <c r="H32" s="130"/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30"/>
      <c r="W32" s="130"/>
      <c r="X32" s="130"/>
      <c r="Y32" s="130"/>
      <c r="Z32" s="130"/>
      <c r="AA32" s="130"/>
      <c r="AB32" s="130"/>
      <c r="AC32" s="130"/>
      <c r="AD32" s="130"/>
      <c r="AE32" s="130"/>
      <c r="AF32" s="130"/>
      <c r="AG32" s="130"/>
    </row>
    <row r="33" spans="1:65" x14ac:dyDescent="0.2">
      <c r="A33" s="130" t="s">
        <v>38</v>
      </c>
      <c r="B33" s="132">
        <v>43202.388194444444</v>
      </c>
      <c r="C33" s="130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</row>
    <row r="34" spans="1:65" x14ac:dyDescent="0.2">
      <c r="A34" s="130"/>
      <c r="B34" s="130"/>
      <c r="C34" s="130"/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  <c r="Y34" s="130"/>
      <c r="Z34" s="130"/>
      <c r="AA34" s="130"/>
      <c r="AB34" s="130"/>
      <c r="AC34" s="130"/>
      <c r="AD34" s="130"/>
      <c r="AE34" s="130"/>
      <c r="AF34" s="130"/>
      <c r="AG34" s="130"/>
    </row>
    <row r="35" spans="1:65" x14ac:dyDescent="0.2">
      <c r="A35" s="130"/>
      <c r="B35" s="130"/>
      <c r="C35" s="130"/>
      <c r="D35" s="130"/>
      <c r="E35" s="130"/>
      <c r="F35" s="130"/>
      <c r="G35" s="130"/>
      <c r="H35" s="130"/>
      <c r="I35" s="130"/>
      <c r="J35" s="130"/>
      <c r="K35" s="130"/>
      <c r="L35" s="130"/>
      <c r="M35" s="130"/>
      <c r="N35" s="130"/>
      <c r="O35" s="130"/>
      <c r="P35" s="130"/>
      <c r="Q35" s="130"/>
      <c r="R35" s="130"/>
      <c r="S35" s="130"/>
      <c r="T35" s="130"/>
      <c r="U35" s="130"/>
      <c r="V35" s="130"/>
      <c r="W35" s="130"/>
      <c r="X35" s="130"/>
      <c r="Y35" s="130"/>
      <c r="Z35" s="130"/>
      <c r="AA35" s="130"/>
      <c r="AB35" s="130"/>
      <c r="AC35" s="130"/>
      <c r="AD35" s="130"/>
      <c r="AE35" s="130"/>
      <c r="AF35" s="130"/>
      <c r="AG35" s="130"/>
    </row>
    <row r="36" spans="1:65" x14ac:dyDescent="0.2">
      <c r="A36" s="135" t="s">
        <v>39</v>
      </c>
      <c r="B36" s="167">
        <v>1</v>
      </c>
      <c r="C36" s="167">
        <v>2</v>
      </c>
      <c r="D36" s="167">
        <v>3</v>
      </c>
      <c r="E36" s="167">
        <v>4</v>
      </c>
      <c r="F36" s="167">
        <v>5</v>
      </c>
      <c r="G36" s="167">
        <v>6</v>
      </c>
      <c r="H36" s="167">
        <v>7</v>
      </c>
      <c r="I36" s="167">
        <v>8</v>
      </c>
      <c r="J36" s="167">
        <v>9</v>
      </c>
      <c r="K36" s="167">
        <v>10</v>
      </c>
      <c r="L36" s="167">
        <v>11</v>
      </c>
      <c r="M36" s="167">
        <v>12</v>
      </c>
      <c r="N36" s="167">
        <v>13</v>
      </c>
      <c r="O36" s="167">
        <v>14</v>
      </c>
      <c r="P36" s="167">
        <v>15</v>
      </c>
      <c r="Q36" s="167">
        <v>16</v>
      </c>
      <c r="R36" s="167">
        <v>17</v>
      </c>
      <c r="S36" s="167">
        <v>18</v>
      </c>
      <c r="T36" s="167">
        <v>19</v>
      </c>
      <c r="U36" s="167">
        <v>20</v>
      </c>
      <c r="V36" s="167">
        <v>21</v>
      </c>
      <c r="W36" s="167">
        <v>22</v>
      </c>
      <c r="X36" s="167">
        <v>23</v>
      </c>
      <c r="Y36" s="167">
        <v>24</v>
      </c>
      <c r="Z36" s="167">
        <v>25</v>
      </c>
      <c r="AA36" s="167">
        <v>26</v>
      </c>
      <c r="AB36" s="167">
        <v>27</v>
      </c>
      <c r="AC36" s="167">
        <v>28</v>
      </c>
      <c r="AD36" s="167">
        <v>29</v>
      </c>
      <c r="AE36" s="167">
        <v>30</v>
      </c>
      <c r="AF36" s="167">
        <v>31</v>
      </c>
      <c r="AG36" s="165"/>
      <c r="AH36" s="165"/>
      <c r="AI36" s="165"/>
      <c r="AJ36" s="165"/>
      <c r="AK36" s="165"/>
      <c r="AL36" s="165"/>
      <c r="AM36" s="165"/>
      <c r="AN36" s="165"/>
      <c r="AO36" s="165"/>
      <c r="AP36" s="165"/>
      <c r="AQ36" s="165"/>
      <c r="AR36" s="165"/>
      <c r="AS36" s="165"/>
      <c r="AT36" s="165"/>
      <c r="AU36" s="165"/>
      <c r="AV36" s="165"/>
      <c r="AW36" s="165"/>
      <c r="AX36" s="165"/>
      <c r="AY36" s="165"/>
      <c r="AZ36" s="165"/>
      <c r="BA36" s="165"/>
      <c r="BB36" s="165"/>
      <c r="BC36" s="165"/>
      <c r="BD36" s="165"/>
      <c r="BE36" s="165"/>
      <c r="BF36" s="165"/>
      <c r="BG36" s="165"/>
      <c r="BH36" s="165"/>
      <c r="BI36" s="165"/>
      <c r="BJ36" s="165"/>
      <c r="BK36" s="165"/>
      <c r="BL36" s="1"/>
      <c r="BM36" s="1"/>
    </row>
    <row r="37" spans="1:65" x14ac:dyDescent="0.2">
      <c r="A37" s="135" t="s">
        <v>40</v>
      </c>
      <c r="B37" s="166">
        <v>0</v>
      </c>
      <c r="C37" s="166">
        <v>900.1</v>
      </c>
      <c r="D37" s="166">
        <v>1800.2</v>
      </c>
      <c r="E37" s="166">
        <v>2700.3</v>
      </c>
      <c r="F37" s="166">
        <v>3600.4</v>
      </c>
      <c r="G37" s="166">
        <v>4500.5</v>
      </c>
      <c r="H37" s="166">
        <v>5400.6</v>
      </c>
      <c r="I37" s="166">
        <v>6300.7</v>
      </c>
      <c r="J37" s="166">
        <v>7200.8</v>
      </c>
      <c r="K37" s="166">
        <v>8100.9</v>
      </c>
      <c r="L37" s="166">
        <v>9001</v>
      </c>
      <c r="M37" s="166">
        <v>9901.1</v>
      </c>
      <c r="N37" s="166">
        <v>10801.2</v>
      </c>
      <c r="O37" s="166">
        <v>11701.3</v>
      </c>
      <c r="P37" s="166">
        <v>12601.4</v>
      </c>
      <c r="Q37" s="166">
        <v>13501.5</v>
      </c>
      <c r="R37" s="166">
        <v>14401.6</v>
      </c>
      <c r="S37" s="166">
        <v>15301.7</v>
      </c>
      <c r="T37" s="166">
        <v>16201.8</v>
      </c>
      <c r="U37" s="166">
        <v>17101.900000000001</v>
      </c>
      <c r="V37" s="166">
        <v>18002</v>
      </c>
      <c r="W37" s="166">
        <v>18902.099999999999</v>
      </c>
      <c r="X37" s="166">
        <v>19802.2</v>
      </c>
      <c r="Y37" s="166">
        <v>20702.3</v>
      </c>
      <c r="Z37" s="166">
        <v>21602.400000000001</v>
      </c>
      <c r="AA37" s="166">
        <v>22502.5</v>
      </c>
      <c r="AB37" s="166">
        <v>23402.6</v>
      </c>
      <c r="AC37" s="166">
        <v>24302.7</v>
      </c>
      <c r="AD37" s="166">
        <v>25202.799999999999</v>
      </c>
      <c r="AE37" s="166">
        <v>26102.9</v>
      </c>
      <c r="AF37" s="166">
        <v>27003</v>
      </c>
      <c r="AG37" s="164"/>
      <c r="AH37" s="164"/>
      <c r="AI37" s="164"/>
      <c r="AJ37" s="164"/>
      <c r="AK37" s="164"/>
      <c r="AL37" s="164"/>
      <c r="AM37" s="164"/>
      <c r="AN37" s="164"/>
      <c r="AO37" s="164"/>
      <c r="AP37" s="164"/>
      <c r="AQ37" s="164"/>
      <c r="AR37" s="164"/>
      <c r="AS37" s="164"/>
      <c r="AT37" s="164"/>
      <c r="AU37" s="164"/>
      <c r="AV37" s="164"/>
      <c r="AW37" s="164"/>
      <c r="AX37" s="164"/>
      <c r="AY37" s="164"/>
      <c r="AZ37" s="164"/>
      <c r="BA37" s="164"/>
      <c r="BB37" s="164"/>
      <c r="BC37" s="164"/>
      <c r="BD37" s="164"/>
      <c r="BE37" s="164"/>
      <c r="BF37" s="164"/>
      <c r="BG37" s="164"/>
      <c r="BH37" s="164"/>
      <c r="BI37" s="164"/>
      <c r="BJ37" s="164"/>
      <c r="BK37" s="164"/>
    </row>
    <row r="38" spans="1:65" x14ac:dyDescent="0.2">
      <c r="A38" s="135" t="s">
        <v>41</v>
      </c>
      <c r="B38" s="166">
        <v>36.5</v>
      </c>
      <c r="C38" s="166">
        <v>37.299999999999997</v>
      </c>
      <c r="D38" s="166">
        <v>37.1</v>
      </c>
      <c r="E38" s="166">
        <v>37</v>
      </c>
      <c r="F38" s="166">
        <v>37.5</v>
      </c>
      <c r="G38" s="166">
        <v>37.200000000000003</v>
      </c>
      <c r="H38" s="166">
        <v>37</v>
      </c>
      <c r="I38" s="166">
        <v>36.9</v>
      </c>
      <c r="J38" s="166">
        <v>37.1</v>
      </c>
      <c r="K38" s="166">
        <v>37.200000000000003</v>
      </c>
      <c r="L38" s="166">
        <v>37.4</v>
      </c>
      <c r="M38" s="166">
        <v>37.5</v>
      </c>
      <c r="N38" s="166">
        <v>37.6</v>
      </c>
      <c r="O38" s="166">
        <v>37.6</v>
      </c>
      <c r="P38" s="166">
        <v>37.6</v>
      </c>
      <c r="Q38" s="166">
        <v>37.4</v>
      </c>
      <c r="R38" s="166">
        <v>37.299999999999997</v>
      </c>
      <c r="S38" s="166">
        <v>37.200000000000003</v>
      </c>
      <c r="T38" s="166">
        <v>37.200000000000003</v>
      </c>
      <c r="U38" s="166">
        <v>37.4</v>
      </c>
      <c r="V38" s="166">
        <v>37.4</v>
      </c>
      <c r="W38" s="166">
        <v>37.5</v>
      </c>
      <c r="X38" s="166">
        <v>37.6</v>
      </c>
      <c r="Y38" s="166">
        <v>37.4</v>
      </c>
      <c r="Z38" s="166">
        <v>37</v>
      </c>
      <c r="AA38" s="166">
        <v>36.9</v>
      </c>
      <c r="AB38" s="166">
        <v>37.1</v>
      </c>
      <c r="AC38" s="166">
        <v>37.5</v>
      </c>
      <c r="AD38" s="166">
        <v>37.6</v>
      </c>
      <c r="AE38" s="166">
        <v>37.4</v>
      </c>
      <c r="AF38" s="166">
        <v>37.1</v>
      </c>
      <c r="AG38" s="164"/>
      <c r="AH38" s="164"/>
      <c r="AI38" s="164"/>
      <c r="AJ38" s="164"/>
      <c r="AK38" s="164"/>
      <c r="AL38" s="164"/>
      <c r="AM38" s="164"/>
      <c r="AN38" s="164"/>
      <c r="AO38" s="164"/>
      <c r="AP38" s="164"/>
      <c r="AQ38" s="164"/>
      <c r="AR38" s="164"/>
      <c r="AS38" s="164"/>
      <c r="AT38" s="164"/>
      <c r="AU38" s="164"/>
      <c r="AV38" s="164"/>
      <c r="AW38" s="164"/>
      <c r="AX38" s="164"/>
      <c r="AY38" s="164"/>
      <c r="AZ38" s="164"/>
      <c r="BA38" s="164"/>
      <c r="BB38" s="164"/>
      <c r="BC38" s="164"/>
      <c r="BD38" s="164"/>
      <c r="BE38" s="164"/>
      <c r="BF38" s="164"/>
      <c r="BG38" s="164"/>
      <c r="BH38" s="164"/>
      <c r="BI38" s="164"/>
      <c r="BJ38" s="164"/>
      <c r="BK38" s="164"/>
    </row>
    <row r="39" spans="1:65" x14ac:dyDescent="0.2">
      <c r="A39" s="135" t="s">
        <v>42</v>
      </c>
      <c r="B39" s="166">
        <v>0.10480000078678131</v>
      </c>
      <c r="C39" s="166">
        <v>0.1046999990940094</v>
      </c>
      <c r="D39" s="166">
        <v>0.1046999990940094</v>
      </c>
      <c r="E39" s="166">
        <v>0.10480000078678131</v>
      </c>
      <c r="F39" s="166">
        <v>0.10459999740123749</v>
      </c>
      <c r="G39" s="166">
        <v>0.10450000315904617</v>
      </c>
      <c r="H39" s="166">
        <v>0.10440000146627426</v>
      </c>
      <c r="I39" s="166">
        <v>0.10429999977350235</v>
      </c>
      <c r="J39" s="166">
        <v>0.10419999808073044</v>
      </c>
      <c r="K39" s="166">
        <v>0.10419999808073044</v>
      </c>
      <c r="L39" s="166">
        <v>0.10419999808073044</v>
      </c>
      <c r="M39" s="166">
        <v>0.10409999638795853</v>
      </c>
      <c r="N39" s="166">
        <v>0.10400000214576721</v>
      </c>
      <c r="O39" s="166">
        <v>0.1039000004529953</v>
      </c>
      <c r="P39" s="166">
        <v>0.10379999876022339</v>
      </c>
      <c r="Q39" s="166">
        <v>0.10379999876022339</v>
      </c>
      <c r="R39" s="166">
        <v>0.1039000004529953</v>
      </c>
      <c r="S39" s="166">
        <v>0.10360000282526016</v>
      </c>
      <c r="T39" s="166">
        <v>0.10360000282526016</v>
      </c>
      <c r="U39" s="166">
        <v>0.10379999876022339</v>
      </c>
      <c r="V39" s="166">
        <f>AVERAGE(U39,W39)</f>
        <v>0.10359999909996986</v>
      </c>
      <c r="W39" s="166">
        <v>0.10339999943971634</v>
      </c>
      <c r="X39" s="166">
        <v>0.10329999774694443</v>
      </c>
      <c r="Y39" s="166">
        <v>0.10320000350475311</v>
      </c>
      <c r="Z39" s="166">
        <v>0.10320000350475311</v>
      </c>
      <c r="AA39" s="166">
        <v>0.1031000018119812</v>
      </c>
      <c r="AB39" s="166">
        <v>0.1031000018119812</v>
      </c>
      <c r="AC39" s="166">
        <v>0.10300000011920929</v>
      </c>
      <c r="AD39" s="166">
        <v>0.10300000011920929</v>
      </c>
      <c r="AE39" s="166">
        <v>0.10289999842643738</v>
      </c>
      <c r="AF39" s="166">
        <v>0.10289999842643738</v>
      </c>
      <c r="AG39" s="164"/>
      <c r="AH39" s="164"/>
      <c r="AI39" s="164"/>
      <c r="AJ39" s="164"/>
      <c r="AK39" s="164"/>
      <c r="AL39" s="164"/>
      <c r="AM39" s="164"/>
      <c r="AN39" s="164"/>
      <c r="AO39" s="164"/>
      <c r="AP39" s="164"/>
      <c r="AQ39" s="164"/>
      <c r="AR39" s="164"/>
      <c r="AS39" s="164"/>
      <c r="AT39" s="164"/>
      <c r="AU39" s="164"/>
      <c r="AV39" s="164"/>
      <c r="AW39" s="164"/>
      <c r="AX39" s="164"/>
      <c r="AY39" s="164"/>
      <c r="AZ39" s="164"/>
      <c r="BA39" s="164"/>
      <c r="BB39" s="164"/>
      <c r="BC39" s="164"/>
      <c r="BD39" s="164"/>
      <c r="BE39" s="164"/>
      <c r="BF39" s="164"/>
      <c r="BG39" s="164"/>
      <c r="BH39" s="164"/>
      <c r="BI39" s="164"/>
      <c r="BJ39" s="164"/>
      <c r="BK39" s="164"/>
    </row>
    <row r="40" spans="1:65" x14ac:dyDescent="0.2">
      <c r="A40" s="135" t="s">
        <v>43</v>
      </c>
      <c r="B40" s="166">
        <v>0.10660000145435333</v>
      </c>
      <c r="C40" s="166">
        <v>0.10649999976158142</v>
      </c>
      <c r="D40" s="166">
        <v>0.10649999976158142</v>
      </c>
      <c r="E40" s="166">
        <v>0.10649999976158142</v>
      </c>
      <c r="F40" s="166">
        <v>0.10639999806880951</v>
      </c>
      <c r="G40" s="166">
        <v>0.1062999963760376</v>
      </c>
      <c r="H40" s="166">
        <v>0.1062999963760376</v>
      </c>
      <c r="I40" s="166">
        <v>0.10610000044107437</v>
      </c>
      <c r="J40" s="166">
        <v>0.10610000044107437</v>
      </c>
      <c r="K40" s="166">
        <v>0.10610000044107437</v>
      </c>
      <c r="L40" s="166">
        <v>0.10610000044107437</v>
      </c>
      <c r="M40" s="166">
        <v>0.10599999874830246</v>
      </c>
      <c r="N40" s="166">
        <v>0.10589999705553055</v>
      </c>
      <c r="O40" s="166">
        <v>0.10589999705553055</v>
      </c>
      <c r="P40" s="166">
        <v>0.10570000112056732</v>
      </c>
      <c r="Q40" s="166">
        <v>0.10570000112056732</v>
      </c>
      <c r="R40" s="166">
        <v>0.10570000112056732</v>
      </c>
      <c r="S40" s="166">
        <v>0.10559999942779541</v>
      </c>
      <c r="T40" s="166">
        <v>0.10559999942779541</v>
      </c>
      <c r="U40" s="166">
        <v>0.10559999942779541</v>
      </c>
      <c r="V40" s="166">
        <f t="shared" ref="V40:V103" si="0">AVERAGE(U40,W40)</f>
        <v>0.1055000014603138</v>
      </c>
      <c r="W40" s="166">
        <v>0.10540000349283218</v>
      </c>
      <c r="X40" s="166">
        <v>0.10540000349283218</v>
      </c>
      <c r="Y40" s="166">
        <v>0.10530000180006027</v>
      </c>
      <c r="Z40" s="166">
        <v>0.10530000180006027</v>
      </c>
      <c r="AA40" s="166">
        <v>0.10520000010728836</v>
      </c>
      <c r="AB40" s="166">
        <v>0.10520000010728836</v>
      </c>
      <c r="AC40" s="166">
        <v>0.10520000010728836</v>
      </c>
      <c r="AD40" s="166">
        <v>0.10509999841451645</v>
      </c>
      <c r="AE40" s="166">
        <v>0.10509999841451645</v>
      </c>
      <c r="AF40" s="166">
        <v>0.10509999841451645</v>
      </c>
      <c r="AG40" s="164"/>
      <c r="AH40" s="164"/>
      <c r="AI40" s="164"/>
      <c r="AJ40" s="164"/>
      <c r="AK40" s="164"/>
      <c r="AL40" s="164"/>
      <c r="AM40" s="164"/>
      <c r="AN40" s="164"/>
      <c r="AO40" s="164"/>
      <c r="AP40" s="164"/>
      <c r="AQ40" s="164"/>
      <c r="AR40" s="164"/>
      <c r="AS40" s="164"/>
      <c r="AT40" s="164"/>
      <c r="AU40" s="164"/>
      <c r="AV40" s="164"/>
      <c r="AW40" s="164"/>
      <c r="AX40" s="164"/>
      <c r="AY40" s="164"/>
      <c r="AZ40" s="164"/>
      <c r="BA40" s="164"/>
      <c r="BB40" s="164"/>
      <c r="BC40" s="164"/>
      <c r="BD40" s="164"/>
      <c r="BE40" s="164"/>
      <c r="BF40" s="164"/>
      <c r="BG40" s="164"/>
      <c r="BH40" s="164"/>
      <c r="BI40" s="164"/>
      <c r="BJ40" s="164"/>
      <c r="BK40" s="164"/>
    </row>
    <row r="41" spans="1:65" x14ac:dyDescent="0.2">
      <c r="A41" s="135" t="s">
        <v>44</v>
      </c>
      <c r="B41" s="166">
        <v>0.10740000009536743</v>
      </c>
      <c r="C41" s="166">
        <v>0.10740000009536743</v>
      </c>
      <c r="D41" s="166">
        <v>0.10729999840259552</v>
      </c>
      <c r="E41" s="166">
        <v>0.10729999840259552</v>
      </c>
      <c r="F41" s="166">
        <v>0.10719999670982361</v>
      </c>
      <c r="G41" s="166">
        <v>0.10719999670982361</v>
      </c>
      <c r="H41" s="166">
        <v>0.10710000246763229</v>
      </c>
      <c r="I41" s="166">
        <v>0.10689999908208847</v>
      </c>
      <c r="J41" s="166">
        <v>0.10689999908208847</v>
      </c>
      <c r="K41" s="166">
        <v>0.10710000246763229</v>
      </c>
      <c r="L41" s="166">
        <v>0.10679999738931656</v>
      </c>
      <c r="M41" s="166">
        <v>0.10670000314712524</v>
      </c>
      <c r="N41" s="166">
        <v>0.10670000314712524</v>
      </c>
      <c r="O41" s="166">
        <v>0.10660000145435333</v>
      </c>
      <c r="P41" s="166">
        <v>0.10649999976158142</v>
      </c>
      <c r="Q41" s="166">
        <v>0.10649999976158142</v>
      </c>
      <c r="R41" s="166">
        <v>0.10639999806880951</v>
      </c>
      <c r="S41" s="166">
        <v>0.1062999963760376</v>
      </c>
      <c r="T41" s="166">
        <v>0.1062999963760376</v>
      </c>
      <c r="U41" s="166">
        <v>0.1062999963760376</v>
      </c>
      <c r="V41" s="166">
        <f t="shared" si="0"/>
        <v>0.10624999925494194</v>
      </c>
      <c r="W41" s="166">
        <v>0.10620000213384628</v>
      </c>
      <c r="X41" s="166">
        <v>0.10610000044107437</v>
      </c>
      <c r="Y41" s="166">
        <v>0.10610000044107437</v>
      </c>
      <c r="Z41" s="166">
        <v>0.10599999874830246</v>
      </c>
      <c r="AA41" s="166">
        <v>0.10589999705553055</v>
      </c>
      <c r="AB41" s="166">
        <v>0.10589999705553055</v>
      </c>
      <c r="AC41" s="166">
        <v>0.10599999874830246</v>
      </c>
      <c r="AD41" s="166">
        <v>0.10580000281333923</v>
      </c>
      <c r="AE41" s="166">
        <v>0.10580000281333923</v>
      </c>
      <c r="AF41" s="166">
        <v>0.10580000281333923</v>
      </c>
      <c r="AG41" s="164"/>
      <c r="AH41" s="164"/>
      <c r="AI41" s="164"/>
      <c r="AJ41" s="164"/>
      <c r="AK41" s="164"/>
      <c r="AL41" s="164"/>
      <c r="AM41" s="164"/>
      <c r="AN41" s="164"/>
      <c r="AO41" s="164"/>
      <c r="AP41" s="164"/>
      <c r="AQ41" s="164"/>
      <c r="AR41" s="164"/>
      <c r="AS41" s="164"/>
      <c r="AT41" s="164"/>
      <c r="AU41" s="164"/>
      <c r="AV41" s="164"/>
      <c r="AW41" s="164"/>
      <c r="AX41" s="164"/>
      <c r="AY41" s="164"/>
      <c r="AZ41" s="164"/>
      <c r="BA41" s="164"/>
      <c r="BB41" s="164"/>
      <c r="BC41" s="164"/>
      <c r="BD41" s="164"/>
      <c r="BE41" s="164"/>
      <c r="BF41" s="164"/>
      <c r="BG41" s="164"/>
      <c r="BH41" s="164"/>
      <c r="BI41" s="164"/>
      <c r="BJ41" s="164"/>
      <c r="BK41" s="164"/>
    </row>
    <row r="42" spans="1:65" x14ac:dyDescent="0.2">
      <c r="A42" s="135" t="s">
        <v>45</v>
      </c>
      <c r="B42" s="166">
        <v>0.10700000077486038</v>
      </c>
      <c r="C42" s="166">
        <v>0.10689999908208847</v>
      </c>
      <c r="D42" s="166">
        <v>0.10679999738931656</v>
      </c>
      <c r="E42" s="166">
        <v>0.10689999908208847</v>
      </c>
      <c r="F42" s="166">
        <v>0.10670000314712524</v>
      </c>
      <c r="G42" s="166">
        <v>0.10689999908208847</v>
      </c>
      <c r="H42" s="166">
        <v>0.10660000145435333</v>
      </c>
      <c r="I42" s="166">
        <v>0.10639999806880951</v>
      </c>
      <c r="J42" s="166">
        <v>0.10639999806880951</v>
      </c>
      <c r="K42" s="166">
        <v>0.1062999963760376</v>
      </c>
      <c r="L42" s="166">
        <v>0.1062999963760376</v>
      </c>
      <c r="M42" s="166">
        <v>0.1062999963760376</v>
      </c>
      <c r="N42" s="166">
        <v>0.10620000213384628</v>
      </c>
      <c r="O42" s="166">
        <v>0.10610000044107437</v>
      </c>
      <c r="P42" s="166">
        <v>0.10599999874830246</v>
      </c>
      <c r="Q42" s="166">
        <v>0.10599999874830246</v>
      </c>
      <c r="R42" s="166">
        <v>0.10599999874830246</v>
      </c>
      <c r="S42" s="166">
        <v>0.10580000281333923</v>
      </c>
      <c r="T42" s="166">
        <v>0.10580000281333923</v>
      </c>
      <c r="U42" s="166">
        <v>0.10580000281333923</v>
      </c>
      <c r="V42" s="166">
        <f t="shared" si="0"/>
        <v>0.10575000196695328</v>
      </c>
      <c r="W42" s="166">
        <v>0.10570000112056732</v>
      </c>
      <c r="X42" s="166">
        <v>0.10559999942779541</v>
      </c>
      <c r="Y42" s="166">
        <v>0.10559999942779541</v>
      </c>
      <c r="Z42" s="166">
        <v>0.10559999942779541</v>
      </c>
      <c r="AA42" s="166">
        <v>0.10540000349283218</v>
      </c>
      <c r="AB42" s="166">
        <v>0.10540000349283218</v>
      </c>
      <c r="AC42" s="166">
        <v>0.10540000349283218</v>
      </c>
      <c r="AD42" s="166">
        <v>0.10540000349283218</v>
      </c>
      <c r="AE42" s="166">
        <v>0.10530000180006027</v>
      </c>
      <c r="AF42" s="166">
        <v>0.10530000180006027</v>
      </c>
      <c r="AG42" s="164"/>
      <c r="AH42" s="164"/>
      <c r="AI42" s="164"/>
      <c r="AJ42" s="164"/>
      <c r="AK42" s="164"/>
      <c r="AL42" s="164"/>
      <c r="AM42" s="164"/>
      <c r="AN42" s="164"/>
      <c r="AO42" s="164"/>
      <c r="AP42" s="164"/>
      <c r="AQ42" s="164"/>
      <c r="AR42" s="164"/>
      <c r="AS42" s="164"/>
      <c r="AT42" s="164"/>
      <c r="AU42" s="164"/>
      <c r="AV42" s="164"/>
      <c r="AW42" s="164"/>
      <c r="AX42" s="164"/>
      <c r="AY42" s="164"/>
      <c r="AZ42" s="164"/>
      <c r="BA42" s="164"/>
      <c r="BB42" s="164"/>
      <c r="BC42" s="164"/>
      <c r="BD42" s="164"/>
      <c r="BE42" s="164"/>
      <c r="BF42" s="164"/>
      <c r="BG42" s="164"/>
      <c r="BH42" s="164"/>
      <c r="BI42" s="164"/>
      <c r="BJ42" s="164"/>
      <c r="BK42" s="164"/>
    </row>
    <row r="43" spans="1:65" x14ac:dyDescent="0.2">
      <c r="A43" s="135" t="s">
        <v>46</v>
      </c>
      <c r="B43" s="166">
        <v>0.10570000112056732</v>
      </c>
      <c r="C43" s="166">
        <v>0.1054999977350235</v>
      </c>
      <c r="D43" s="166">
        <v>0.1054999977350235</v>
      </c>
      <c r="E43" s="166">
        <v>0.1054999977350235</v>
      </c>
      <c r="F43" s="166">
        <v>0.10540000349283218</v>
      </c>
      <c r="G43" s="166">
        <v>0.10530000180006027</v>
      </c>
      <c r="H43" s="166">
        <v>0.10520000010728836</v>
      </c>
      <c r="I43" s="166">
        <v>0.10520000010728836</v>
      </c>
      <c r="J43" s="166">
        <v>0.10499999672174454</v>
      </c>
      <c r="K43" s="166">
        <v>0.10499999672174454</v>
      </c>
      <c r="L43" s="166">
        <v>0.10499999672174454</v>
      </c>
      <c r="M43" s="166">
        <v>0.10490000247955322</v>
      </c>
      <c r="N43" s="166">
        <v>0.10490000247955322</v>
      </c>
      <c r="O43" s="166">
        <v>0.10480000078678131</v>
      </c>
      <c r="P43" s="166">
        <v>0.10459999740123749</v>
      </c>
      <c r="Q43" s="166">
        <v>0.10459999740123749</v>
      </c>
      <c r="R43" s="166">
        <v>0.10459999740123749</v>
      </c>
      <c r="S43" s="166">
        <v>0.10440000146627426</v>
      </c>
      <c r="T43" s="166">
        <v>0.10450000315904617</v>
      </c>
      <c r="U43" s="166">
        <v>0.10450000315904617</v>
      </c>
      <c r="V43" s="166">
        <f t="shared" si="0"/>
        <v>0.10445000231266022</v>
      </c>
      <c r="W43" s="166">
        <v>0.10440000146627426</v>
      </c>
      <c r="X43" s="166">
        <v>0.10440000146627426</v>
      </c>
      <c r="Y43" s="166">
        <v>0.10429999977350235</v>
      </c>
      <c r="Z43" s="166">
        <v>0.10419999808073044</v>
      </c>
      <c r="AA43" s="166">
        <v>0.10419999808073044</v>
      </c>
      <c r="AB43" s="166">
        <v>0.10419999808073044</v>
      </c>
      <c r="AC43" s="166">
        <v>0.10440000146627426</v>
      </c>
      <c r="AD43" s="166">
        <v>0.10409999638795853</v>
      </c>
      <c r="AE43" s="166">
        <v>0.10400000214576721</v>
      </c>
      <c r="AF43" s="166">
        <v>0.10400000214576721</v>
      </c>
      <c r="AG43" s="164"/>
      <c r="AH43" s="164"/>
      <c r="AI43" s="164"/>
      <c r="AJ43" s="164"/>
      <c r="AK43" s="164"/>
      <c r="AL43" s="164"/>
      <c r="AM43" s="164"/>
      <c r="AN43" s="164"/>
      <c r="AO43" s="164"/>
      <c r="AP43" s="164"/>
      <c r="AQ43" s="164"/>
      <c r="AR43" s="164"/>
      <c r="AS43" s="164"/>
      <c r="AT43" s="164"/>
      <c r="AU43" s="164"/>
      <c r="AV43" s="164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64"/>
      <c r="BJ43" s="164"/>
      <c r="BK43" s="164"/>
    </row>
    <row r="44" spans="1:65" x14ac:dyDescent="0.2">
      <c r="A44" s="135" t="s">
        <v>47</v>
      </c>
      <c r="B44" s="166">
        <v>0.10689999908208847</v>
      </c>
      <c r="C44" s="166">
        <v>0.10679999738931656</v>
      </c>
      <c r="D44" s="166">
        <v>0.10679999738931656</v>
      </c>
      <c r="E44" s="166">
        <v>0.10679999738931656</v>
      </c>
      <c r="F44" s="166">
        <v>0.10670000314712524</v>
      </c>
      <c r="G44" s="166">
        <v>0.10660000145435333</v>
      </c>
      <c r="H44" s="166">
        <v>0.10649999976158142</v>
      </c>
      <c r="I44" s="166">
        <v>0.1062999963760376</v>
      </c>
      <c r="J44" s="166">
        <v>0.1062999963760376</v>
      </c>
      <c r="K44" s="166">
        <v>0.10620000213384628</v>
      </c>
      <c r="L44" s="166">
        <v>0.1062999963760376</v>
      </c>
      <c r="M44" s="166">
        <v>0.10620000213384628</v>
      </c>
      <c r="N44" s="166">
        <v>0.10610000044107437</v>
      </c>
      <c r="O44" s="166">
        <v>0.10610000044107437</v>
      </c>
      <c r="P44" s="166">
        <v>0.10580000281333923</v>
      </c>
      <c r="Q44" s="166">
        <v>0.10589999705553055</v>
      </c>
      <c r="R44" s="166">
        <v>0.10580000281333923</v>
      </c>
      <c r="S44" s="166">
        <v>0.10570000112056732</v>
      </c>
      <c r="T44" s="166">
        <v>0.10570000112056732</v>
      </c>
      <c r="U44" s="166">
        <v>0.10570000112056732</v>
      </c>
      <c r="V44" s="166">
        <f t="shared" si="0"/>
        <v>0.10565000027418137</v>
      </c>
      <c r="W44" s="166">
        <v>0.10559999942779541</v>
      </c>
      <c r="X44" s="166">
        <v>0.1054999977350235</v>
      </c>
      <c r="Y44" s="166">
        <v>0.1054999977350235</v>
      </c>
      <c r="Z44" s="166">
        <v>0.10540000349283218</v>
      </c>
      <c r="AA44" s="166">
        <v>0.10540000349283218</v>
      </c>
      <c r="AB44" s="166">
        <v>0.10540000349283218</v>
      </c>
      <c r="AC44" s="166">
        <v>0.10540000349283218</v>
      </c>
      <c r="AD44" s="166">
        <v>0.10530000180006027</v>
      </c>
      <c r="AE44" s="166">
        <v>0.10520000010728836</v>
      </c>
      <c r="AF44" s="166">
        <v>0.10530000180006027</v>
      </c>
      <c r="AG44" s="164"/>
      <c r="AH44" s="164"/>
      <c r="AI44" s="164"/>
      <c r="AJ44" s="164"/>
      <c r="AK44" s="164"/>
      <c r="AL44" s="164"/>
      <c r="AM44" s="164"/>
      <c r="AN44" s="164"/>
      <c r="AO44" s="164"/>
      <c r="AP44" s="164"/>
      <c r="AQ44" s="164"/>
      <c r="AR44" s="164"/>
      <c r="AS44" s="164"/>
      <c r="AT44" s="164"/>
      <c r="AU44" s="164"/>
      <c r="AV44" s="164"/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I44" s="164"/>
      <c r="BJ44" s="164"/>
      <c r="BK44" s="164"/>
    </row>
    <row r="45" spans="1:65" x14ac:dyDescent="0.2">
      <c r="A45" s="135" t="s">
        <v>48</v>
      </c>
      <c r="B45" s="166">
        <v>0.10819999873638153</v>
      </c>
      <c r="C45" s="166">
        <v>0.10790000110864639</v>
      </c>
      <c r="D45" s="166">
        <v>0.10779999941587448</v>
      </c>
      <c r="E45" s="166">
        <v>0.1080000028014183</v>
      </c>
      <c r="F45" s="166">
        <v>0.10760000348091125</v>
      </c>
      <c r="G45" s="166">
        <v>0.10750000178813934</v>
      </c>
      <c r="H45" s="166">
        <v>0.10740000009536743</v>
      </c>
      <c r="I45" s="166">
        <v>0.10719999670982361</v>
      </c>
      <c r="J45" s="166">
        <v>0.10719999670982361</v>
      </c>
      <c r="K45" s="166">
        <v>0.10710000246763229</v>
      </c>
      <c r="L45" s="166">
        <v>0.10719999670982361</v>
      </c>
      <c r="M45" s="166">
        <v>0.10700000077486038</v>
      </c>
      <c r="N45" s="166">
        <v>0.10700000077486038</v>
      </c>
      <c r="O45" s="166">
        <v>0.10700000077486038</v>
      </c>
      <c r="P45" s="166">
        <v>0.10679999738931656</v>
      </c>
      <c r="Q45" s="166">
        <v>0.10679999738931656</v>
      </c>
      <c r="R45" s="166">
        <v>0.10670000314712524</v>
      </c>
      <c r="S45" s="166">
        <v>0.10660000145435333</v>
      </c>
      <c r="T45" s="166">
        <v>0.10660000145435333</v>
      </c>
      <c r="U45" s="166">
        <v>0.10660000145435333</v>
      </c>
      <c r="V45" s="166">
        <f t="shared" si="0"/>
        <v>0.10655000060796738</v>
      </c>
      <c r="W45" s="166">
        <v>0.10649999976158142</v>
      </c>
      <c r="X45" s="166">
        <v>0.10649999976158142</v>
      </c>
      <c r="Y45" s="166">
        <v>0.1062999963760376</v>
      </c>
      <c r="Z45" s="166">
        <v>0.1062999963760376</v>
      </c>
      <c r="AA45" s="166">
        <v>0.1062999963760376</v>
      </c>
      <c r="AB45" s="166">
        <v>0.1062999963760376</v>
      </c>
      <c r="AC45" s="166">
        <v>0.1062999963760376</v>
      </c>
      <c r="AD45" s="166">
        <v>0.10620000213384628</v>
      </c>
      <c r="AE45" s="166">
        <v>0.10610000044107437</v>
      </c>
      <c r="AF45" s="166">
        <v>0.10610000044107437</v>
      </c>
      <c r="AG45" s="164"/>
      <c r="AH45" s="164"/>
      <c r="AI45" s="164"/>
      <c r="AJ45" s="164"/>
      <c r="AK45" s="164"/>
      <c r="AL45" s="164"/>
      <c r="AM45" s="164"/>
      <c r="AN45" s="164"/>
      <c r="AO45" s="164"/>
      <c r="AP45" s="164"/>
      <c r="AQ45" s="164"/>
      <c r="AR45" s="164"/>
      <c r="AS45" s="164"/>
      <c r="AT45" s="164"/>
      <c r="AU45" s="164"/>
      <c r="AV45" s="164"/>
      <c r="AW45" s="164"/>
      <c r="AX45" s="164"/>
      <c r="AY45" s="164"/>
      <c r="AZ45" s="164"/>
      <c r="BA45" s="164"/>
      <c r="BB45" s="164"/>
      <c r="BC45" s="164"/>
      <c r="BD45" s="164"/>
      <c r="BE45" s="164"/>
      <c r="BF45" s="164"/>
      <c r="BG45" s="164"/>
      <c r="BH45" s="164"/>
      <c r="BI45" s="164"/>
      <c r="BJ45" s="164"/>
      <c r="BK45" s="164"/>
    </row>
    <row r="46" spans="1:65" x14ac:dyDescent="0.2">
      <c r="A46" s="135" t="s">
        <v>49</v>
      </c>
      <c r="B46" s="166">
        <v>0.10639999806880951</v>
      </c>
      <c r="C46" s="166">
        <v>0.10599999874830246</v>
      </c>
      <c r="D46" s="166">
        <v>0.10589999705553055</v>
      </c>
      <c r="E46" s="166">
        <v>0.10840000212192535</v>
      </c>
      <c r="F46" s="166">
        <v>0.10869999974966049</v>
      </c>
      <c r="G46" s="166">
        <v>0.10819999873638153</v>
      </c>
      <c r="H46" s="166">
        <v>0.10819999873638153</v>
      </c>
      <c r="I46" s="166">
        <v>0.1080000028014183</v>
      </c>
      <c r="J46" s="166">
        <v>0.10779999941587448</v>
      </c>
      <c r="K46" s="166">
        <v>0.1080000028014183</v>
      </c>
      <c r="L46" s="166">
        <v>0.10830000042915344</v>
      </c>
      <c r="M46" s="166">
        <v>0.1080000028014183</v>
      </c>
      <c r="N46" s="166">
        <v>0.10809999704360962</v>
      </c>
      <c r="O46" s="166">
        <v>0.10779999941587448</v>
      </c>
      <c r="P46" s="166">
        <v>0.10740000009536743</v>
      </c>
      <c r="Q46" s="166">
        <v>0.10760000348091125</v>
      </c>
      <c r="R46" s="166">
        <v>0.10760000348091125</v>
      </c>
      <c r="S46" s="166">
        <v>0.1080000028014183</v>
      </c>
      <c r="T46" s="166">
        <v>0.10750000178813934</v>
      </c>
      <c r="U46" s="166">
        <v>0.10750000178813934</v>
      </c>
      <c r="V46" s="166">
        <f t="shared" si="0"/>
        <v>0.1075500026345253</v>
      </c>
      <c r="W46" s="166">
        <v>0.10760000348091125</v>
      </c>
      <c r="X46" s="166">
        <v>0.10779999941587448</v>
      </c>
      <c r="Y46" s="166">
        <v>0.10740000009536743</v>
      </c>
      <c r="Z46" s="166">
        <v>0.10750000178813934</v>
      </c>
      <c r="AA46" s="166">
        <v>0.10920000076293945</v>
      </c>
      <c r="AB46" s="166">
        <v>0.10830000042915344</v>
      </c>
      <c r="AC46" s="166">
        <v>0.10909999907016754</v>
      </c>
      <c r="AD46" s="166">
        <v>0.10819999873638153</v>
      </c>
      <c r="AE46" s="166">
        <v>0.10740000009536743</v>
      </c>
      <c r="AF46" s="166">
        <v>0.10849999636411667</v>
      </c>
      <c r="AG46" s="164"/>
      <c r="AH46" s="164"/>
      <c r="AI46" s="164"/>
      <c r="AJ46" s="164"/>
      <c r="AK46" s="164"/>
      <c r="AL46" s="164"/>
      <c r="AM46" s="164"/>
      <c r="AN46" s="164"/>
      <c r="AO46" s="164"/>
      <c r="AP46" s="164"/>
      <c r="AQ46" s="164"/>
      <c r="AR46" s="164"/>
      <c r="AS46" s="164"/>
      <c r="AT46" s="164"/>
      <c r="AU46" s="164"/>
      <c r="AV46" s="164"/>
      <c r="AW46" s="164"/>
      <c r="AX46" s="164"/>
      <c r="AY46" s="164"/>
      <c r="AZ46" s="164"/>
      <c r="BA46" s="164"/>
      <c r="BB46" s="164"/>
      <c r="BC46" s="164"/>
      <c r="BD46" s="164"/>
      <c r="BE46" s="164"/>
      <c r="BF46" s="164"/>
      <c r="BG46" s="164"/>
      <c r="BH46" s="164"/>
      <c r="BI46" s="164"/>
      <c r="BJ46" s="164"/>
      <c r="BK46" s="164"/>
    </row>
    <row r="47" spans="1:65" x14ac:dyDescent="0.2">
      <c r="A47" s="135" t="s">
        <v>50</v>
      </c>
      <c r="B47" s="166">
        <v>0.10580000281333923</v>
      </c>
      <c r="C47" s="166">
        <v>0.10570000112056732</v>
      </c>
      <c r="D47" s="166">
        <v>0.10570000112056732</v>
      </c>
      <c r="E47" s="166">
        <v>0.10580000281333923</v>
      </c>
      <c r="F47" s="166">
        <v>0.1054999977350235</v>
      </c>
      <c r="G47" s="166">
        <v>0.10559999942779541</v>
      </c>
      <c r="H47" s="166">
        <v>0.10540000349283218</v>
      </c>
      <c r="I47" s="166">
        <v>0.10530000180006027</v>
      </c>
      <c r="J47" s="166">
        <v>0.10520000010728836</v>
      </c>
      <c r="K47" s="166">
        <v>0.10520000010728836</v>
      </c>
      <c r="L47" s="166">
        <v>0.10520000010728836</v>
      </c>
      <c r="M47" s="166">
        <v>0.10509999841451645</v>
      </c>
      <c r="N47" s="166">
        <v>0.10509999841451645</v>
      </c>
      <c r="O47" s="166">
        <v>0.10499999672174454</v>
      </c>
      <c r="P47" s="166">
        <v>0.10480000078678131</v>
      </c>
      <c r="Q47" s="166">
        <v>0.10480000078678131</v>
      </c>
      <c r="R47" s="166">
        <v>0.10480000078678131</v>
      </c>
      <c r="S47" s="166">
        <v>0.1046999990940094</v>
      </c>
      <c r="T47" s="166">
        <v>0.1046999990940094</v>
      </c>
      <c r="U47" s="166">
        <v>0.1046999990940094</v>
      </c>
      <c r="V47" s="166">
        <f t="shared" si="0"/>
        <v>0.10464999824762344</v>
      </c>
      <c r="W47" s="166">
        <v>0.10459999740123749</v>
      </c>
      <c r="X47" s="166">
        <v>0.10459999740123749</v>
      </c>
      <c r="Y47" s="166">
        <v>0.10450000315904617</v>
      </c>
      <c r="Z47" s="166">
        <v>0.10450000315904617</v>
      </c>
      <c r="AA47" s="166">
        <v>0.10429999977350235</v>
      </c>
      <c r="AB47" s="166">
        <v>0.10429999977350235</v>
      </c>
      <c r="AC47" s="166">
        <v>0.10429999977350235</v>
      </c>
      <c r="AD47" s="166">
        <v>0.10429999977350235</v>
      </c>
      <c r="AE47" s="166">
        <v>0.10419999808073044</v>
      </c>
      <c r="AF47" s="166">
        <v>0.10419999808073044</v>
      </c>
      <c r="AG47" s="164"/>
      <c r="AH47" s="164"/>
      <c r="AI47" s="164"/>
      <c r="AJ47" s="164"/>
      <c r="AK47" s="164"/>
      <c r="AL47" s="164"/>
      <c r="AM47" s="164"/>
      <c r="AN47" s="164"/>
      <c r="AO47" s="164"/>
      <c r="AP47" s="164"/>
      <c r="AQ47" s="164"/>
      <c r="AR47" s="164"/>
      <c r="AS47" s="164"/>
      <c r="AT47" s="164"/>
      <c r="AU47" s="164"/>
      <c r="AV47" s="164"/>
      <c r="AW47" s="164"/>
      <c r="AX47" s="164"/>
      <c r="AY47" s="164"/>
      <c r="AZ47" s="164"/>
      <c r="BA47" s="164"/>
      <c r="BB47" s="164"/>
      <c r="BC47" s="164"/>
      <c r="BD47" s="164"/>
      <c r="BE47" s="164"/>
      <c r="BF47" s="164"/>
      <c r="BG47" s="164"/>
      <c r="BH47" s="164"/>
      <c r="BI47" s="164"/>
      <c r="BJ47" s="164"/>
      <c r="BK47" s="164"/>
    </row>
    <row r="48" spans="1:65" x14ac:dyDescent="0.2">
      <c r="A48" s="135" t="s">
        <v>51</v>
      </c>
      <c r="B48" s="166">
        <v>0.10999999940395355</v>
      </c>
      <c r="C48" s="166">
        <v>0.10859999805688858</v>
      </c>
      <c r="D48" s="166">
        <v>0.1088000014424324</v>
      </c>
      <c r="E48" s="166">
        <v>0.10869999974966049</v>
      </c>
      <c r="F48" s="166">
        <v>0.10859999805688858</v>
      </c>
      <c r="G48" s="166">
        <v>0.10890000313520432</v>
      </c>
      <c r="H48" s="166">
        <v>0.10849999636411667</v>
      </c>
      <c r="I48" s="166">
        <v>0.10830000042915344</v>
      </c>
      <c r="J48" s="166">
        <v>0.10840000212192535</v>
      </c>
      <c r="K48" s="166">
        <v>0.10809999704360962</v>
      </c>
      <c r="L48" s="166">
        <v>0.10869999974966049</v>
      </c>
      <c r="M48" s="166">
        <v>0.10849999636411667</v>
      </c>
      <c r="N48" s="166">
        <v>0.10859999805688858</v>
      </c>
      <c r="O48" s="166">
        <v>0.10849999636411667</v>
      </c>
      <c r="P48" s="166">
        <v>0.1080000028014183</v>
      </c>
      <c r="Q48" s="166">
        <v>0.10769999772310257</v>
      </c>
      <c r="R48" s="166">
        <v>0.10769999772310257</v>
      </c>
      <c r="S48" s="166">
        <v>0.1080000028014183</v>
      </c>
      <c r="T48" s="166">
        <v>0.10769999772310257</v>
      </c>
      <c r="U48" s="166">
        <v>0.10809999704360962</v>
      </c>
      <c r="V48" s="166">
        <f t="shared" si="0"/>
        <v>0.10794999822974205</v>
      </c>
      <c r="W48" s="166">
        <v>0.10779999941587448</v>
      </c>
      <c r="X48" s="166">
        <v>0.10740000009536743</v>
      </c>
      <c r="Y48" s="166">
        <v>0.10750000178813934</v>
      </c>
      <c r="Z48" s="166">
        <v>0.10750000178813934</v>
      </c>
      <c r="AA48" s="166">
        <v>0.10620000213384628</v>
      </c>
      <c r="AB48" s="166">
        <v>0.10670000314712524</v>
      </c>
      <c r="AC48" s="166">
        <v>0.10620000213384628</v>
      </c>
      <c r="AD48" s="166">
        <v>0.10700000077486038</v>
      </c>
      <c r="AE48" s="166">
        <v>0.10679999738931656</v>
      </c>
      <c r="AF48" s="166">
        <v>0.10639999806880951</v>
      </c>
      <c r="AG48" s="164"/>
      <c r="AH48" s="164"/>
      <c r="AI48" s="164"/>
      <c r="AJ48" s="164"/>
      <c r="AK48" s="164"/>
      <c r="AL48" s="164"/>
      <c r="AM48" s="164"/>
      <c r="AN48" s="164"/>
      <c r="AO48" s="164"/>
      <c r="AP48" s="164"/>
      <c r="AQ48" s="164"/>
      <c r="AR48" s="164"/>
      <c r="AS48" s="164"/>
      <c r="AT48" s="164"/>
      <c r="AU48" s="164"/>
      <c r="AV48" s="164"/>
      <c r="AW48" s="164"/>
      <c r="AX48" s="164"/>
      <c r="AY48" s="164"/>
      <c r="AZ48" s="164"/>
      <c r="BA48" s="164"/>
      <c r="BB48" s="164"/>
      <c r="BC48" s="164"/>
      <c r="BD48" s="164"/>
      <c r="BE48" s="164"/>
      <c r="BF48" s="164"/>
      <c r="BG48" s="164"/>
      <c r="BH48" s="164"/>
      <c r="BI48" s="164"/>
      <c r="BJ48" s="164"/>
      <c r="BK48" s="164"/>
    </row>
    <row r="49" spans="1:63" x14ac:dyDescent="0.2">
      <c r="A49" s="135" t="s">
        <v>52</v>
      </c>
      <c r="B49" s="166">
        <v>0.10649999976158142</v>
      </c>
      <c r="C49" s="166">
        <v>0.10620000213384628</v>
      </c>
      <c r="D49" s="166">
        <v>0.10610000044107437</v>
      </c>
      <c r="E49" s="166">
        <v>0.10639999806880951</v>
      </c>
      <c r="F49" s="166">
        <v>0.10620000213384628</v>
      </c>
      <c r="G49" s="166">
        <v>0.10620000213384628</v>
      </c>
      <c r="H49" s="166">
        <v>0.10610000044107437</v>
      </c>
      <c r="I49" s="166">
        <v>0.10589999705553055</v>
      </c>
      <c r="J49" s="166">
        <v>0.10610000044107437</v>
      </c>
      <c r="K49" s="166">
        <v>0.10589999705553055</v>
      </c>
      <c r="L49" s="166">
        <v>0.10589999705553055</v>
      </c>
      <c r="M49" s="166">
        <v>0.10570000112056732</v>
      </c>
      <c r="N49" s="166">
        <v>0.10570000112056732</v>
      </c>
      <c r="O49" s="166">
        <v>0.10559999942779541</v>
      </c>
      <c r="P49" s="166">
        <v>0.10540000349283218</v>
      </c>
      <c r="Q49" s="166">
        <v>0.10540000349283218</v>
      </c>
      <c r="R49" s="166">
        <v>0.10540000349283218</v>
      </c>
      <c r="S49" s="166">
        <v>0.10530000180006027</v>
      </c>
      <c r="T49" s="166">
        <v>0.10530000180006027</v>
      </c>
      <c r="U49" s="166">
        <v>0.10530000180006027</v>
      </c>
      <c r="V49" s="166">
        <f t="shared" si="0"/>
        <v>0.10525000095367432</v>
      </c>
      <c r="W49" s="166">
        <v>0.10520000010728836</v>
      </c>
      <c r="X49" s="166">
        <v>0.10509999841451645</v>
      </c>
      <c r="Y49" s="166">
        <v>0.10499999672174454</v>
      </c>
      <c r="Z49" s="166">
        <v>0.10520000010728836</v>
      </c>
      <c r="AA49" s="166">
        <v>0.10490000247955322</v>
      </c>
      <c r="AB49" s="166">
        <v>0.10490000247955322</v>
      </c>
      <c r="AC49" s="166">
        <v>0.10490000247955322</v>
      </c>
      <c r="AD49" s="166">
        <v>0.10480000078678131</v>
      </c>
      <c r="AE49" s="166">
        <v>0.10499999672174454</v>
      </c>
      <c r="AF49" s="166">
        <v>0.10480000078678131</v>
      </c>
      <c r="AG49" s="164"/>
      <c r="AH49" s="164"/>
      <c r="AI49" s="164"/>
      <c r="AJ49" s="164"/>
      <c r="AK49" s="164"/>
      <c r="AL49" s="164"/>
      <c r="AM49" s="164"/>
      <c r="AN49" s="164"/>
      <c r="AO49" s="164"/>
      <c r="AP49" s="164"/>
      <c r="AQ49" s="164"/>
      <c r="AR49" s="164"/>
      <c r="AS49" s="164"/>
      <c r="AT49" s="164"/>
      <c r="AU49" s="164"/>
      <c r="AV49" s="164"/>
      <c r="AW49" s="164"/>
      <c r="AX49" s="164"/>
      <c r="AY49" s="164"/>
      <c r="AZ49" s="164"/>
      <c r="BA49" s="164"/>
      <c r="BB49" s="164"/>
      <c r="BC49" s="164"/>
      <c r="BD49" s="164"/>
      <c r="BE49" s="164"/>
      <c r="BF49" s="164"/>
      <c r="BG49" s="164"/>
      <c r="BH49" s="164"/>
      <c r="BI49" s="164"/>
      <c r="BJ49" s="164"/>
      <c r="BK49" s="164"/>
    </row>
    <row r="50" spans="1:63" x14ac:dyDescent="0.2">
      <c r="A50" s="135" t="s">
        <v>53</v>
      </c>
      <c r="B50" s="166">
        <v>0.10679999738931656</v>
      </c>
      <c r="C50" s="166">
        <v>0.10660000145435333</v>
      </c>
      <c r="D50" s="166">
        <v>0.10649999976158142</v>
      </c>
      <c r="E50" s="166">
        <v>0.10649999976158142</v>
      </c>
      <c r="F50" s="166">
        <v>0.1062999963760376</v>
      </c>
      <c r="G50" s="166">
        <v>0.10620000213384628</v>
      </c>
      <c r="H50" s="166">
        <v>0.10610000044107437</v>
      </c>
      <c r="I50" s="166">
        <v>0.10599999874830246</v>
      </c>
      <c r="J50" s="166">
        <v>0.10589999705553055</v>
      </c>
      <c r="K50" s="166">
        <v>0.10589999705553055</v>
      </c>
      <c r="L50" s="166">
        <v>0.10589999705553055</v>
      </c>
      <c r="M50" s="166">
        <v>0.10580000281333923</v>
      </c>
      <c r="N50" s="166">
        <v>0.10570000112056732</v>
      </c>
      <c r="O50" s="166">
        <v>0.10559999942779541</v>
      </c>
      <c r="P50" s="166">
        <v>0.10540000349283218</v>
      </c>
      <c r="Q50" s="166">
        <v>0.10540000349283218</v>
      </c>
      <c r="R50" s="166">
        <v>0.10530000180006027</v>
      </c>
      <c r="S50" s="166">
        <v>0.10520000010728836</v>
      </c>
      <c r="T50" s="166">
        <v>0.10520000010728836</v>
      </c>
      <c r="U50" s="166">
        <v>0.10520000010728836</v>
      </c>
      <c r="V50" s="166">
        <f t="shared" si="0"/>
        <v>0.10509999841451645</v>
      </c>
      <c r="W50" s="166">
        <v>0.10499999672174454</v>
      </c>
      <c r="X50" s="166">
        <v>0.10499999672174454</v>
      </c>
      <c r="Y50" s="166">
        <v>0.10480000078678131</v>
      </c>
      <c r="Z50" s="166">
        <v>0.10480000078678131</v>
      </c>
      <c r="AA50" s="166">
        <v>0.10459999740123749</v>
      </c>
      <c r="AB50" s="166">
        <v>0.10459999740123749</v>
      </c>
      <c r="AC50" s="166">
        <v>0.10459999740123749</v>
      </c>
      <c r="AD50" s="166">
        <v>0.10450000315904617</v>
      </c>
      <c r="AE50" s="166">
        <v>0.10440000146627426</v>
      </c>
      <c r="AF50" s="166">
        <v>0.10440000146627426</v>
      </c>
      <c r="AG50" s="164"/>
      <c r="AH50" s="164"/>
      <c r="AI50" s="164"/>
      <c r="AJ50" s="164"/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4"/>
      <c r="AW50" s="164"/>
      <c r="AX50" s="164"/>
      <c r="AY50" s="164"/>
      <c r="AZ50" s="164"/>
      <c r="BA50" s="164"/>
      <c r="BB50" s="164"/>
      <c r="BC50" s="164"/>
      <c r="BD50" s="164"/>
      <c r="BE50" s="164"/>
      <c r="BF50" s="164"/>
      <c r="BG50" s="164"/>
      <c r="BH50" s="164"/>
      <c r="BI50" s="164"/>
      <c r="BJ50" s="164"/>
      <c r="BK50" s="164"/>
    </row>
    <row r="51" spans="1:63" x14ac:dyDescent="0.2">
      <c r="A51" s="135" t="s">
        <v>54</v>
      </c>
      <c r="B51" s="166">
        <v>0.10620000213384628</v>
      </c>
      <c r="C51" s="166">
        <v>0.10610000044107437</v>
      </c>
      <c r="D51" s="166">
        <v>0.10599999874830246</v>
      </c>
      <c r="E51" s="166">
        <v>0.10610000044107437</v>
      </c>
      <c r="F51" s="166">
        <v>0.10589999705553055</v>
      </c>
      <c r="G51" s="166">
        <v>0.10599999874830246</v>
      </c>
      <c r="H51" s="166">
        <v>0.10589999705553055</v>
      </c>
      <c r="I51" s="166">
        <v>0.10580000281333923</v>
      </c>
      <c r="J51" s="166">
        <v>0.10570000112056732</v>
      </c>
      <c r="K51" s="166">
        <v>0.10570000112056732</v>
      </c>
      <c r="L51" s="166">
        <v>0.10580000281333923</v>
      </c>
      <c r="M51" s="166">
        <v>0.10570000112056732</v>
      </c>
      <c r="N51" s="166">
        <v>0.10559999942779541</v>
      </c>
      <c r="O51" s="166">
        <v>0.10540000349283218</v>
      </c>
      <c r="P51" s="166">
        <v>0.10530000180006027</v>
      </c>
      <c r="Q51" s="166">
        <v>0.10530000180006027</v>
      </c>
      <c r="R51" s="166">
        <v>0.10520000010728836</v>
      </c>
      <c r="S51" s="166">
        <v>0.10530000180006027</v>
      </c>
      <c r="T51" s="166">
        <v>0.10530000180006027</v>
      </c>
      <c r="U51" s="166">
        <v>0.10540000349283218</v>
      </c>
      <c r="V51" s="166">
        <f t="shared" si="0"/>
        <v>0.10530000180006027</v>
      </c>
      <c r="W51" s="166">
        <v>0.10520000010728836</v>
      </c>
      <c r="X51" s="166">
        <v>0.10520000010728836</v>
      </c>
      <c r="Y51" s="166">
        <v>0.10499999672174454</v>
      </c>
      <c r="Z51" s="166">
        <v>0.10490000247955322</v>
      </c>
      <c r="AA51" s="166">
        <v>0.10490000247955322</v>
      </c>
      <c r="AB51" s="166">
        <v>0.10480000078678131</v>
      </c>
      <c r="AC51" s="166">
        <v>0.1046999990940094</v>
      </c>
      <c r="AD51" s="166">
        <v>0.10480000078678131</v>
      </c>
      <c r="AE51" s="166">
        <v>0.1046999990940094</v>
      </c>
      <c r="AF51" s="166">
        <v>0.10480000078678131</v>
      </c>
      <c r="AG51" s="164"/>
      <c r="AH51" s="164"/>
      <c r="AI51" s="164"/>
      <c r="AJ51" s="164"/>
      <c r="AK51" s="164"/>
      <c r="AL51" s="164"/>
      <c r="AM51" s="164"/>
      <c r="AN51" s="164"/>
      <c r="AO51" s="164"/>
      <c r="AP51" s="164"/>
      <c r="AQ51" s="164"/>
      <c r="AR51" s="164"/>
      <c r="AS51" s="164"/>
      <c r="AT51" s="164"/>
      <c r="AU51" s="164"/>
      <c r="AV51" s="164"/>
      <c r="AW51" s="164"/>
      <c r="AX51" s="164"/>
      <c r="AY51" s="164"/>
      <c r="AZ51" s="164"/>
      <c r="BA51" s="164"/>
      <c r="BB51" s="164"/>
      <c r="BC51" s="164"/>
      <c r="BD51" s="164"/>
      <c r="BE51" s="164"/>
      <c r="BF51" s="164"/>
      <c r="BG51" s="164"/>
      <c r="BH51" s="164"/>
      <c r="BI51" s="164"/>
      <c r="BJ51" s="164"/>
      <c r="BK51" s="164"/>
    </row>
    <row r="52" spans="1:63" x14ac:dyDescent="0.2">
      <c r="A52" s="135" t="s">
        <v>55</v>
      </c>
      <c r="B52" s="166">
        <v>0.10729999840259552</v>
      </c>
      <c r="C52" s="166">
        <v>0.10700000077486038</v>
      </c>
      <c r="D52" s="166">
        <v>0.10719999670982361</v>
      </c>
      <c r="E52" s="166">
        <v>0.10740000009536743</v>
      </c>
      <c r="F52" s="166">
        <v>0.10790000110864639</v>
      </c>
      <c r="G52" s="166">
        <v>0.1088000014424324</v>
      </c>
      <c r="H52" s="166">
        <v>0.11029999703168869</v>
      </c>
      <c r="I52" s="166">
        <v>0.11289999634027481</v>
      </c>
      <c r="J52" s="166">
        <v>0.11710000038146973</v>
      </c>
      <c r="K52" s="166">
        <v>0.12409999966621399</v>
      </c>
      <c r="L52" s="166">
        <v>0.13549999892711639</v>
      </c>
      <c r="M52" s="166">
        <v>0.15170000493526459</v>
      </c>
      <c r="N52" s="166">
        <v>0.17409999668598175</v>
      </c>
      <c r="O52" s="166">
        <v>0.20180000364780426</v>
      </c>
      <c r="P52" s="166">
        <v>0.23530000448226929</v>
      </c>
      <c r="Q52" s="166">
        <v>0.27500000596046448</v>
      </c>
      <c r="R52" s="166">
        <v>0.32120001316070557</v>
      </c>
      <c r="S52" s="166">
        <v>0.36809998750686646</v>
      </c>
      <c r="T52" s="166">
        <v>0.40860000252723694</v>
      </c>
      <c r="U52" s="166">
        <v>0.44580000638961792</v>
      </c>
      <c r="V52" s="166">
        <f t="shared" si="0"/>
        <v>0.46100001037120819</v>
      </c>
      <c r="W52" s="166">
        <v>0.47620001435279846</v>
      </c>
      <c r="X52" s="166">
        <v>0.48410001397132874</v>
      </c>
      <c r="Y52" s="166">
        <v>0.48849999904632568</v>
      </c>
      <c r="Z52" s="166">
        <v>0.49059998989105225</v>
      </c>
      <c r="AA52" s="166">
        <v>0.49520000815391541</v>
      </c>
      <c r="AB52" s="166">
        <v>0.50220000743865967</v>
      </c>
      <c r="AC52" s="166">
        <v>0.50950002670288086</v>
      </c>
      <c r="AD52" s="166">
        <v>0.51929998397827148</v>
      </c>
      <c r="AE52" s="166">
        <v>0.53090000152587891</v>
      </c>
      <c r="AF52" s="166">
        <v>0.54500001668930054</v>
      </c>
      <c r="AG52" s="164"/>
      <c r="AH52" s="164"/>
      <c r="AI52" s="164"/>
      <c r="AJ52" s="164"/>
      <c r="AK52" s="164"/>
      <c r="AL52" s="164"/>
      <c r="AM52" s="164"/>
      <c r="AN52" s="164"/>
      <c r="AO52" s="164"/>
      <c r="AP52" s="164"/>
      <c r="AQ52" s="164"/>
      <c r="AR52" s="164"/>
      <c r="AS52" s="164"/>
      <c r="AT52" s="164"/>
      <c r="AU52" s="164"/>
      <c r="AV52" s="164"/>
      <c r="AW52" s="164"/>
      <c r="AX52" s="164"/>
      <c r="AY52" s="164"/>
      <c r="AZ52" s="164"/>
      <c r="BA52" s="164"/>
      <c r="BB52" s="164"/>
      <c r="BC52" s="164"/>
      <c r="BD52" s="164"/>
      <c r="BE52" s="164"/>
      <c r="BF52" s="164"/>
      <c r="BG52" s="164"/>
      <c r="BH52" s="164"/>
      <c r="BI52" s="164"/>
      <c r="BJ52" s="164"/>
      <c r="BK52" s="164"/>
    </row>
    <row r="53" spans="1:63" x14ac:dyDescent="0.2">
      <c r="A53" s="135" t="s">
        <v>56</v>
      </c>
      <c r="B53" s="166">
        <v>0.10700000077486038</v>
      </c>
      <c r="C53" s="166">
        <v>0.10689999908208847</v>
      </c>
      <c r="D53" s="166">
        <v>0.10710000246763229</v>
      </c>
      <c r="E53" s="166">
        <v>0.10769999772310257</v>
      </c>
      <c r="F53" s="166">
        <v>0.10760000348091125</v>
      </c>
      <c r="G53" s="166">
        <v>0.10830000042915344</v>
      </c>
      <c r="H53" s="166">
        <v>0.10930000245571136</v>
      </c>
      <c r="I53" s="166">
        <v>0.1111999973654747</v>
      </c>
      <c r="J53" s="166">
        <v>0.11420000344514847</v>
      </c>
      <c r="K53" s="166">
        <v>0.11949999630451202</v>
      </c>
      <c r="L53" s="166">
        <v>0.12809999287128448</v>
      </c>
      <c r="M53" s="166">
        <v>0.14059999585151672</v>
      </c>
      <c r="N53" s="166">
        <v>0.15880000591278076</v>
      </c>
      <c r="O53" s="166">
        <v>0.18219999969005585</v>
      </c>
      <c r="P53" s="166">
        <v>0.21070000529289246</v>
      </c>
      <c r="Q53" s="166">
        <v>0.24580000340938568</v>
      </c>
      <c r="R53" s="166">
        <v>0.28769999742507935</v>
      </c>
      <c r="S53" s="166">
        <v>0.33579999208450317</v>
      </c>
      <c r="T53" s="166">
        <v>0.38330000638961792</v>
      </c>
      <c r="U53" s="166">
        <v>0.4221000075340271</v>
      </c>
      <c r="V53" s="166">
        <f t="shared" si="0"/>
        <v>0.44950000941753387</v>
      </c>
      <c r="W53" s="166">
        <v>0.47690001130104065</v>
      </c>
      <c r="X53" s="166">
        <v>0.48710000514984131</v>
      </c>
      <c r="Y53" s="166">
        <v>0.49549999833106995</v>
      </c>
      <c r="Z53" s="166">
        <v>0.49900001287460327</v>
      </c>
      <c r="AA53" s="166">
        <v>0.50099998712539673</v>
      </c>
      <c r="AB53" s="166">
        <v>0.50550001859664917</v>
      </c>
      <c r="AC53" s="166">
        <v>0.51029998064041138</v>
      </c>
      <c r="AD53" s="166">
        <v>0.51639997959136963</v>
      </c>
      <c r="AE53" s="166">
        <v>0.52689999341964722</v>
      </c>
      <c r="AF53" s="166">
        <v>0.53979998826980591</v>
      </c>
      <c r="AG53" s="164"/>
      <c r="AH53" s="164"/>
      <c r="AI53" s="164"/>
      <c r="AJ53" s="164"/>
      <c r="AK53" s="164"/>
      <c r="AL53" s="164"/>
      <c r="AM53" s="164"/>
      <c r="AN53" s="164"/>
      <c r="AO53" s="164"/>
      <c r="AP53" s="164"/>
      <c r="AQ53" s="164"/>
      <c r="AR53" s="164"/>
      <c r="AS53" s="164"/>
      <c r="AT53" s="164"/>
      <c r="AU53" s="164"/>
      <c r="AV53" s="164"/>
      <c r="AW53" s="164"/>
      <c r="AX53" s="164"/>
      <c r="AY53" s="164"/>
      <c r="AZ53" s="164"/>
      <c r="BA53" s="164"/>
      <c r="BB53" s="164"/>
      <c r="BC53" s="164"/>
      <c r="BD53" s="164"/>
      <c r="BE53" s="164"/>
      <c r="BF53" s="164"/>
      <c r="BG53" s="164"/>
      <c r="BH53" s="164"/>
      <c r="BI53" s="164"/>
      <c r="BJ53" s="164"/>
      <c r="BK53" s="164"/>
    </row>
    <row r="54" spans="1:63" x14ac:dyDescent="0.2">
      <c r="A54" s="135" t="s">
        <v>57</v>
      </c>
      <c r="B54" s="166">
        <v>0.1054999977350235</v>
      </c>
      <c r="C54" s="166">
        <v>0.1054999977350235</v>
      </c>
      <c r="D54" s="166">
        <v>0.10580000281333923</v>
      </c>
      <c r="E54" s="166">
        <v>0.10599999874830246</v>
      </c>
      <c r="F54" s="166">
        <v>0.10639999806880951</v>
      </c>
      <c r="G54" s="166">
        <v>0.10700000077486038</v>
      </c>
      <c r="H54" s="166">
        <v>0.10769999772310257</v>
      </c>
      <c r="I54" s="166">
        <v>0.10840000212192535</v>
      </c>
      <c r="J54" s="166">
        <v>0.10930000245571136</v>
      </c>
      <c r="K54" s="166">
        <v>0.11060000211000443</v>
      </c>
      <c r="L54" s="166">
        <v>0.11249999701976776</v>
      </c>
      <c r="M54" s="166">
        <v>0.11490000039339066</v>
      </c>
      <c r="N54" s="166">
        <v>0.1185000017285347</v>
      </c>
      <c r="O54" s="166">
        <v>0.12330000102519989</v>
      </c>
      <c r="P54" s="166">
        <v>0.13109999895095825</v>
      </c>
      <c r="Q54" s="166">
        <v>0.14309999346733093</v>
      </c>
      <c r="R54" s="166">
        <v>0.16200000047683716</v>
      </c>
      <c r="S54" s="166">
        <v>0.18770000338554382</v>
      </c>
      <c r="T54" s="166">
        <v>0.22050000727176666</v>
      </c>
      <c r="U54" s="166">
        <v>0.25990000367164612</v>
      </c>
      <c r="V54" s="166">
        <f t="shared" si="0"/>
        <v>0.3015500009059906</v>
      </c>
      <c r="W54" s="166">
        <v>0.34319999814033508</v>
      </c>
      <c r="X54" s="166">
        <v>0.38299998641014099</v>
      </c>
      <c r="Y54" s="166">
        <v>0.42080000042915344</v>
      </c>
      <c r="Z54" s="166">
        <v>0.44580000638961792</v>
      </c>
      <c r="AA54" s="166">
        <v>0.45770001411437988</v>
      </c>
      <c r="AB54" s="166">
        <v>0.4666999876499176</v>
      </c>
      <c r="AC54" s="166">
        <v>0.47110000252723694</v>
      </c>
      <c r="AD54" s="166">
        <v>0.47499999403953552</v>
      </c>
      <c r="AE54" s="166">
        <v>0.48210000991821289</v>
      </c>
      <c r="AF54" s="166">
        <v>0.491100013256073</v>
      </c>
      <c r="AG54" s="164"/>
      <c r="AH54" s="164"/>
      <c r="AI54" s="164"/>
      <c r="AJ54" s="164"/>
      <c r="AK54" s="164"/>
      <c r="AL54" s="164"/>
      <c r="AM54" s="164"/>
      <c r="AN54" s="164"/>
      <c r="AO54" s="164"/>
      <c r="AP54" s="164"/>
      <c r="AQ54" s="164"/>
      <c r="AR54" s="164"/>
      <c r="AS54" s="164"/>
      <c r="AT54" s="164"/>
      <c r="AU54" s="164"/>
      <c r="AV54" s="164"/>
      <c r="AW54" s="164"/>
      <c r="AX54" s="164"/>
      <c r="AY54" s="164"/>
      <c r="AZ54" s="164"/>
      <c r="BA54" s="164"/>
      <c r="BB54" s="164"/>
      <c r="BC54" s="164"/>
      <c r="BD54" s="164"/>
      <c r="BE54" s="164"/>
      <c r="BF54" s="164"/>
      <c r="BG54" s="164"/>
      <c r="BH54" s="164"/>
      <c r="BI54" s="164"/>
      <c r="BJ54" s="164"/>
      <c r="BK54" s="164"/>
    </row>
    <row r="55" spans="1:63" x14ac:dyDescent="0.2">
      <c r="A55" s="135" t="s">
        <v>58</v>
      </c>
      <c r="B55" s="166">
        <v>0.10440000146627426</v>
      </c>
      <c r="C55" s="166">
        <v>0.10450000315904617</v>
      </c>
      <c r="D55" s="166">
        <v>0.1046999990940094</v>
      </c>
      <c r="E55" s="166">
        <v>0.10499999672174454</v>
      </c>
      <c r="F55" s="166">
        <v>0.10520000010728836</v>
      </c>
      <c r="G55" s="166">
        <v>0.10559999942779541</v>
      </c>
      <c r="H55" s="166">
        <v>0.10599999874830246</v>
      </c>
      <c r="I55" s="166">
        <v>0.10649999976158142</v>
      </c>
      <c r="J55" s="166">
        <v>0.10689999908208847</v>
      </c>
      <c r="K55" s="166">
        <v>0.10779999941587448</v>
      </c>
      <c r="L55" s="166">
        <v>0.1088000014424324</v>
      </c>
      <c r="M55" s="166">
        <v>0.10989999771118164</v>
      </c>
      <c r="N55" s="166">
        <v>0.11169999837875366</v>
      </c>
      <c r="O55" s="166">
        <v>0.11410000175237656</v>
      </c>
      <c r="P55" s="166">
        <v>0.1177000030875206</v>
      </c>
      <c r="Q55" s="166">
        <v>0.12370000034570694</v>
      </c>
      <c r="R55" s="166">
        <v>0.13300000131130219</v>
      </c>
      <c r="S55" s="166">
        <v>0.14740000665187836</v>
      </c>
      <c r="T55" s="166">
        <v>0.16850000619888306</v>
      </c>
      <c r="U55" s="166">
        <v>0.19670000672340393</v>
      </c>
      <c r="V55" s="166">
        <f t="shared" si="0"/>
        <v>0.23145000636577606</v>
      </c>
      <c r="W55" s="166">
        <v>0.26620000600814819</v>
      </c>
      <c r="X55" s="166">
        <v>0.31290000677108765</v>
      </c>
      <c r="Y55" s="166">
        <v>0.36010000109672546</v>
      </c>
      <c r="Z55" s="166">
        <v>0.40099999308586121</v>
      </c>
      <c r="AA55" s="166">
        <v>0.43630000948905945</v>
      </c>
      <c r="AB55" s="166">
        <v>0.45559999346733093</v>
      </c>
      <c r="AC55" s="166">
        <v>0.46540001034736633</v>
      </c>
      <c r="AD55" s="166">
        <v>0.47429999709129333</v>
      </c>
      <c r="AE55" s="166">
        <v>0.47889998555183411</v>
      </c>
      <c r="AF55" s="166">
        <v>0.48410001397132874</v>
      </c>
      <c r="AG55" s="164"/>
      <c r="AH55" s="164"/>
      <c r="AI55" s="164"/>
      <c r="AJ55" s="164"/>
      <c r="AK55" s="164"/>
      <c r="AL55" s="164"/>
      <c r="AM55" s="164"/>
      <c r="AN55" s="164"/>
      <c r="AO55" s="164"/>
      <c r="AP55" s="164"/>
      <c r="AQ55" s="164"/>
      <c r="AR55" s="164"/>
      <c r="AS55" s="164"/>
      <c r="AT55" s="164"/>
      <c r="AU55" s="164"/>
      <c r="AV55" s="164"/>
      <c r="AW55" s="164"/>
      <c r="AX55" s="164"/>
      <c r="AY55" s="164"/>
      <c r="AZ55" s="164"/>
      <c r="BA55" s="164"/>
      <c r="BB55" s="164"/>
      <c r="BC55" s="164"/>
      <c r="BD55" s="164"/>
      <c r="BE55" s="164"/>
      <c r="BF55" s="164"/>
      <c r="BG55" s="164"/>
      <c r="BH55" s="164"/>
      <c r="BI55" s="164"/>
      <c r="BJ55" s="164"/>
      <c r="BK55" s="164"/>
    </row>
    <row r="56" spans="1:63" x14ac:dyDescent="0.2">
      <c r="A56" s="135" t="s">
        <v>59</v>
      </c>
      <c r="B56" s="166">
        <v>0.10419999808073044</v>
      </c>
      <c r="C56" s="166">
        <v>0.10419999808073044</v>
      </c>
      <c r="D56" s="166">
        <v>0.10429999977350235</v>
      </c>
      <c r="E56" s="166">
        <v>0.10670000314712524</v>
      </c>
      <c r="F56" s="166">
        <v>0.1046999990940094</v>
      </c>
      <c r="G56" s="166">
        <v>0.10499999672174454</v>
      </c>
      <c r="H56" s="166">
        <v>0.10540000349283218</v>
      </c>
      <c r="I56" s="166">
        <v>0.10570000112056732</v>
      </c>
      <c r="J56" s="166">
        <v>0.10610000044107437</v>
      </c>
      <c r="K56" s="166">
        <v>0.10689999908208847</v>
      </c>
      <c r="L56" s="166">
        <v>0.10769999772310257</v>
      </c>
      <c r="M56" s="166">
        <v>0.10849999636411667</v>
      </c>
      <c r="N56" s="166">
        <v>0.10989999771118164</v>
      </c>
      <c r="O56" s="166">
        <v>0.11180000007152557</v>
      </c>
      <c r="P56" s="166">
        <v>0.11460000276565552</v>
      </c>
      <c r="Q56" s="166">
        <v>0.11919999867677689</v>
      </c>
      <c r="R56" s="166">
        <v>0.1265999972820282</v>
      </c>
      <c r="S56" s="166">
        <v>0.1371999979019165</v>
      </c>
      <c r="T56" s="166">
        <v>0.15350000560283661</v>
      </c>
      <c r="U56" s="166">
        <v>0.17689999938011169</v>
      </c>
      <c r="V56" s="166">
        <f t="shared" si="0"/>
        <v>0.20814999938011169</v>
      </c>
      <c r="W56" s="166">
        <v>0.23939999938011169</v>
      </c>
      <c r="X56" s="166">
        <v>0.28220000863075256</v>
      </c>
      <c r="Y56" s="166">
        <v>0.33039999008178711</v>
      </c>
      <c r="Z56" s="166">
        <v>0.37760001420974731</v>
      </c>
      <c r="AA56" s="166">
        <v>0.41530001163482666</v>
      </c>
      <c r="AB56" s="166">
        <v>0.44839999079704285</v>
      </c>
      <c r="AC56" s="166">
        <v>0.46219998598098755</v>
      </c>
      <c r="AD56" s="166">
        <v>0.47170001268386841</v>
      </c>
      <c r="AE56" s="166">
        <v>0.47900000214576721</v>
      </c>
      <c r="AF56" s="166">
        <v>0.48350000381469727</v>
      </c>
      <c r="AG56" s="164"/>
      <c r="AH56" s="164"/>
      <c r="AI56" s="164"/>
      <c r="AJ56" s="164"/>
      <c r="AK56" s="164"/>
      <c r="AL56" s="164"/>
      <c r="AM56" s="164"/>
      <c r="AN56" s="164"/>
      <c r="AO56" s="164"/>
      <c r="AP56" s="164"/>
      <c r="AQ56" s="164"/>
      <c r="AR56" s="164"/>
      <c r="AS56" s="164"/>
      <c r="AT56" s="164"/>
      <c r="AU56" s="164"/>
      <c r="AV56" s="164"/>
      <c r="AW56" s="164"/>
      <c r="AX56" s="164"/>
      <c r="AY56" s="164"/>
      <c r="AZ56" s="164"/>
      <c r="BA56" s="164"/>
      <c r="BB56" s="164"/>
      <c r="BC56" s="164"/>
      <c r="BD56" s="164"/>
      <c r="BE56" s="164"/>
      <c r="BF56" s="164"/>
      <c r="BG56" s="164"/>
      <c r="BH56" s="164"/>
      <c r="BI56" s="164"/>
      <c r="BJ56" s="164"/>
      <c r="BK56" s="164"/>
    </row>
    <row r="57" spans="1:63" x14ac:dyDescent="0.2">
      <c r="A57" s="135" t="s">
        <v>60</v>
      </c>
      <c r="B57" s="166">
        <v>0.10459999740123749</v>
      </c>
      <c r="C57" s="166">
        <v>0.10450000315904617</v>
      </c>
      <c r="D57" s="166">
        <v>0.1046999990940094</v>
      </c>
      <c r="E57" s="166">
        <v>0.10499999672174454</v>
      </c>
      <c r="F57" s="166">
        <v>0.10530000180006027</v>
      </c>
      <c r="G57" s="166">
        <v>0.10589999705553055</v>
      </c>
      <c r="H57" s="166">
        <v>0.10679999738931656</v>
      </c>
      <c r="I57" s="166">
        <v>0.10840000212192535</v>
      </c>
      <c r="J57" s="166">
        <v>0.11110000312328339</v>
      </c>
      <c r="K57" s="166">
        <v>0.11590000241994858</v>
      </c>
      <c r="L57" s="166">
        <v>0.12349999696016312</v>
      </c>
      <c r="M57" s="166">
        <v>0.13519999384880066</v>
      </c>
      <c r="N57" s="166">
        <v>0.1518000066280365</v>
      </c>
      <c r="O57" s="166">
        <v>0.17440000176429749</v>
      </c>
      <c r="P57" s="166">
        <v>0.20350000262260437</v>
      </c>
      <c r="Q57" s="166">
        <v>0.23819999396800995</v>
      </c>
      <c r="R57" s="166">
        <v>0.27979999780654907</v>
      </c>
      <c r="S57" s="166">
        <v>0.32690000534057617</v>
      </c>
      <c r="T57" s="166">
        <v>0.3716999888420105</v>
      </c>
      <c r="U57" s="166">
        <v>0.40569999814033508</v>
      </c>
      <c r="V57" s="166">
        <f t="shared" si="0"/>
        <v>0.4285999983549118</v>
      </c>
      <c r="W57" s="166">
        <v>0.45149999856948853</v>
      </c>
      <c r="X57" s="166">
        <v>0.46000000834465027</v>
      </c>
      <c r="Y57" s="166">
        <v>0.46459999680519104</v>
      </c>
      <c r="Z57" s="166">
        <v>0.46540001034736633</v>
      </c>
      <c r="AA57" s="166">
        <v>0.46560001373291016</v>
      </c>
      <c r="AB57" s="166">
        <v>0.46700000762939453</v>
      </c>
      <c r="AC57" s="166">
        <v>0.47119998931884766</v>
      </c>
      <c r="AD57" s="166">
        <v>0.47499999403953552</v>
      </c>
      <c r="AE57" s="166">
        <v>0.48679998517036438</v>
      </c>
      <c r="AF57" s="166">
        <v>0.49889999628067017</v>
      </c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  <c r="AY57" s="164"/>
      <c r="AZ57" s="164"/>
      <c r="BA57" s="164"/>
      <c r="BB57" s="164"/>
      <c r="BC57" s="164"/>
      <c r="BD57" s="164"/>
      <c r="BE57" s="164"/>
      <c r="BF57" s="164"/>
      <c r="BG57" s="164"/>
      <c r="BH57" s="164"/>
      <c r="BI57" s="164"/>
      <c r="BJ57" s="164"/>
      <c r="BK57" s="164"/>
    </row>
    <row r="58" spans="1:63" x14ac:dyDescent="0.2">
      <c r="A58" s="135" t="s">
        <v>61</v>
      </c>
      <c r="B58" s="166">
        <v>0.10480000078678131</v>
      </c>
      <c r="C58" s="166">
        <v>0.10480000078678131</v>
      </c>
      <c r="D58" s="166">
        <v>0.10490000247955322</v>
      </c>
      <c r="E58" s="166">
        <v>0.10530000180006027</v>
      </c>
      <c r="F58" s="166">
        <v>0.10559999942779541</v>
      </c>
      <c r="G58" s="166">
        <v>0.1062999963760376</v>
      </c>
      <c r="H58" s="166">
        <v>0.10729999840259552</v>
      </c>
      <c r="I58" s="166">
        <v>0.10909999907016754</v>
      </c>
      <c r="J58" s="166">
        <v>0.1120000034570694</v>
      </c>
      <c r="K58" s="166">
        <v>0.11729999631643295</v>
      </c>
      <c r="L58" s="166">
        <v>0.1257999986410141</v>
      </c>
      <c r="M58" s="166">
        <v>0.13840000331401825</v>
      </c>
      <c r="N58" s="166">
        <v>0.15629999339580536</v>
      </c>
      <c r="O58" s="166">
        <v>0.18089999258518219</v>
      </c>
      <c r="P58" s="166">
        <v>0.21080000698566437</v>
      </c>
      <c r="Q58" s="166">
        <v>0.24819999933242798</v>
      </c>
      <c r="R58" s="166">
        <v>0.29170000553131104</v>
      </c>
      <c r="S58" s="166">
        <v>0.33889999985694885</v>
      </c>
      <c r="T58" s="166">
        <v>0.38199999928474426</v>
      </c>
      <c r="U58" s="166">
        <v>0.41460001468658447</v>
      </c>
      <c r="V58" s="166">
        <f t="shared" si="0"/>
        <v>0.43505001068115234</v>
      </c>
      <c r="W58" s="166">
        <v>0.45550000667572021</v>
      </c>
      <c r="X58" s="166">
        <v>0.46340000629425049</v>
      </c>
      <c r="Y58" s="166">
        <v>0.46720001101493835</v>
      </c>
      <c r="Z58" s="166">
        <v>0.4675000011920929</v>
      </c>
      <c r="AA58" s="166">
        <v>0.46840000152587891</v>
      </c>
      <c r="AB58" s="166">
        <v>0.46970000863075256</v>
      </c>
      <c r="AC58" s="166">
        <v>0.47580000758171082</v>
      </c>
      <c r="AD58" s="166">
        <v>0.4781000018119812</v>
      </c>
      <c r="AE58" s="166">
        <v>0.48989999294281006</v>
      </c>
      <c r="AF58" s="166">
        <v>0.50400000810623169</v>
      </c>
      <c r="AG58" s="164"/>
      <c r="AH58" s="164"/>
      <c r="AI58" s="164"/>
      <c r="AJ58" s="164"/>
      <c r="AK58" s="164"/>
      <c r="AL58" s="164"/>
      <c r="AM58" s="164"/>
      <c r="AN58" s="164"/>
      <c r="AO58" s="164"/>
      <c r="AP58" s="164"/>
      <c r="AQ58" s="164"/>
      <c r="AR58" s="164"/>
      <c r="AS58" s="164"/>
      <c r="AT58" s="164"/>
      <c r="AU58" s="164"/>
      <c r="AV58" s="164"/>
      <c r="AW58" s="164"/>
      <c r="AX58" s="164"/>
      <c r="AY58" s="164"/>
      <c r="AZ58" s="164"/>
      <c r="BA58" s="164"/>
      <c r="BB58" s="164"/>
      <c r="BC58" s="164"/>
      <c r="BD58" s="164"/>
      <c r="BE58" s="164"/>
      <c r="BF58" s="164"/>
      <c r="BG58" s="164"/>
      <c r="BH58" s="164"/>
      <c r="BI58" s="164"/>
      <c r="BJ58" s="164"/>
      <c r="BK58" s="164"/>
    </row>
    <row r="59" spans="1:63" x14ac:dyDescent="0.2">
      <c r="A59" s="135" t="s">
        <v>62</v>
      </c>
      <c r="B59" s="166">
        <v>0.10520000010728836</v>
      </c>
      <c r="C59" s="166">
        <v>0.10520000010728836</v>
      </c>
      <c r="D59" s="166">
        <v>0.10540000349283218</v>
      </c>
      <c r="E59" s="166">
        <v>0.10570000112056732</v>
      </c>
      <c r="F59" s="166">
        <v>0.10589999705553055</v>
      </c>
      <c r="G59" s="166">
        <v>0.10670000314712524</v>
      </c>
      <c r="H59" s="166">
        <v>0.10779999941587448</v>
      </c>
      <c r="I59" s="166">
        <v>0.1096000000834465</v>
      </c>
      <c r="J59" s="166">
        <v>0.1128000020980835</v>
      </c>
      <c r="K59" s="166">
        <v>0.1185000017285347</v>
      </c>
      <c r="L59" s="166">
        <v>0.12749999761581421</v>
      </c>
      <c r="M59" s="166">
        <v>0.14049999415874481</v>
      </c>
      <c r="N59" s="166">
        <v>0.15929999947547913</v>
      </c>
      <c r="O59" s="166">
        <v>0.1843000054359436</v>
      </c>
      <c r="P59" s="166">
        <v>0.2159000039100647</v>
      </c>
      <c r="Q59" s="166">
        <v>0.25400000810623169</v>
      </c>
      <c r="R59" s="166">
        <v>0.29690000414848328</v>
      </c>
      <c r="S59" s="166">
        <v>0.34529998898506165</v>
      </c>
      <c r="T59" s="166">
        <v>0.38699999451637268</v>
      </c>
      <c r="U59" s="166">
        <v>0.41819998621940613</v>
      </c>
      <c r="V59" s="166">
        <f t="shared" si="0"/>
        <v>0.43669998645782471</v>
      </c>
      <c r="W59" s="166">
        <v>0.45519998669624329</v>
      </c>
      <c r="X59" s="166">
        <v>0.4643000066280365</v>
      </c>
      <c r="Y59" s="166">
        <v>0.4666999876499176</v>
      </c>
      <c r="Z59" s="166">
        <v>0.46610000729560852</v>
      </c>
      <c r="AA59" s="166">
        <v>0.46869999170303345</v>
      </c>
      <c r="AB59" s="166">
        <v>0.46860000491142273</v>
      </c>
      <c r="AC59" s="166">
        <v>0.47400000691413879</v>
      </c>
      <c r="AD59" s="166">
        <v>0.4796999990940094</v>
      </c>
      <c r="AE59" s="166">
        <v>0.49300000071525574</v>
      </c>
      <c r="AF59" s="166">
        <v>0.50529998540878296</v>
      </c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  <c r="AY59" s="164"/>
      <c r="AZ59" s="164"/>
      <c r="BA59" s="164"/>
      <c r="BB59" s="164"/>
      <c r="BC59" s="164"/>
      <c r="BD59" s="164"/>
      <c r="BE59" s="164"/>
      <c r="BF59" s="164"/>
      <c r="BG59" s="164"/>
      <c r="BH59" s="164"/>
      <c r="BI59" s="164"/>
      <c r="BJ59" s="164"/>
      <c r="BK59" s="164"/>
    </row>
    <row r="60" spans="1:63" x14ac:dyDescent="0.2">
      <c r="A60" s="135" t="s">
        <v>63</v>
      </c>
      <c r="B60" s="166">
        <v>0.10719999670982361</v>
      </c>
      <c r="C60" s="166">
        <v>0.10710000246763229</v>
      </c>
      <c r="D60" s="166">
        <v>0.10729999840259552</v>
      </c>
      <c r="E60" s="166">
        <v>0.10760000348091125</v>
      </c>
      <c r="F60" s="166">
        <v>0.10790000110864639</v>
      </c>
      <c r="G60" s="166">
        <v>0.10859999805688858</v>
      </c>
      <c r="H60" s="166">
        <v>0.10989999771118164</v>
      </c>
      <c r="I60" s="166">
        <v>0.11209999769926071</v>
      </c>
      <c r="J60" s="166">
        <v>0.11599999666213989</v>
      </c>
      <c r="K60" s="166">
        <v>0.12250000238418579</v>
      </c>
      <c r="L60" s="166">
        <v>0.1331000030040741</v>
      </c>
      <c r="M60" s="166">
        <v>0.14810000360012054</v>
      </c>
      <c r="N60" s="166">
        <v>0.16910000145435333</v>
      </c>
      <c r="O60" s="166">
        <v>0.1956000030040741</v>
      </c>
      <c r="P60" s="166">
        <v>0.22699999809265137</v>
      </c>
      <c r="Q60" s="166">
        <v>0.26769998669624329</v>
      </c>
      <c r="R60" s="166">
        <v>0.3140999972820282</v>
      </c>
      <c r="S60" s="166">
        <v>0.36590000987052917</v>
      </c>
      <c r="T60" s="166">
        <v>0.41159999370574951</v>
      </c>
      <c r="U60" s="166">
        <v>0.44710001349449158</v>
      </c>
      <c r="V60" s="166">
        <f t="shared" si="0"/>
        <v>0.46930000185966492</v>
      </c>
      <c r="W60" s="166">
        <v>0.49149999022483826</v>
      </c>
      <c r="X60" s="166">
        <v>0.50099998712539673</v>
      </c>
      <c r="Y60" s="166">
        <v>0.50639998912811279</v>
      </c>
      <c r="Z60" s="166">
        <v>0.50819998979568481</v>
      </c>
      <c r="AA60" s="166">
        <v>0.51020002365112305</v>
      </c>
      <c r="AB60" s="166">
        <v>0.51279997825622559</v>
      </c>
      <c r="AC60" s="166">
        <v>0.51929998397827148</v>
      </c>
      <c r="AD60" s="166">
        <v>0.52420002222061157</v>
      </c>
      <c r="AE60" s="166">
        <v>0.5350000262260437</v>
      </c>
      <c r="AF60" s="166">
        <v>0.54610002040863037</v>
      </c>
      <c r="AG60" s="164"/>
      <c r="AH60" s="164"/>
      <c r="AI60" s="164"/>
      <c r="AJ60" s="164"/>
      <c r="AK60" s="164"/>
      <c r="AL60" s="164"/>
      <c r="AM60" s="164"/>
      <c r="AN60" s="164"/>
      <c r="AO60" s="164"/>
      <c r="AP60" s="164"/>
      <c r="AQ60" s="164"/>
      <c r="AR60" s="164"/>
      <c r="AS60" s="164"/>
      <c r="AT60" s="164"/>
      <c r="AU60" s="164"/>
      <c r="AV60" s="164"/>
      <c r="AW60" s="164"/>
      <c r="AX60" s="164"/>
      <c r="AY60" s="164"/>
      <c r="AZ60" s="164"/>
      <c r="BA60" s="164"/>
      <c r="BB60" s="164"/>
      <c r="BC60" s="164"/>
      <c r="BD60" s="164"/>
      <c r="BE60" s="164"/>
      <c r="BF60" s="164"/>
      <c r="BG60" s="164"/>
      <c r="BH60" s="164"/>
      <c r="BI60" s="164"/>
      <c r="BJ60" s="164"/>
      <c r="BK60" s="164"/>
    </row>
    <row r="61" spans="1:63" x14ac:dyDescent="0.2">
      <c r="A61" s="135" t="s">
        <v>64</v>
      </c>
      <c r="B61" s="166">
        <v>0.10890000313520432</v>
      </c>
      <c r="C61" s="166">
        <v>0.10890000313520432</v>
      </c>
      <c r="D61" s="166">
        <v>0.10899999737739563</v>
      </c>
      <c r="E61" s="166">
        <v>0.10949999839067459</v>
      </c>
      <c r="F61" s="166">
        <v>0.10999999940395355</v>
      </c>
      <c r="G61" s="166">
        <v>0.11100000143051147</v>
      </c>
      <c r="H61" s="166">
        <v>0.11270000040531158</v>
      </c>
      <c r="I61" s="166">
        <v>0.11569999903440475</v>
      </c>
      <c r="J61" s="166">
        <v>0.12060000002384186</v>
      </c>
      <c r="K61" s="166">
        <v>0.12829999625682831</v>
      </c>
      <c r="L61" s="166">
        <v>0.1421000063419342</v>
      </c>
      <c r="M61" s="166">
        <v>0.16189999878406525</v>
      </c>
      <c r="N61" s="166">
        <v>0.18790000677108765</v>
      </c>
      <c r="O61" s="166">
        <v>0.2223999947309494</v>
      </c>
      <c r="P61" s="166">
        <v>0.26679998636245728</v>
      </c>
      <c r="Q61" s="166">
        <v>0.31540000438690186</v>
      </c>
      <c r="R61" s="166">
        <v>0.36259999871253967</v>
      </c>
      <c r="S61" s="166">
        <v>0.40900000929832458</v>
      </c>
      <c r="T61" s="166">
        <v>0.44789999723434448</v>
      </c>
      <c r="U61" s="166">
        <v>0.47879999876022339</v>
      </c>
      <c r="V61" s="166">
        <f t="shared" si="0"/>
        <v>0.48710000514984131</v>
      </c>
      <c r="W61" s="166">
        <v>0.49540001153945923</v>
      </c>
      <c r="X61" s="166">
        <v>0.50300002098083496</v>
      </c>
      <c r="Y61" s="166">
        <v>0.49810001254081726</v>
      </c>
      <c r="Z61" s="166">
        <v>0.49279999732971191</v>
      </c>
      <c r="AA61" s="166">
        <v>0.49129998683929443</v>
      </c>
      <c r="AB61" s="166">
        <v>0.49149999022483826</v>
      </c>
      <c r="AC61" s="166">
        <v>0.49579998850822449</v>
      </c>
      <c r="AD61" s="166">
        <v>0.50050002336502075</v>
      </c>
      <c r="AE61" s="166">
        <v>0.51080000400543213</v>
      </c>
      <c r="AF61" s="166">
        <v>0.51649999618530273</v>
      </c>
      <c r="AG61" s="164"/>
      <c r="AH61" s="164"/>
      <c r="AI61" s="164"/>
      <c r="AJ61" s="164"/>
      <c r="AK61" s="164"/>
      <c r="AL61" s="164"/>
      <c r="AM61" s="164"/>
      <c r="AN61" s="164"/>
      <c r="AO61" s="164"/>
      <c r="AP61" s="164"/>
      <c r="AQ61" s="164"/>
      <c r="AR61" s="164"/>
      <c r="AS61" s="164"/>
      <c r="AT61" s="164"/>
      <c r="AU61" s="164"/>
      <c r="AV61" s="164"/>
      <c r="AW61" s="164"/>
      <c r="AX61" s="164"/>
      <c r="AY61" s="164"/>
      <c r="AZ61" s="164"/>
      <c r="BA61" s="164"/>
      <c r="BB61" s="164"/>
      <c r="BC61" s="164"/>
      <c r="BD61" s="164"/>
      <c r="BE61" s="164"/>
      <c r="BF61" s="164"/>
      <c r="BG61" s="164"/>
      <c r="BH61" s="164"/>
      <c r="BI61" s="164"/>
      <c r="BJ61" s="164"/>
      <c r="BK61" s="164"/>
    </row>
    <row r="62" spans="1:63" x14ac:dyDescent="0.2">
      <c r="A62" s="135" t="s">
        <v>65</v>
      </c>
      <c r="B62" s="166">
        <v>0.10649999976158142</v>
      </c>
      <c r="C62" s="166">
        <v>0.10610000044107437</v>
      </c>
      <c r="D62" s="166">
        <v>0.10599999874830246</v>
      </c>
      <c r="E62" s="166">
        <v>0.10610000044107437</v>
      </c>
      <c r="F62" s="166">
        <v>0.10589999705553055</v>
      </c>
      <c r="G62" s="166">
        <v>0.10580000281333923</v>
      </c>
      <c r="H62" s="166">
        <v>0.10570000112056732</v>
      </c>
      <c r="I62" s="166">
        <v>0.10559999942779541</v>
      </c>
      <c r="J62" s="166">
        <v>0.1054999977350235</v>
      </c>
      <c r="K62" s="166">
        <v>0.1054999977350235</v>
      </c>
      <c r="L62" s="166">
        <v>0.1054999977350235</v>
      </c>
      <c r="M62" s="166">
        <v>0.10540000349283218</v>
      </c>
      <c r="N62" s="166">
        <v>0.10540000349283218</v>
      </c>
      <c r="O62" s="166">
        <v>0.10530000180006027</v>
      </c>
      <c r="P62" s="166">
        <v>0.10499999672174454</v>
      </c>
      <c r="Q62" s="166">
        <v>0.10499999672174454</v>
      </c>
      <c r="R62" s="166">
        <v>0.10499999672174454</v>
      </c>
      <c r="S62" s="166">
        <v>0.10490000247955322</v>
      </c>
      <c r="T62" s="166">
        <v>0.10490000247955322</v>
      </c>
      <c r="U62" s="166">
        <v>0.10490000247955322</v>
      </c>
      <c r="V62" s="166">
        <f t="shared" si="0"/>
        <v>0.10485000163316727</v>
      </c>
      <c r="W62" s="166">
        <v>0.10480000078678131</v>
      </c>
      <c r="X62" s="166">
        <v>0.10480000078678131</v>
      </c>
      <c r="Y62" s="166">
        <v>0.1046999990940094</v>
      </c>
      <c r="Z62" s="166">
        <v>0.10450000315904617</v>
      </c>
      <c r="AA62" s="166">
        <v>0.10450000315904617</v>
      </c>
      <c r="AB62" s="166">
        <v>0.10450000315904617</v>
      </c>
      <c r="AC62" s="166">
        <v>0.10440000146627426</v>
      </c>
      <c r="AD62" s="166">
        <v>0.10440000146627426</v>
      </c>
      <c r="AE62" s="166">
        <v>0.10440000146627426</v>
      </c>
      <c r="AF62" s="166">
        <v>0.10429999977350235</v>
      </c>
      <c r="AG62" s="164"/>
      <c r="AH62" s="164"/>
      <c r="AI62" s="164"/>
      <c r="AJ62" s="164"/>
      <c r="AK62" s="164"/>
      <c r="AL62" s="164"/>
      <c r="AM62" s="164"/>
      <c r="AN62" s="164"/>
      <c r="AO62" s="164"/>
      <c r="AP62" s="164"/>
      <c r="AQ62" s="164"/>
      <c r="AR62" s="164"/>
      <c r="AS62" s="164"/>
      <c r="AT62" s="164"/>
      <c r="AU62" s="164"/>
      <c r="AV62" s="164"/>
      <c r="AW62" s="164"/>
      <c r="AX62" s="164"/>
      <c r="AY62" s="164"/>
      <c r="AZ62" s="164"/>
      <c r="BA62" s="164"/>
      <c r="BB62" s="164"/>
      <c r="BC62" s="164"/>
      <c r="BD62" s="164"/>
      <c r="BE62" s="164"/>
      <c r="BF62" s="164"/>
      <c r="BG62" s="164"/>
      <c r="BH62" s="164"/>
      <c r="BI62" s="164"/>
      <c r="BJ62" s="164"/>
      <c r="BK62" s="164"/>
    </row>
    <row r="63" spans="1:63" x14ac:dyDescent="0.2">
      <c r="A63" s="135" t="s">
        <v>66</v>
      </c>
      <c r="B63" s="166">
        <v>0.10710000246763229</v>
      </c>
      <c r="C63" s="166">
        <v>0.10689999908208847</v>
      </c>
      <c r="D63" s="166">
        <v>0.10679999738931656</v>
      </c>
      <c r="E63" s="166">
        <v>0.10679999738931656</v>
      </c>
      <c r="F63" s="166">
        <v>0.10689999908208847</v>
      </c>
      <c r="G63" s="166">
        <v>0.10670000314712524</v>
      </c>
      <c r="H63" s="166">
        <v>0.10670000314712524</v>
      </c>
      <c r="I63" s="166">
        <v>0.10649999976158142</v>
      </c>
      <c r="J63" s="166">
        <v>0.10649999976158142</v>
      </c>
      <c r="K63" s="166">
        <v>0.10639999806880951</v>
      </c>
      <c r="L63" s="166">
        <v>0.10649999976158142</v>
      </c>
      <c r="M63" s="166">
        <v>0.10639999806880951</v>
      </c>
      <c r="N63" s="166">
        <v>0.1062999963760376</v>
      </c>
      <c r="O63" s="166">
        <v>0.10620000213384628</v>
      </c>
      <c r="P63" s="166">
        <v>0.10610000044107437</v>
      </c>
      <c r="Q63" s="166">
        <v>0.10599999874830246</v>
      </c>
      <c r="R63" s="166">
        <v>0.10599999874830246</v>
      </c>
      <c r="S63" s="166">
        <v>0.10610000044107437</v>
      </c>
      <c r="T63" s="166">
        <v>0.10610000044107437</v>
      </c>
      <c r="U63" s="166">
        <v>0.10610000044107437</v>
      </c>
      <c r="V63" s="166">
        <f t="shared" si="0"/>
        <v>0.10610000044107437</v>
      </c>
      <c r="W63" s="166">
        <v>0.10610000044107437</v>
      </c>
      <c r="X63" s="166">
        <v>0.10599999874830246</v>
      </c>
      <c r="Y63" s="166">
        <v>0.10589999705553055</v>
      </c>
      <c r="Z63" s="166">
        <v>0.10580000281333923</v>
      </c>
      <c r="AA63" s="166">
        <v>0.10589999705553055</v>
      </c>
      <c r="AB63" s="166">
        <v>0.10559999942779541</v>
      </c>
      <c r="AC63" s="166">
        <v>0.10559999942779541</v>
      </c>
      <c r="AD63" s="166">
        <v>0.10559999942779541</v>
      </c>
      <c r="AE63" s="166">
        <v>0.10559999942779541</v>
      </c>
      <c r="AF63" s="166">
        <v>0.10589999705553055</v>
      </c>
      <c r="AG63" s="164"/>
      <c r="AH63" s="164"/>
      <c r="AI63" s="164"/>
      <c r="AJ63" s="164"/>
      <c r="AK63" s="164"/>
      <c r="AL63" s="164"/>
      <c r="AM63" s="164"/>
      <c r="AN63" s="164"/>
      <c r="AO63" s="164"/>
      <c r="AP63" s="164"/>
      <c r="AQ63" s="164"/>
      <c r="AR63" s="164"/>
      <c r="AS63" s="164"/>
      <c r="AT63" s="164"/>
      <c r="AU63" s="164"/>
      <c r="AV63" s="164"/>
      <c r="AW63" s="164"/>
      <c r="AX63" s="164"/>
      <c r="AY63" s="164"/>
      <c r="AZ63" s="164"/>
      <c r="BA63" s="164"/>
      <c r="BB63" s="164"/>
      <c r="BC63" s="164"/>
      <c r="BD63" s="164"/>
      <c r="BE63" s="164"/>
      <c r="BF63" s="164"/>
      <c r="BG63" s="164"/>
      <c r="BH63" s="164"/>
      <c r="BI63" s="164"/>
      <c r="BJ63" s="164"/>
      <c r="BK63" s="164"/>
    </row>
    <row r="64" spans="1:63" x14ac:dyDescent="0.2">
      <c r="A64" s="135" t="s">
        <v>67</v>
      </c>
      <c r="B64" s="166">
        <v>0.10540000349283218</v>
      </c>
      <c r="C64" s="166">
        <v>0.10530000180006027</v>
      </c>
      <c r="D64" s="166">
        <v>0.10540000349283218</v>
      </c>
      <c r="E64" s="166">
        <v>0.10589999705553055</v>
      </c>
      <c r="F64" s="166">
        <v>0.10620000213384628</v>
      </c>
      <c r="G64" s="166">
        <v>0.10719999670982361</v>
      </c>
      <c r="H64" s="166">
        <v>0.10809999704360962</v>
      </c>
      <c r="I64" s="166">
        <v>0.11020000278949738</v>
      </c>
      <c r="J64" s="166">
        <v>0.11379999667406082</v>
      </c>
      <c r="K64" s="166">
        <v>0.11980000138282776</v>
      </c>
      <c r="L64" s="166">
        <v>0.12970000505447388</v>
      </c>
      <c r="M64" s="166">
        <v>0.14390000700950623</v>
      </c>
      <c r="N64" s="166">
        <v>0.16380000114440918</v>
      </c>
      <c r="O64" s="166">
        <v>0.18919999897480011</v>
      </c>
      <c r="P64" s="166">
        <v>0.22010000050067902</v>
      </c>
      <c r="Q64" s="166">
        <v>0.2565000057220459</v>
      </c>
      <c r="R64" s="166">
        <v>0.29929998517036438</v>
      </c>
      <c r="S64" s="166">
        <v>0.34509998559951782</v>
      </c>
      <c r="T64" s="166">
        <v>0.38710001111030579</v>
      </c>
      <c r="U64" s="166">
        <v>0.42329999804496765</v>
      </c>
      <c r="V64" s="166">
        <f t="shared" si="0"/>
        <v>0.43915000557899475</v>
      </c>
      <c r="W64" s="166">
        <v>0.45500001311302185</v>
      </c>
      <c r="X64" s="166">
        <v>0.4627000093460083</v>
      </c>
      <c r="Y64" s="166">
        <v>0.46639999747276306</v>
      </c>
      <c r="Z64" s="166">
        <v>0.46729999780654907</v>
      </c>
      <c r="AA64" s="166">
        <v>0.47110000252723694</v>
      </c>
      <c r="AB64" s="166">
        <v>0.47519999742507935</v>
      </c>
      <c r="AC64" s="166">
        <v>0.48059999942779541</v>
      </c>
      <c r="AD64" s="166">
        <v>0.48910000920295715</v>
      </c>
      <c r="AE64" s="166">
        <v>0.50129997730255127</v>
      </c>
      <c r="AF64" s="166">
        <v>0.51590001583099365</v>
      </c>
      <c r="AG64" s="164"/>
      <c r="AH64" s="164"/>
      <c r="AI64" s="164"/>
      <c r="AJ64" s="164"/>
      <c r="AK64" s="164"/>
      <c r="AL64" s="164"/>
      <c r="AM64" s="164"/>
      <c r="AN64" s="164"/>
      <c r="AO64" s="164"/>
      <c r="AP64" s="164"/>
      <c r="AQ64" s="164"/>
      <c r="AR64" s="164"/>
      <c r="AS64" s="164"/>
      <c r="AT64" s="164"/>
      <c r="AU64" s="164"/>
      <c r="AV64" s="164"/>
      <c r="AW64" s="164"/>
      <c r="AX64" s="164"/>
      <c r="AY64" s="164"/>
      <c r="AZ64" s="164"/>
      <c r="BA64" s="164"/>
      <c r="BB64" s="164"/>
      <c r="BC64" s="164"/>
      <c r="BD64" s="164"/>
      <c r="BE64" s="164"/>
      <c r="BF64" s="164"/>
      <c r="BG64" s="164"/>
      <c r="BH64" s="164"/>
      <c r="BI64" s="164"/>
      <c r="BJ64" s="164"/>
      <c r="BK64" s="164"/>
    </row>
    <row r="65" spans="1:63" x14ac:dyDescent="0.2">
      <c r="A65" s="135" t="s">
        <v>68</v>
      </c>
      <c r="B65" s="166">
        <v>0.10570000112056732</v>
      </c>
      <c r="C65" s="166">
        <v>0.10570000112056732</v>
      </c>
      <c r="D65" s="166">
        <v>0.10589999705553055</v>
      </c>
      <c r="E65" s="166">
        <v>0.10649999976158142</v>
      </c>
      <c r="F65" s="166">
        <v>0.10689999908208847</v>
      </c>
      <c r="G65" s="166">
        <v>0.1080000028014183</v>
      </c>
      <c r="H65" s="166">
        <v>0.10980000346899033</v>
      </c>
      <c r="I65" s="166">
        <v>0.11309999972581863</v>
      </c>
      <c r="J65" s="166">
        <v>0.11800000071525574</v>
      </c>
      <c r="K65" s="166">
        <v>0.12630000710487366</v>
      </c>
      <c r="L65" s="166">
        <v>0.13920000195503235</v>
      </c>
      <c r="M65" s="166">
        <v>0.15700000524520874</v>
      </c>
      <c r="N65" s="166">
        <v>0.18150000274181366</v>
      </c>
      <c r="O65" s="166">
        <v>0.21029999852180481</v>
      </c>
      <c r="P65" s="166">
        <v>0.24510000646114349</v>
      </c>
      <c r="Q65" s="166">
        <v>0.28549998998641968</v>
      </c>
      <c r="R65" s="166">
        <v>0.33079999685287476</v>
      </c>
      <c r="S65" s="166">
        <v>0.37509998679161072</v>
      </c>
      <c r="T65" s="166">
        <v>0.41130000352859497</v>
      </c>
      <c r="U65" s="166">
        <v>0.44330000877380371</v>
      </c>
      <c r="V65" s="166">
        <f t="shared" si="0"/>
        <v>0.4513000100851059</v>
      </c>
      <c r="W65" s="166">
        <v>0.45930001139640808</v>
      </c>
      <c r="X65" s="166">
        <v>0.46369999647140503</v>
      </c>
      <c r="Y65" s="166">
        <v>0.46380001306533813</v>
      </c>
      <c r="Z65" s="166">
        <v>0.46689999103546143</v>
      </c>
      <c r="AA65" s="166">
        <v>0.4699999988079071</v>
      </c>
      <c r="AB65" s="166">
        <v>0.47510001063346863</v>
      </c>
      <c r="AC65" s="166">
        <v>0.48330000042915344</v>
      </c>
      <c r="AD65" s="166">
        <v>0.49360001087188721</v>
      </c>
      <c r="AE65" s="166">
        <v>0.50709998607635498</v>
      </c>
      <c r="AF65" s="166">
        <v>0.5218999981880188</v>
      </c>
      <c r="AG65" s="164"/>
      <c r="AH65" s="164"/>
      <c r="AI65" s="164"/>
      <c r="AJ65" s="164"/>
      <c r="AK65" s="164"/>
      <c r="AL65" s="164"/>
      <c r="AM65" s="164"/>
      <c r="AN65" s="164"/>
      <c r="AO65" s="164"/>
      <c r="AP65" s="164"/>
      <c r="AQ65" s="164"/>
      <c r="AR65" s="164"/>
      <c r="AS65" s="164"/>
      <c r="AT65" s="164"/>
      <c r="AU65" s="164"/>
      <c r="AV65" s="164"/>
      <c r="AW65" s="164"/>
      <c r="AX65" s="164"/>
      <c r="AY65" s="164"/>
      <c r="AZ65" s="164"/>
      <c r="BA65" s="164"/>
      <c r="BB65" s="164"/>
      <c r="BC65" s="164"/>
      <c r="BD65" s="164"/>
      <c r="BE65" s="164"/>
      <c r="BF65" s="164"/>
      <c r="BG65" s="164"/>
      <c r="BH65" s="164"/>
      <c r="BI65" s="164"/>
      <c r="BJ65" s="164"/>
      <c r="BK65" s="164"/>
    </row>
    <row r="66" spans="1:63" x14ac:dyDescent="0.2">
      <c r="A66" s="135" t="s">
        <v>69</v>
      </c>
      <c r="B66" s="166">
        <v>0.10570000112056732</v>
      </c>
      <c r="C66" s="166">
        <v>0.10570000112056732</v>
      </c>
      <c r="D66" s="166">
        <v>0.10599999874830246</v>
      </c>
      <c r="E66" s="166">
        <v>0.10649999976158142</v>
      </c>
      <c r="F66" s="166">
        <v>0.10710000246763229</v>
      </c>
      <c r="G66" s="166">
        <v>0.10859999805688858</v>
      </c>
      <c r="H66" s="166">
        <v>0.11060000211000443</v>
      </c>
      <c r="I66" s="166">
        <v>0.11429999768733978</v>
      </c>
      <c r="J66" s="166">
        <v>0.12060000002384186</v>
      </c>
      <c r="K66" s="166">
        <v>0.13079999387264252</v>
      </c>
      <c r="L66" s="166">
        <v>0.14560000598430634</v>
      </c>
      <c r="M66" s="166">
        <v>0.1664000004529953</v>
      </c>
      <c r="N66" s="166">
        <v>0.1932000070810318</v>
      </c>
      <c r="O66" s="166">
        <v>0.22499999403953552</v>
      </c>
      <c r="P66" s="166">
        <v>0.26240000128746033</v>
      </c>
      <c r="Q66" s="166">
        <v>0.30489999055862427</v>
      </c>
      <c r="R66" s="166">
        <v>0.35040000081062317</v>
      </c>
      <c r="S66" s="166">
        <v>0.39079999923706055</v>
      </c>
      <c r="T66" s="166">
        <v>0.42509999871253967</v>
      </c>
      <c r="U66" s="166">
        <v>0.45239999890327454</v>
      </c>
      <c r="V66" s="166">
        <f t="shared" si="0"/>
        <v>0.45759999752044678</v>
      </c>
      <c r="W66" s="166">
        <v>0.46279999613761902</v>
      </c>
      <c r="X66" s="166">
        <v>0.46549999713897705</v>
      </c>
      <c r="Y66" s="166">
        <v>0.46570000052452087</v>
      </c>
      <c r="Z66" s="166">
        <v>0.46799999475479126</v>
      </c>
      <c r="AA66" s="166">
        <v>0.47249999642372131</v>
      </c>
      <c r="AB66" s="166">
        <v>0.47679999470710754</v>
      </c>
      <c r="AC66" s="166">
        <v>0.48489999771118164</v>
      </c>
      <c r="AD66" s="166">
        <v>0.49590000510215759</v>
      </c>
      <c r="AE66" s="166">
        <v>0.51080000400543213</v>
      </c>
      <c r="AF66" s="166">
        <v>0.52289998531341553</v>
      </c>
      <c r="AG66" s="164"/>
      <c r="AH66" s="164"/>
      <c r="AI66" s="164"/>
      <c r="AJ66" s="164"/>
      <c r="AK66" s="164"/>
      <c r="AL66" s="164"/>
      <c r="AM66" s="164"/>
      <c r="AN66" s="164"/>
      <c r="AO66" s="164"/>
      <c r="AP66" s="164"/>
      <c r="AQ66" s="164"/>
      <c r="AR66" s="164"/>
      <c r="AS66" s="164"/>
      <c r="AT66" s="164"/>
      <c r="AU66" s="164"/>
      <c r="AV66" s="164"/>
      <c r="AW66" s="164"/>
      <c r="AX66" s="164"/>
      <c r="AY66" s="164"/>
      <c r="AZ66" s="164"/>
      <c r="BA66" s="164"/>
      <c r="BB66" s="164"/>
      <c r="BC66" s="164"/>
      <c r="BD66" s="164"/>
      <c r="BE66" s="164"/>
      <c r="BF66" s="164"/>
      <c r="BG66" s="164"/>
      <c r="BH66" s="164"/>
      <c r="BI66" s="164"/>
      <c r="BJ66" s="164"/>
      <c r="BK66" s="164"/>
    </row>
    <row r="67" spans="1:63" x14ac:dyDescent="0.2">
      <c r="A67" s="135" t="s">
        <v>70</v>
      </c>
      <c r="B67" s="166">
        <v>0.10580000281333923</v>
      </c>
      <c r="C67" s="166">
        <v>0.10580000281333923</v>
      </c>
      <c r="D67" s="166">
        <v>0.10599999874830246</v>
      </c>
      <c r="E67" s="166">
        <v>0.10689999908208847</v>
      </c>
      <c r="F67" s="166">
        <v>0.10719999670982361</v>
      </c>
      <c r="G67" s="166">
        <v>0.10849999636411667</v>
      </c>
      <c r="H67" s="166">
        <v>0.11060000211000443</v>
      </c>
      <c r="I67" s="166">
        <v>0.11429999768733978</v>
      </c>
      <c r="J67" s="166">
        <v>0.12049999833106995</v>
      </c>
      <c r="K67" s="166">
        <v>0.13030000030994415</v>
      </c>
      <c r="L67" s="166">
        <v>0.14519999921321869</v>
      </c>
      <c r="M67" s="166">
        <v>0.16609999537467957</v>
      </c>
      <c r="N67" s="166">
        <v>0.19280000030994415</v>
      </c>
      <c r="O67" s="166">
        <v>0.22499999403953552</v>
      </c>
      <c r="P67" s="166">
        <v>0.26260000467300415</v>
      </c>
      <c r="Q67" s="166">
        <v>0.30509999394416809</v>
      </c>
      <c r="R67" s="166">
        <v>0.351500004529953</v>
      </c>
      <c r="S67" s="166">
        <v>0.39190000295639038</v>
      </c>
      <c r="T67" s="166">
        <v>0.42590001225471497</v>
      </c>
      <c r="U67" s="166">
        <v>0.45429998636245728</v>
      </c>
      <c r="V67" s="166">
        <f t="shared" si="0"/>
        <v>0.45944999158382416</v>
      </c>
      <c r="W67" s="166">
        <v>0.46459999680519104</v>
      </c>
      <c r="X67" s="166">
        <v>0.46689999103546143</v>
      </c>
      <c r="Y67" s="166">
        <v>0.46740001440048218</v>
      </c>
      <c r="Z67" s="166">
        <v>0.46819999814033508</v>
      </c>
      <c r="AA67" s="166">
        <v>0.47220000624656677</v>
      </c>
      <c r="AB67" s="166">
        <v>0.47769999504089355</v>
      </c>
      <c r="AC67" s="166">
        <v>0.48530000448226929</v>
      </c>
      <c r="AD67" s="166">
        <v>0.49610000848770142</v>
      </c>
      <c r="AE67" s="166">
        <v>0.51050001382827759</v>
      </c>
      <c r="AF67" s="166">
        <v>0.52380001544952393</v>
      </c>
      <c r="AG67" s="164"/>
      <c r="AH67" s="164"/>
      <c r="AI67" s="164"/>
      <c r="AJ67" s="164"/>
      <c r="AK67" s="164"/>
      <c r="AL67" s="164"/>
      <c r="AM67" s="164"/>
      <c r="AN67" s="164"/>
      <c r="AO67" s="164"/>
      <c r="AP67" s="164"/>
      <c r="AQ67" s="164"/>
      <c r="AR67" s="164"/>
      <c r="AS67" s="164"/>
      <c r="AT67" s="164"/>
      <c r="AU67" s="164"/>
      <c r="AV67" s="164"/>
      <c r="AW67" s="164"/>
      <c r="AX67" s="164"/>
      <c r="AY67" s="164"/>
      <c r="AZ67" s="164"/>
      <c r="BA67" s="164"/>
      <c r="BB67" s="164"/>
      <c r="BC67" s="164"/>
      <c r="BD67" s="164"/>
      <c r="BE67" s="164"/>
      <c r="BF67" s="164"/>
      <c r="BG67" s="164"/>
      <c r="BH67" s="164"/>
      <c r="BI67" s="164"/>
      <c r="BJ67" s="164"/>
      <c r="BK67" s="164"/>
    </row>
    <row r="68" spans="1:63" x14ac:dyDescent="0.2">
      <c r="A68" s="135" t="s">
        <v>71</v>
      </c>
      <c r="B68" s="166">
        <v>0.1062999963760376</v>
      </c>
      <c r="C68" s="166">
        <v>0.1062999963760376</v>
      </c>
      <c r="D68" s="166">
        <v>0.10670000314712524</v>
      </c>
      <c r="E68" s="166">
        <v>0.10740000009536743</v>
      </c>
      <c r="F68" s="166">
        <v>0.10830000042915344</v>
      </c>
      <c r="G68" s="166">
        <v>0.10999999940395355</v>
      </c>
      <c r="H68" s="166">
        <v>0.1128000020980835</v>
      </c>
      <c r="I68" s="166">
        <v>0.1177000030875206</v>
      </c>
      <c r="J68" s="166">
        <v>0.12569999694824219</v>
      </c>
      <c r="K68" s="166">
        <v>0.13830000162124634</v>
      </c>
      <c r="L68" s="166">
        <v>0.15639999508857727</v>
      </c>
      <c r="M68" s="166">
        <v>0.1809999942779541</v>
      </c>
      <c r="N68" s="166">
        <v>0.21109999716281891</v>
      </c>
      <c r="O68" s="166">
        <v>0.24660000205039978</v>
      </c>
      <c r="P68" s="166">
        <v>0.28780001401901245</v>
      </c>
      <c r="Q68" s="166">
        <v>0.33300000429153442</v>
      </c>
      <c r="R68" s="166">
        <v>0.37700000405311584</v>
      </c>
      <c r="S68" s="166">
        <v>0.41110000014305115</v>
      </c>
      <c r="T68" s="166">
        <v>0.4424000084400177</v>
      </c>
      <c r="U68" s="166">
        <v>0.45329999923706055</v>
      </c>
      <c r="V68" s="166">
        <f t="shared" si="0"/>
        <v>0.4573500007390976</v>
      </c>
      <c r="W68" s="166">
        <v>0.46140000224113464</v>
      </c>
      <c r="X68" s="166">
        <v>0.46219998598098755</v>
      </c>
      <c r="Y68" s="166">
        <v>0.46309998631477356</v>
      </c>
      <c r="Z68" s="166">
        <v>0.46450001001358032</v>
      </c>
      <c r="AA68" s="166">
        <v>0.46930000185966492</v>
      </c>
      <c r="AB68" s="166">
        <v>0.47620001435279846</v>
      </c>
      <c r="AC68" s="166">
        <v>0.48649999499320984</v>
      </c>
      <c r="AD68" s="166">
        <v>0.49909999966621399</v>
      </c>
      <c r="AE68" s="166">
        <v>0.51399999856948853</v>
      </c>
      <c r="AF68" s="166">
        <v>0.52600002288818359</v>
      </c>
      <c r="AG68" s="164"/>
      <c r="AH68" s="164"/>
      <c r="AI68" s="164"/>
      <c r="AJ68" s="164"/>
      <c r="AK68" s="164"/>
      <c r="AL68" s="164"/>
      <c r="AM68" s="164"/>
      <c r="AN68" s="164"/>
      <c r="AO68" s="164"/>
      <c r="AP68" s="164"/>
      <c r="AQ68" s="164"/>
      <c r="AR68" s="164"/>
      <c r="AS68" s="164"/>
      <c r="AT68" s="164"/>
      <c r="AU68" s="164"/>
      <c r="AV68" s="164"/>
      <c r="AW68" s="164"/>
      <c r="AX68" s="164"/>
      <c r="AY68" s="164"/>
      <c r="AZ68" s="164"/>
      <c r="BA68" s="164"/>
      <c r="BB68" s="164"/>
      <c r="BC68" s="164"/>
      <c r="BD68" s="164"/>
      <c r="BE68" s="164"/>
      <c r="BF68" s="164"/>
      <c r="BG68" s="164"/>
      <c r="BH68" s="164"/>
      <c r="BI68" s="164"/>
      <c r="BJ68" s="164"/>
      <c r="BK68" s="164"/>
    </row>
    <row r="69" spans="1:63" x14ac:dyDescent="0.2">
      <c r="A69" s="135" t="s">
        <v>72</v>
      </c>
      <c r="B69" s="166">
        <v>0.10909999907016754</v>
      </c>
      <c r="C69" s="166">
        <v>0.10729999840259552</v>
      </c>
      <c r="D69" s="166">
        <v>0.10920000076293945</v>
      </c>
      <c r="E69" s="166">
        <v>0.10830000042915344</v>
      </c>
      <c r="F69" s="166">
        <v>0.10899999737739563</v>
      </c>
      <c r="G69" s="166">
        <v>0.11060000211000443</v>
      </c>
      <c r="H69" s="166">
        <v>0.11330000311136246</v>
      </c>
      <c r="I69" s="166">
        <v>0.11810000240802765</v>
      </c>
      <c r="J69" s="166">
        <v>0.12569999694824219</v>
      </c>
      <c r="K69" s="166">
        <v>0.14020000398159027</v>
      </c>
      <c r="L69" s="166">
        <v>0.15590000152587891</v>
      </c>
      <c r="M69" s="166">
        <v>0.18240000307559967</v>
      </c>
      <c r="N69" s="166">
        <v>0.21189999580383301</v>
      </c>
      <c r="O69" s="166">
        <v>0.2484000027179718</v>
      </c>
      <c r="P69" s="166">
        <v>0.2921999990940094</v>
      </c>
      <c r="Q69" s="166">
        <v>0.33590000867843628</v>
      </c>
      <c r="R69" s="166">
        <v>0.3815000057220459</v>
      </c>
      <c r="S69" s="166">
        <v>0.41819998621940613</v>
      </c>
      <c r="T69" s="166">
        <v>0.4505000114440918</v>
      </c>
      <c r="U69" s="166">
        <v>0.4643000066280365</v>
      </c>
      <c r="V69" s="166">
        <f t="shared" si="0"/>
        <v>0.46850000321865082</v>
      </c>
      <c r="W69" s="166">
        <v>0.47269999980926514</v>
      </c>
      <c r="X69" s="166">
        <v>0.47119998931884766</v>
      </c>
      <c r="Y69" s="166">
        <v>0.47290000319480896</v>
      </c>
      <c r="Z69" s="166">
        <v>0.47290000319480896</v>
      </c>
      <c r="AA69" s="166">
        <v>0.4763999879360199</v>
      </c>
      <c r="AB69" s="166">
        <v>0.4828999936580658</v>
      </c>
      <c r="AC69" s="166">
        <v>0.49340000748634338</v>
      </c>
      <c r="AD69" s="166">
        <v>0.50340002775192261</v>
      </c>
      <c r="AE69" s="166">
        <v>0.52130001783370972</v>
      </c>
      <c r="AF69" s="166">
        <v>0.52910000085830688</v>
      </c>
      <c r="AG69" s="164"/>
      <c r="AH69" s="164"/>
      <c r="AI69" s="164"/>
      <c r="AJ69" s="164"/>
      <c r="AK69" s="164"/>
      <c r="AL69" s="164"/>
      <c r="AM69" s="164"/>
      <c r="AN69" s="164"/>
      <c r="AO69" s="164"/>
      <c r="AP69" s="164"/>
      <c r="AQ69" s="164"/>
      <c r="AR69" s="164"/>
      <c r="AS69" s="164"/>
      <c r="AT69" s="164"/>
      <c r="AU69" s="164"/>
      <c r="AV69" s="164"/>
      <c r="AW69" s="164"/>
      <c r="AX69" s="164"/>
      <c r="AY69" s="164"/>
      <c r="AZ69" s="164"/>
      <c r="BA69" s="164"/>
      <c r="BB69" s="164"/>
      <c r="BC69" s="164"/>
      <c r="BD69" s="164"/>
      <c r="BE69" s="164"/>
      <c r="BF69" s="164"/>
      <c r="BG69" s="164"/>
      <c r="BH69" s="164"/>
      <c r="BI69" s="164"/>
      <c r="BJ69" s="164"/>
      <c r="BK69" s="164"/>
    </row>
    <row r="70" spans="1:63" x14ac:dyDescent="0.2">
      <c r="A70" s="135" t="s">
        <v>73</v>
      </c>
      <c r="B70" s="166">
        <v>0.10819999873638153</v>
      </c>
      <c r="C70" s="166">
        <v>0.1080000028014183</v>
      </c>
      <c r="D70" s="166">
        <v>0.10840000212192535</v>
      </c>
      <c r="E70" s="166">
        <v>0.10920000076293945</v>
      </c>
      <c r="F70" s="166">
        <v>0.10989999771118164</v>
      </c>
      <c r="G70" s="166">
        <v>0.11169999837875366</v>
      </c>
      <c r="H70" s="166">
        <v>0.11460000276565552</v>
      </c>
      <c r="I70" s="166">
        <v>0.11980000138282776</v>
      </c>
      <c r="J70" s="166">
        <v>0.12809999287128448</v>
      </c>
      <c r="K70" s="166">
        <v>0.14149999618530273</v>
      </c>
      <c r="L70" s="166">
        <v>0.16099999845027924</v>
      </c>
      <c r="M70" s="166">
        <v>0.18700000643730164</v>
      </c>
      <c r="N70" s="166">
        <v>0.21930000185966492</v>
      </c>
      <c r="O70" s="166">
        <v>0.25760000944137573</v>
      </c>
      <c r="P70" s="166">
        <v>0.30180001258850098</v>
      </c>
      <c r="Q70" s="166">
        <v>0.34760001301765442</v>
      </c>
      <c r="R70" s="166">
        <v>0.39230000972747803</v>
      </c>
      <c r="S70" s="166">
        <v>0.42539998888969421</v>
      </c>
      <c r="T70" s="166">
        <v>0.45590001344680786</v>
      </c>
      <c r="U70" s="166">
        <v>0.46389999985694885</v>
      </c>
      <c r="V70" s="166">
        <f t="shared" si="0"/>
        <v>0.46649999916553497</v>
      </c>
      <c r="W70" s="166">
        <v>0.46909999847412109</v>
      </c>
      <c r="X70" s="166">
        <v>0.47020000219345093</v>
      </c>
      <c r="Y70" s="166">
        <v>0.46939998865127563</v>
      </c>
      <c r="Z70" s="166">
        <v>0.47049999237060547</v>
      </c>
      <c r="AA70" s="166">
        <v>0.47409999370574951</v>
      </c>
      <c r="AB70" s="166">
        <v>0.47990000247955322</v>
      </c>
      <c r="AC70" s="166">
        <v>0.49219998717308044</v>
      </c>
      <c r="AD70" s="166">
        <v>0.50440001487731934</v>
      </c>
      <c r="AE70" s="166">
        <v>0.5187000036239624</v>
      </c>
      <c r="AF70" s="166">
        <v>0.52920001745223999</v>
      </c>
      <c r="AG70" s="164"/>
      <c r="AH70" s="164"/>
      <c r="AI70" s="164"/>
      <c r="AJ70" s="164"/>
      <c r="AK70" s="164"/>
      <c r="AL70" s="164"/>
      <c r="AM70" s="164"/>
      <c r="AN70" s="164"/>
      <c r="AO70" s="164"/>
      <c r="AP70" s="164"/>
      <c r="AQ70" s="164"/>
      <c r="AR70" s="164"/>
      <c r="AS70" s="164"/>
      <c r="AT70" s="164"/>
      <c r="AU70" s="164"/>
      <c r="AV70" s="164"/>
      <c r="AW70" s="164"/>
      <c r="AX70" s="164"/>
      <c r="AY70" s="164"/>
      <c r="AZ70" s="164"/>
      <c r="BA70" s="164"/>
      <c r="BB70" s="164"/>
      <c r="BC70" s="164"/>
      <c r="BD70" s="164"/>
      <c r="BE70" s="164"/>
      <c r="BF70" s="164"/>
      <c r="BG70" s="164"/>
      <c r="BH70" s="164"/>
      <c r="BI70" s="164"/>
      <c r="BJ70" s="164"/>
      <c r="BK70" s="164"/>
    </row>
    <row r="71" spans="1:63" x14ac:dyDescent="0.2">
      <c r="A71" s="135" t="s">
        <v>74</v>
      </c>
      <c r="B71" s="166">
        <v>0.10719999670982361</v>
      </c>
      <c r="C71" s="166">
        <v>0.10719999670982361</v>
      </c>
      <c r="D71" s="166">
        <v>0.10740000009536743</v>
      </c>
      <c r="E71" s="166">
        <v>0.10809999704360962</v>
      </c>
      <c r="F71" s="166">
        <v>0.10890000313520432</v>
      </c>
      <c r="G71" s="166">
        <v>0.11060000211000443</v>
      </c>
      <c r="H71" s="166">
        <v>0.11349999904632568</v>
      </c>
      <c r="I71" s="166">
        <v>0.11860000342130661</v>
      </c>
      <c r="J71" s="166">
        <v>0.12720000743865967</v>
      </c>
      <c r="K71" s="166">
        <v>0.14010000228881836</v>
      </c>
      <c r="L71" s="166">
        <v>0.15899999439716339</v>
      </c>
      <c r="M71" s="166">
        <v>0.18529999256134033</v>
      </c>
      <c r="N71" s="166">
        <v>0.21660000085830688</v>
      </c>
      <c r="O71" s="166">
        <v>0.25619998574256897</v>
      </c>
      <c r="P71" s="166">
        <v>0.30210000276565552</v>
      </c>
      <c r="Q71" s="166">
        <v>0.34860000014305115</v>
      </c>
      <c r="R71" s="166">
        <v>0.3919999897480011</v>
      </c>
      <c r="S71" s="166">
        <v>0.42579999566078186</v>
      </c>
      <c r="T71" s="166">
        <v>0.45519998669624329</v>
      </c>
      <c r="U71" s="166">
        <v>0.46329998970031738</v>
      </c>
      <c r="V71" s="166">
        <f t="shared" si="0"/>
        <v>0.46580000221729279</v>
      </c>
      <c r="W71" s="166">
        <v>0.46830001473426819</v>
      </c>
      <c r="X71" s="166">
        <v>0.46880000829696655</v>
      </c>
      <c r="Y71" s="166">
        <v>0.46849998831748962</v>
      </c>
      <c r="Z71" s="166">
        <v>0.46979999542236328</v>
      </c>
      <c r="AA71" s="166">
        <v>0.47409999370574951</v>
      </c>
      <c r="AB71" s="166">
        <v>0.48080000281333923</v>
      </c>
      <c r="AC71" s="166">
        <v>0.49099999666213989</v>
      </c>
      <c r="AD71" s="166">
        <v>0.50470000505447388</v>
      </c>
      <c r="AE71" s="166">
        <v>0.52009999752044678</v>
      </c>
      <c r="AF71" s="166">
        <v>0.52910000085830688</v>
      </c>
      <c r="AG71" s="164"/>
      <c r="AH71" s="164"/>
      <c r="AI71" s="164"/>
      <c r="AJ71" s="164"/>
      <c r="AK71" s="164"/>
      <c r="AL71" s="164"/>
      <c r="AM71" s="164"/>
      <c r="AN71" s="164"/>
      <c r="AO71" s="164"/>
      <c r="AP71" s="164"/>
      <c r="AQ71" s="164"/>
      <c r="AR71" s="164"/>
      <c r="AS71" s="164"/>
      <c r="AT71" s="164"/>
      <c r="AU71" s="164"/>
      <c r="AV71" s="164"/>
      <c r="AW71" s="164"/>
      <c r="AX71" s="164"/>
      <c r="AY71" s="164"/>
      <c r="AZ71" s="164"/>
      <c r="BA71" s="164"/>
      <c r="BB71" s="164"/>
      <c r="BC71" s="164"/>
      <c r="BD71" s="164"/>
      <c r="BE71" s="164"/>
      <c r="BF71" s="164"/>
      <c r="BG71" s="164"/>
      <c r="BH71" s="164"/>
      <c r="BI71" s="164"/>
      <c r="BJ71" s="164"/>
      <c r="BK71" s="164"/>
    </row>
    <row r="72" spans="1:63" x14ac:dyDescent="0.2">
      <c r="A72" s="135" t="s">
        <v>75</v>
      </c>
      <c r="B72" s="166">
        <v>0.10570000112056732</v>
      </c>
      <c r="C72" s="166">
        <v>0.1054999977350235</v>
      </c>
      <c r="D72" s="166">
        <v>0.10570000112056732</v>
      </c>
      <c r="E72" s="166">
        <v>0.10599999874830246</v>
      </c>
      <c r="F72" s="166">
        <v>0.10660000145435333</v>
      </c>
      <c r="G72" s="166">
        <v>0.10760000348091125</v>
      </c>
      <c r="H72" s="166">
        <v>0.10930000245571136</v>
      </c>
      <c r="I72" s="166">
        <v>0.11209999769926071</v>
      </c>
      <c r="J72" s="166">
        <v>0.11720000207424164</v>
      </c>
      <c r="K72" s="166">
        <v>0.12559999525547028</v>
      </c>
      <c r="L72" s="166">
        <v>0.13850000500679016</v>
      </c>
      <c r="M72" s="166">
        <v>0.15700000524520874</v>
      </c>
      <c r="N72" s="166">
        <v>0.1817999929189682</v>
      </c>
      <c r="O72" s="166">
        <v>0.2125999927520752</v>
      </c>
      <c r="P72" s="166">
        <v>0.25069999694824219</v>
      </c>
      <c r="Q72" s="166">
        <v>0.29660001397132874</v>
      </c>
      <c r="R72" s="166">
        <v>0.34310001134872437</v>
      </c>
      <c r="S72" s="166">
        <v>0.38989999890327454</v>
      </c>
      <c r="T72" s="166">
        <v>0.42329999804496765</v>
      </c>
      <c r="U72" s="166">
        <v>0.45269998908042908</v>
      </c>
      <c r="V72" s="166">
        <f t="shared" si="0"/>
        <v>0.4622499942779541</v>
      </c>
      <c r="W72" s="166">
        <v>0.47179999947547913</v>
      </c>
      <c r="X72" s="166">
        <v>0.47450000047683716</v>
      </c>
      <c r="Y72" s="166">
        <v>0.47389999032020569</v>
      </c>
      <c r="Z72" s="166">
        <v>0.47269999980926514</v>
      </c>
      <c r="AA72" s="166">
        <v>0.47569999098777771</v>
      </c>
      <c r="AB72" s="166">
        <v>0.47740000486373901</v>
      </c>
      <c r="AC72" s="166">
        <v>0.48330000042915344</v>
      </c>
      <c r="AD72" s="166">
        <v>0.49200001358985901</v>
      </c>
      <c r="AE72" s="166">
        <v>0.50629997253417969</v>
      </c>
      <c r="AF72" s="166">
        <v>0.51840001344680786</v>
      </c>
      <c r="AG72" s="164"/>
      <c r="AH72" s="164"/>
      <c r="AI72" s="164"/>
      <c r="AJ72" s="164"/>
      <c r="AK72" s="164"/>
      <c r="AL72" s="164"/>
      <c r="AM72" s="164"/>
      <c r="AN72" s="164"/>
      <c r="AO72" s="164"/>
      <c r="AP72" s="164"/>
      <c r="AQ72" s="164"/>
      <c r="AR72" s="164"/>
      <c r="AS72" s="164"/>
      <c r="AT72" s="164"/>
      <c r="AU72" s="164"/>
      <c r="AV72" s="164"/>
      <c r="AW72" s="164"/>
      <c r="AX72" s="164"/>
      <c r="AY72" s="164"/>
      <c r="AZ72" s="164"/>
      <c r="BA72" s="164"/>
      <c r="BB72" s="164"/>
      <c r="BC72" s="164"/>
      <c r="BD72" s="164"/>
      <c r="BE72" s="164"/>
      <c r="BF72" s="164"/>
      <c r="BG72" s="164"/>
      <c r="BH72" s="164"/>
      <c r="BI72" s="164"/>
      <c r="BJ72" s="164"/>
      <c r="BK72" s="164"/>
    </row>
    <row r="73" spans="1:63" x14ac:dyDescent="0.2">
      <c r="A73" s="135" t="s">
        <v>76</v>
      </c>
      <c r="B73" s="166">
        <v>0.10949999839067459</v>
      </c>
      <c r="C73" s="166">
        <v>0.10930000245571136</v>
      </c>
      <c r="D73" s="166">
        <v>0.10949999839067459</v>
      </c>
      <c r="E73" s="166">
        <v>0.10999999940395355</v>
      </c>
      <c r="F73" s="166">
        <v>0.11069999635219574</v>
      </c>
      <c r="G73" s="166">
        <v>0.11190000176429749</v>
      </c>
      <c r="H73" s="166">
        <v>0.11389999836683273</v>
      </c>
      <c r="I73" s="166">
        <v>0.11779999732971191</v>
      </c>
      <c r="J73" s="166">
        <v>0.1242000013589859</v>
      </c>
      <c r="K73" s="166">
        <v>0.13420000672340393</v>
      </c>
      <c r="L73" s="166">
        <v>0.14949999749660492</v>
      </c>
      <c r="M73" s="166">
        <v>0.17049999535083771</v>
      </c>
      <c r="N73" s="166">
        <v>0.19869999587535858</v>
      </c>
      <c r="O73" s="166">
        <v>0.23330000042915344</v>
      </c>
      <c r="P73" s="166">
        <v>0.2750999927520752</v>
      </c>
      <c r="Q73" s="166">
        <v>0.32249999046325684</v>
      </c>
      <c r="R73" s="166">
        <v>0.36959999799728394</v>
      </c>
      <c r="S73" s="166">
        <v>0.41659998893737793</v>
      </c>
      <c r="T73" s="166">
        <v>0.45179998874664307</v>
      </c>
      <c r="U73" s="166">
        <v>0.48230001330375671</v>
      </c>
      <c r="V73" s="166">
        <f t="shared" si="0"/>
        <v>0.4870000034570694</v>
      </c>
      <c r="W73" s="166">
        <v>0.49169999361038208</v>
      </c>
      <c r="X73" s="166">
        <v>0.49259999394416809</v>
      </c>
      <c r="Y73" s="166">
        <v>0.48629999160766602</v>
      </c>
      <c r="Z73" s="166">
        <v>0.48039999604225159</v>
      </c>
      <c r="AA73" s="166">
        <v>0.48010000586509705</v>
      </c>
      <c r="AB73" s="166">
        <v>0.48019999265670776</v>
      </c>
      <c r="AC73" s="166">
        <v>0.48199999332427979</v>
      </c>
      <c r="AD73" s="166">
        <v>0.4878000020980835</v>
      </c>
      <c r="AE73" s="166">
        <v>0.49959999322891235</v>
      </c>
      <c r="AF73" s="166">
        <v>0.50459998846054077</v>
      </c>
      <c r="AG73" s="164"/>
      <c r="AH73" s="164"/>
      <c r="AI73" s="164"/>
      <c r="AJ73" s="164"/>
      <c r="AK73" s="164"/>
      <c r="AL73" s="164"/>
      <c r="AM73" s="164"/>
      <c r="AN73" s="164"/>
      <c r="AO73" s="164"/>
      <c r="AP73" s="164"/>
      <c r="AQ73" s="164"/>
      <c r="AR73" s="164"/>
      <c r="AS73" s="164"/>
      <c r="AT73" s="164"/>
      <c r="AU73" s="164"/>
      <c r="AV73" s="164"/>
      <c r="AW73" s="164"/>
      <c r="AX73" s="164"/>
      <c r="AY73" s="164"/>
      <c r="AZ73" s="164"/>
      <c r="BA73" s="164"/>
      <c r="BB73" s="164"/>
      <c r="BC73" s="164"/>
      <c r="BD73" s="164"/>
      <c r="BE73" s="164"/>
      <c r="BF73" s="164"/>
      <c r="BG73" s="164"/>
      <c r="BH73" s="164"/>
      <c r="BI73" s="164"/>
      <c r="BJ73" s="164"/>
      <c r="BK73" s="164"/>
    </row>
    <row r="74" spans="1:63" x14ac:dyDescent="0.2">
      <c r="A74" s="135" t="s">
        <v>77</v>
      </c>
      <c r="B74" s="166">
        <v>0.10710000246763229</v>
      </c>
      <c r="C74" s="166">
        <v>0.10679999738931656</v>
      </c>
      <c r="D74" s="166">
        <v>0.10670000314712524</v>
      </c>
      <c r="E74" s="166">
        <v>0.10670000314712524</v>
      </c>
      <c r="F74" s="166">
        <v>0.10660000145435333</v>
      </c>
      <c r="G74" s="166">
        <v>0.10660000145435333</v>
      </c>
      <c r="H74" s="166">
        <v>0.10639999806880951</v>
      </c>
      <c r="I74" s="166">
        <v>0.1062999963760376</v>
      </c>
      <c r="J74" s="166">
        <v>0.10620000213384628</v>
      </c>
      <c r="K74" s="166">
        <v>0.10620000213384628</v>
      </c>
      <c r="L74" s="166">
        <v>0.10620000213384628</v>
      </c>
      <c r="M74" s="166">
        <v>0.10599999874830246</v>
      </c>
      <c r="N74" s="166">
        <v>0.10589999705553055</v>
      </c>
      <c r="O74" s="166">
        <v>0.10570000112056732</v>
      </c>
      <c r="P74" s="166">
        <v>0.1054999977350235</v>
      </c>
      <c r="Q74" s="166">
        <v>0.1054999977350235</v>
      </c>
      <c r="R74" s="166">
        <v>0.1054999977350235</v>
      </c>
      <c r="S74" s="166">
        <v>0.1054999977350235</v>
      </c>
      <c r="T74" s="166">
        <v>0.10559999942779541</v>
      </c>
      <c r="U74" s="166">
        <v>0.10570000112056732</v>
      </c>
      <c r="V74" s="166">
        <f t="shared" si="0"/>
        <v>0.10559999942779541</v>
      </c>
      <c r="W74" s="166">
        <v>0.1054999977350235</v>
      </c>
      <c r="X74" s="166">
        <v>0.10540000349283218</v>
      </c>
      <c r="Y74" s="166">
        <v>0.10520000010728836</v>
      </c>
      <c r="Z74" s="166">
        <v>0.10509999841451645</v>
      </c>
      <c r="AA74" s="166">
        <v>0.10490000247955322</v>
      </c>
      <c r="AB74" s="166">
        <v>0.10480000078678131</v>
      </c>
      <c r="AC74" s="166">
        <v>0.10480000078678131</v>
      </c>
      <c r="AD74" s="166">
        <v>0.10480000078678131</v>
      </c>
      <c r="AE74" s="166">
        <v>0.1046999990940094</v>
      </c>
      <c r="AF74" s="166">
        <v>0.10490000247955322</v>
      </c>
      <c r="AG74" s="164"/>
      <c r="AH74" s="164"/>
      <c r="AI74" s="164"/>
      <c r="AJ74" s="164"/>
      <c r="AK74" s="164"/>
      <c r="AL74" s="164"/>
      <c r="AM74" s="164"/>
      <c r="AN74" s="164"/>
      <c r="AO74" s="164"/>
      <c r="AP74" s="164"/>
      <c r="AQ74" s="164"/>
      <c r="AR74" s="164"/>
      <c r="AS74" s="164"/>
      <c r="AT74" s="164"/>
      <c r="AU74" s="164"/>
      <c r="AV74" s="164"/>
      <c r="AW74" s="164"/>
      <c r="AX74" s="164"/>
      <c r="AY74" s="164"/>
      <c r="AZ74" s="164"/>
      <c r="BA74" s="164"/>
      <c r="BB74" s="164"/>
      <c r="BC74" s="164"/>
      <c r="BD74" s="164"/>
      <c r="BE74" s="164"/>
      <c r="BF74" s="164"/>
      <c r="BG74" s="164"/>
      <c r="BH74" s="164"/>
      <c r="BI74" s="164"/>
      <c r="BJ74" s="164"/>
      <c r="BK74" s="164"/>
    </row>
    <row r="75" spans="1:63" x14ac:dyDescent="0.2">
      <c r="A75" s="135" t="s">
        <v>78</v>
      </c>
      <c r="B75" s="166">
        <v>0.10719999670982361</v>
      </c>
      <c r="C75" s="166">
        <v>0.10719999670982361</v>
      </c>
      <c r="D75" s="166">
        <v>0.10719999670982361</v>
      </c>
      <c r="E75" s="166">
        <v>0.10729999840259552</v>
      </c>
      <c r="F75" s="166">
        <v>0.10729999840259552</v>
      </c>
      <c r="G75" s="166">
        <v>0.10740000009536743</v>
      </c>
      <c r="H75" s="166">
        <v>0.10729999840259552</v>
      </c>
      <c r="I75" s="166">
        <v>0.10729999840259552</v>
      </c>
      <c r="J75" s="166">
        <v>0.10719999670982361</v>
      </c>
      <c r="K75" s="166">
        <v>0.10719999670982361</v>
      </c>
      <c r="L75" s="166">
        <v>0.10719999670982361</v>
      </c>
      <c r="M75" s="166">
        <v>0.10729999840259552</v>
      </c>
      <c r="N75" s="166">
        <v>0.10689999908208847</v>
      </c>
      <c r="O75" s="166">
        <v>0.10679999738931656</v>
      </c>
      <c r="P75" s="166">
        <v>0.10660000145435333</v>
      </c>
      <c r="Q75" s="166">
        <v>0.10660000145435333</v>
      </c>
      <c r="R75" s="166">
        <v>0.10660000145435333</v>
      </c>
      <c r="S75" s="166">
        <v>0.10670000314712524</v>
      </c>
      <c r="T75" s="166">
        <v>0.10679999738931656</v>
      </c>
      <c r="U75" s="166">
        <v>0.10689999908208847</v>
      </c>
      <c r="V75" s="166">
        <f t="shared" si="0"/>
        <v>0.10684999823570251</v>
      </c>
      <c r="W75" s="166">
        <v>0.10679999738931656</v>
      </c>
      <c r="X75" s="166">
        <v>0.10679999738931656</v>
      </c>
      <c r="Y75" s="166">
        <v>0.10649999976158142</v>
      </c>
      <c r="Z75" s="166">
        <v>0.1062999963760376</v>
      </c>
      <c r="AA75" s="166">
        <v>0.10620000213384628</v>
      </c>
      <c r="AB75" s="166">
        <v>0.10610000044107437</v>
      </c>
      <c r="AC75" s="166">
        <v>0.10610000044107437</v>
      </c>
      <c r="AD75" s="166">
        <v>0.10610000044107437</v>
      </c>
      <c r="AE75" s="166">
        <v>0.10610000044107437</v>
      </c>
      <c r="AF75" s="166">
        <v>0.10620000213384628</v>
      </c>
      <c r="AG75" s="164"/>
      <c r="AH75" s="164"/>
      <c r="AI75" s="164"/>
      <c r="AJ75" s="164"/>
      <c r="AK75" s="164"/>
      <c r="AL75" s="164"/>
      <c r="AM75" s="164"/>
      <c r="AN75" s="164"/>
      <c r="AO75" s="164"/>
      <c r="AP75" s="164"/>
      <c r="AQ75" s="164"/>
      <c r="AR75" s="164"/>
      <c r="AS75" s="164"/>
      <c r="AT75" s="164"/>
      <c r="AU75" s="164"/>
      <c r="AV75" s="164"/>
      <c r="AW75" s="164"/>
      <c r="AX75" s="164"/>
      <c r="AY75" s="164"/>
      <c r="AZ75" s="164"/>
      <c r="BA75" s="164"/>
      <c r="BB75" s="164"/>
      <c r="BC75" s="164"/>
      <c r="BD75" s="164"/>
      <c r="BE75" s="164"/>
      <c r="BF75" s="164"/>
      <c r="BG75" s="164"/>
      <c r="BH75" s="164"/>
      <c r="BI75" s="164"/>
      <c r="BJ75" s="164"/>
      <c r="BK75" s="164"/>
    </row>
    <row r="76" spans="1:63" x14ac:dyDescent="0.2">
      <c r="A76" s="135" t="s">
        <v>79</v>
      </c>
      <c r="B76" s="166">
        <v>0.10740000009536743</v>
      </c>
      <c r="C76" s="166">
        <v>0.10750000178813934</v>
      </c>
      <c r="D76" s="166">
        <v>0.10779999941587448</v>
      </c>
      <c r="E76" s="166">
        <v>0.10849999636411667</v>
      </c>
      <c r="F76" s="166">
        <v>0.10930000245571136</v>
      </c>
      <c r="G76" s="166">
        <v>0.11069999635219574</v>
      </c>
      <c r="H76" s="166">
        <v>0.11320000141859055</v>
      </c>
      <c r="I76" s="166">
        <v>0.11749999970197678</v>
      </c>
      <c r="J76" s="166">
        <v>0.1242000013589859</v>
      </c>
      <c r="K76" s="166">
        <v>0.13539999723434448</v>
      </c>
      <c r="L76" s="166">
        <v>0.15129999816417694</v>
      </c>
      <c r="M76" s="166">
        <v>0.17280000448226929</v>
      </c>
      <c r="N76" s="166">
        <v>0.20029999315738678</v>
      </c>
      <c r="O76" s="166">
        <v>0.23319999873638153</v>
      </c>
      <c r="P76" s="166">
        <v>0.27129998803138733</v>
      </c>
      <c r="Q76" s="166">
        <v>0.31540000438690186</v>
      </c>
      <c r="R76" s="166">
        <v>0.36079999804496765</v>
      </c>
      <c r="S76" s="166">
        <v>0.40049999952316284</v>
      </c>
      <c r="T76" s="166">
        <v>0.4359000027179718</v>
      </c>
      <c r="U76" s="166">
        <v>0.45390000939369202</v>
      </c>
      <c r="V76" s="166">
        <f t="shared" si="0"/>
        <v>0.46090000867843628</v>
      </c>
      <c r="W76" s="166">
        <v>0.46790000796318054</v>
      </c>
      <c r="X76" s="166">
        <v>0.46939998865127563</v>
      </c>
      <c r="Y76" s="166">
        <v>0.47189998626708984</v>
      </c>
      <c r="Z76" s="166">
        <v>0.47540000081062317</v>
      </c>
      <c r="AA76" s="166">
        <v>0.48219999670982361</v>
      </c>
      <c r="AB76" s="166">
        <v>0.48879998922348022</v>
      </c>
      <c r="AC76" s="166">
        <v>0.49930000305175781</v>
      </c>
      <c r="AD76" s="166">
        <v>0.51319998502731323</v>
      </c>
      <c r="AE76" s="166">
        <v>0.52740001678466797</v>
      </c>
      <c r="AF76" s="166">
        <v>0.54339998960494995</v>
      </c>
      <c r="AG76" s="164"/>
      <c r="AH76" s="164"/>
      <c r="AI76" s="164"/>
      <c r="AJ76" s="164"/>
      <c r="AK76" s="164"/>
      <c r="AL76" s="164"/>
      <c r="AM76" s="164"/>
      <c r="AN76" s="164"/>
      <c r="AO76" s="164"/>
      <c r="AP76" s="164"/>
      <c r="AQ76" s="164"/>
      <c r="AR76" s="164"/>
      <c r="AS76" s="164"/>
      <c r="AT76" s="164"/>
      <c r="AU76" s="164"/>
      <c r="AV76" s="164"/>
      <c r="AW76" s="164"/>
      <c r="AX76" s="164"/>
      <c r="AY76" s="164"/>
      <c r="AZ76" s="164"/>
      <c r="BA76" s="164"/>
      <c r="BB76" s="164"/>
      <c r="BC76" s="164"/>
      <c r="BD76" s="164"/>
      <c r="BE76" s="164"/>
      <c r="BF76" s="164"/>
      <c r="BG76" s="164"/>
      <c r="BH76" s="164"/>
      <c r="BI76" s="164"/>
      <c r="BJ76" s="164"/>
      <c r="BK76" s="164"/>
    </row>
    <row r="77" spans="1:63" x14ac:dyDescent="0.2">
      <c r="A77" s="135" t="s">
        <v>80</v>
      </c>
      <c r="B77" s="166">
        <v>0.1062999963760376</v>
      </c>
      <c r="C77" s="166">
        <v>0.10620000213384628</v>
      </c>
      <c r="D77" s="166">
        <v>0.10639999806880951</v>
      </c>
      <c r="E77" s="166">
        <v>0.10710000246763229</v>
      </c>
      <c r="F77" s="166">
        <v>0.10750000178813934</v>
      </c>
      <c r="G77" s="166">
        <v>0.10869999974966049</v>
      </c>
      <c r="H77" s="166">
        <v>0.11060000211000443</v>
      </c>
      <c r="I77" s="166">
        <v>0.11389999836683273</v>
      </c>
      <c r="J77" s="166">
        <v>0.11949999630451202</v>
      </c>
      <c r="K77" s="166">
        <v>0.12849999964237213</v>
      </c>
      <c r="L77" s="166">
        <v>0.14219999313354492</v>
      </c>
      <c r="M77" s="166">
        <v>0.16140000522136688</v>
      </c>
      <c r="N77" s="166">
        <v>0.18649999797344208</v>
      </c>
      <c r="O77" s="166">
        <v>0.21649999916553497</v>
      </c>
      <c r="P77" s="166">
        <v>0.25229999423027039</v>
      </c>
      <c r="Q77" s="166">
        <v>0.29289999604225159</v>
      </c>
      <c r="R77" s="166">
        <v>0.33700001239776611</v>
      </c>
      <c r="S77" s="166">
        <v>0.38199999928474426</v>
      </c>
      <c r="T77" s="166">
        <v>0.41789999604225159</v>
      </c>
      <c r="U77" s="166">
        <v>0.4496999979019165</v>
      </c>
      <c r="V77" s="166">
        <f t="shared" si="0"/>
        <v>0.45835000276565552</v>
      </c>
      <c r="W77" s="166">
        <v>0.46700000762939453</v>
      </c>
      <c r="X77" s="166">
        <v>0.47229999303817749</v>
      </c>
      <c r="Y77" s="166">
        <v>0.47130000591278076</v>
      </c>
      <c r="Z77" s="166">
        <v>0.47580000758171082</v>
      </c>
      <c r="AA77" s="166">
        <v>0.4779999852180481</v>
      </c>
      <c r="AB77" s="166">
        <v>0.48449999094009399</v>
      </c>
      <c r="AC77" s="166">
        <v>0.49059998989105225</v>
      </c>
      <c r="AD77" s="166">
        <v>0.50160002708435059</v>
      </c>
      <c r="AE77" s="166">
        <v>0.51490002870559692</v>
      </c>
      <c r="AF77" s="166">
        <v>0.53070002794265747</v>
      </c>
      <c r="AG77" s="164"/>
      <c r="AH77" s="164"/>
      <c r="AI77" s="164"/>
      <c r="AJ77" s="164"/>
      <c r="AK77" s="164"/>
      <c r="AL77" s="164"/>
      <c r="AM77" s="164"/>
      <c r="AN77" s="164"/>
      <c r="AO77" s="164"/>
      <c r="AP77" s="164"/>
      <c r="AQ77" s="164"/>
      <c r="AR77" s="164"/>
      <c r="AS77" s="164"/>
      <c r="AT77" s="164"/>
      <c r="AU77" s="164"/>
      <c r="AV77" s="164"/>
      <c r="AW77" s="164"/>
      <c r="AX77" s="164"/>
      <c r="AY77" s="164"/>
      <c r="AZ77" s="164"/>
      <c r="BA77" s="164"/>
      <c r="BB77" s="164"/>
      <c r="BC77" s="164"/>
      <c r="BD77" s="164"/>
      <c r="BE77" s="164"/>
      <c r="BF77" s="164"/>
      <c r="BG77" s="164"/>
      <c r="BH77" s="164"/>
      <c r="BI77" s="164"/>
      <c r="BJ77" s="164"/>
      <c r="BK77" s="164"/>
    </row>
    <row r="78" spans="1:63" x14ac:dyDescent="0.2">
      <c r="A78" s="135" t="s">
        <v>81</v>
      </c>
      <c r="B78" s="166">
        <v>0.10620000213384628</v>
      </c>
      <c r="C78" s="166">
        <v>0.10610000044107437</v>
      </c>
      <c r="D78" s="166">
        <v>0.10620000213384628</v>
      </c>
      <c r="E78" s="166">
        <v>0.10670000314712524</v>
      </c>
      <c r="F78" s="166">
        <v>0.10729999840259552</v>
      </c>
      <c r="G78" s="166">
        <v>0.10840000212192535</v>
      </c>
      <c r="H78" s="166">
        <v>0.11029999703168869</v>
      </c>
      <c r="I78" s="166">
        <v>0.11339999735355377</v>
      </c>
      <c r="J78" s="166">
        <v>0.11869999766349792</v>
      </c>
      <c r="K78" s="166">
        <v>0.12720000743865967</v>
      </c>
      <c r="L78" s="166">
        <v>0.14049999415874481</v>
      </c>
      <c r="M78" s="166">
        <v>0.1590999960899353</v>
      </c>
      <c r="N78" s="166">
        <v>0.18379999697208405</v>
      </c>
      <c r="O78" s="166">
        <v>0.21310000121593475</v>
      </c>
      <c r="P78" s="166">
        <v>0.24770000576972961</v>
      </c>
      <c r="Q78" s="166">
        <v>0.28749999403953552</v>
      </c>
      <c r="R78" s="166">
        <v>0.33270001411437988</v>
      </c>
      <c r="S78" s="166">
        <v>0.37680000066757202</v>
      </c>
      <c r="T78" s="166">
        <v>0.41200000047683716</v>
      </c>
      <c r="U78" s="166">
        <v>0.44409999251365662</v>
      </c>
      <c r="V78" s="166">
        <f t="shared" si="0"/>
        <v>0.45329999923706055</v>
      </c>
      <c r="W78" s="166">
        <v>0.46250000596046448</v>
      </c>
      <c r="X78" s="166">
        <v>0.46639999747276306</v>
      </c>
      <c r="Y78" s="166">
        <v>0.46770000457763672</v>
      </c>
      <c r="Z78" s="166">
        <v>0.4708000123500824</v>
      </c>
      <c r="AA78" s="166">
        <v>0.47429999709129333</v>
      </c>
      <c r="AB78" s="166">
        <v>0.48050001263618469</v>
      </c>
      <c r="AC78" s="166">
        <v>0.48640000820159912</v>
      </c>
      <c r="AD78" s="166">
        <v>0.49819999933242798</v>
      </c>
      <c r="AE78" s="166">
        <v>0.51020002365112305</v>
      </c>
      <c r="AF78" s="166">
        <v>0.52619999647140503</v>
      </c>
      <c r="AG78" s="164"/>
      <c r="AH78" s="164"/>
      <c r="AI78" s="164"/>
      <c r="AJ78" s="164"/>
      <c r="AK78" s="164"/>
      <c r="AL78" s="164"/>
      <c r="AM78" s="164"/>
      <c r="AN78" s="164"/>
      <c r="AO78" s="164"/>
      <c r="AP78" s="164"/>
      <c r="AQ78" s="164"/>
      <c r="AR78" s="164"/>
      <c r="AS78" s="164"/>
      <c r="AT78" s="164"/>
      <c r="AU78" s="164"/>
      <c r="AV78" s="164"/>
      <c r="AW78" s="164"/>
      <c r="AX78" s="164"/>
      <c r="AY78" s="164"/>
      <c r="AZ78" s="164"/>
      <c r="BA78" s="164"/>
      <c r="BB78" s="164"/>
      <c r="BC78" s="164"/>
      <c r="BD78" s="164"/>
      <c r="BE78" s="164"/>
      <c r="BF78" s="164"/>
      <c r="BG78" s="164"/>
      <c r="BH78" s="164"/>
      <c r="BI78" s="164"/>
      <c r="BJ78" s="164"/>
      <c r="BK78" s="164"/>
    </row>
    <row r="79" spans="1:63" x14ac:dyDescent="0.2">
      <c r="A79" s="135" t="s">
        <v>82</v>
      </c>
      <c r="B79" s="166">
        <v>0.10700000077486038</v>
      </c>
      <c r="C79" s="166">
        <v>0.10670000314712524</v>
      </c>
      <c r="D79" s="166">
        <v>0.10679999738931656</v>
      </c>
      <c r="E79" s="166">
        <v>0.10729999840259552</v>
      </c>
      <c r="F79" s="166">
        <v>0.10740000009536743</v>
      </c>
      <c r="G79" s="166">
        <v>0.10809999704360962</v>
      </c>
      <c r="H79" s="166">
        <v>0.10869999974966049</v>
      </c>
      <c r="I79" s="166">
        <v>0.10970000177621841</v>
      </c>
      <c r="J79" s="166">
        <v>0.11069999635219574</v>
      </c>
      <c r="K79" s="166">
        <v>0.11240000277757645</v>
      </c>
      <c r="L79" s="166">
        <v>0.11490000039339066</v>
      </c>
      <c r="M79" s="166">
        <v>0.11810000240802765</v>
      </c>
      <c r="N79" s="166">
        <v>0.12349999696016312</v>
      </c>
      <c r="O79" s="166">
        <v>0.13019999861717224</v>
      </c>
      <c r="P79" s="166">
        <v>0.14030000567436218</v>
      </c>
      <c r="Q79" s="166">
        <v>0.15469999611377716</v>
      </c>
      <c r="R79" s="166">
        <v>0.17659999430179596</v>
      </c>
      <c r="S79" s="166">
        <v>0.2070000022649765</v>
      </c>
      <c r="T79" s="166">
        <v>0.24310000240802765</v>
      </c>
      <c r="U79" s="166">
        <v>0.28400000929832458</v>
      </c>
      <c r="V79" s="166">
        <f t="shared" si="0"/>
        <v>0.32565000653266907</v>
      </c>
      <c r="W79" s="166">
        <v>0.36730000376701355</v>
      </c>
      <c r="X79" s="166">
        <v>0.40560001134872437</v>
      </c>
      <c r="Y79" s="166">
        <v>0.44130000472068787</v>
      </c>
      <c r="Z79" s="166">
        <v>0.46410000324249268</v>
      </c>
      <c r="AA79" s="166">
        <v>0.47020000219345093</v>
      </c>
      <c r="AB79" s="166">
        <v>0.47400000691413879</v>
      </c>
      <c r="AC79" s="166">
        <v>0.4731999933719635</v>
      </c>
      <c r="AD79" s="166">
        <v>0.47139999270439148</v>
      </c>
      <c r="AE79" s="166">
        <v>0.47290000319480896</v>
      </c>
      <c r="AF79" s="166">
        <v>0.47679999470710754</v>
      </c>
      <c r="AG79" s="164"/>
      <c r="AH79" s="164"/>
      <c r="AI79" s="164"/>
      <c r="AJ79" s="164"/>
      <c r="AK79" s="164"/>
      <c r="AL79" s="164"/>
      <c r="AM79" s="164"/>
      <c r="AN79" s="164"/>
      <c r="AO79" s="164"/>
      <c r="AP79" s="164"/>
      <c r="AQ79" s="164"/>
      <c r="AR79" s="164"/>
      <c r="AS79" s="164"/>
      <c r="AT79" s="164"/>
      <c r="AU79" s="164"/>
      <c r="AV79" s="164"/>
      <c r="AW79" s="164"/>
      <c r="AX79" s="164"/>
      <c r="AY79" s="164"/>
      <c r="AZ79" s="164"/>
      <c r="BA79" s="164"/>
      <c r="BB79" s="164"/>
      <c r="BC79" s="164"/>
      <c r="BD79" s="164"/>
      <c r="BE79" s="164"/>
      <c r="BF79" s="164"/>
      <c r="BG79" s="164"/>
      <c r="BH79" s="164"/>
      <c r="BI79" s="164"/>
      <c r="BJ79" s="164"/>
      <c r="BK79" s="164"/>
    </row>
    <row r="80" spans="1:63" x14ac:dyDescent="0.2">
      <c r="A80" s="135" t="s">
        <v>83</v>
      </c>
      <c r="B80" s="166">
        <v>0.10610000044107437</v>
      </c>
      <c r="C80" s="166">
        <v>0.10589999705553055</v>
      </c>
      <c r="D80" s="166">
        <v>0.10610000044107437</v>
      </c>
      <c r="E80" s="166">
        <v>0.10649999976158142</v>
      </c>
      <c r="F80" s="166">
        <v>0.10689999908208847</v>
      </c>
      <c r="G80" s="166">
        <v>0.10760000348091125</v>
      </c>
      <c r="H80" s="166">
        <v>0.10830000042915344</v>
      </c>
      <c r="I80" s="166">
        <v>0.10930000245571136</v>
      </c>
      <c r="J80" s="166">
        <v>0.11050000041723251</v>
      </c>
      <c r="K80" s="166">
        <v>0.11240000277757645</v>
      </c>
      <c r="L80" s="166">
        <v>0.11479999870061874</v>
      </c>
      <c r="M80" s="166">
        <v>0.1185000017285347</v>
      </c>
      <c r="N80" s="166">
        <v>0.12370000034570694</v>
      </c>
      <c r="O80" s="166">
        <v>0.13160000741481781</v>
      </c>
      <c r="P80" s="166">
        <v>0.14259999990463257</v>
      </c>
      <c r="Q80" s="166">
        <v>0.15899999439716339</v>
      </c>
      <c r="R80" s="166">
        <v>0.18469999730587006</v>
      </c>
      <c r="S80" s="166">
        <v>0.21680000424385071</v>
      </c>
      <c r="T80" s="166">
        <v>0.25389999151229858</v>
      </c>
      <c r="U80" s="166">
        <v>0.29559999704360962</v>
      </c>
      <c r="V80" s="166">
        <f t="shared" si="0"/>
        <v>0.33540000021457672</v>
      </c>
      <c r="W80" s="166">
        <v>0.37520000338554382</v>
      </c>
      <c r="X80" s="166">
        <v>0.41139999032020569</v>
      </c>
      <c r="Y80" s="166">
        <v>0.44200000166893005</v>
      </c>
      <c r="Z80" s="166">
        <v>0.44850000739097595</v>
      </c>
      <c r="AA80" s="166">
        <v>0.45399999618530273</v>
      </c>
      <c r="AB80" s="166">
        <v>0.45500001311302185</v>
      </c>
      <c r="AC80" s="166">
        <v>0.45179998874664307</v>
      </c>
      <c r="AD80" s="166">
        <v>0.45399999618530273</v>
      </c>
      <c r="AE80" s="166">
        <v>0.45759999752044678</v>
      </c>
      <c r="AF80" s="166">
        <v>0.4643000066280365</v>
      </c>
      <c r="AG80" s="164"/>
      <c r="AH80" s="164"/>
      <c r="AI80" s="164"/>
      <c r="AJ80" s="164"/>
      <c r="AK80" s="164"/>
      <c r="AL80" s="164"/>
      <c r="AM80" s="164"/>
      <c r="AN80" s="164"/>
      <c r="AO80" s="164"/>
      <c r="AP80" s="164"/>
      <c r="AQ80" s="164"/>
      <c r="AR80" s="164"/>
      <c r="AS80" s="164"/>
      <c r="AT80" s="164"/>
      <c r="AU80" s="164"/>
      <c r="AV80" s="164"/>
      <c r="AW80" s="164"/>
      <c r="AX80" s="164"/>
      <c r="AY80" s="164"/>
      <c r="AZ80" s="164"/>
      <c r="BA80" s="164"/>
      <c r="BB80" s="164"/>
      <c r="BC80" s="164"/>
      <c r="BD80" s="164"/>
      <c r="BE80" s="164"/>
      <c r="BF80" s="164"/>
      <c r="BG80" s="164"/>
      <c r="BH80" s="164"/>
      <c r="BI80" s="164"/>
      <c r="BJ80" s="164"/>
      <c r="BK80" s="164"/>
    </row>
    <row r="81" spans="1:63" x14ac:dyDescent="0.2">
      <c r="A81" s="135" t="s">
        <v>84</v>
      </c>
      <c r="B81" s="166">
        <v>0.10559999942779541</v>
      </c>
      <c r="C81" s="166">
        <v>0.1054999977350235</v>
      </c>
      <c r="D81" s="166">
        <v>0.10559999942779541</v>
      </c>
      <c r="E81" s="166">
        <v>0.10599999874830246</v>
      </c>
      <c r="F81" s="166">
        <v>0.10649999976158142</v>
      </c>
      <c r="G81" s="166">
        <v>0.10719999670982361</v>
      </c>
      <c r="H81" s="166">
        <v>0.10769999772310257</v>
      </c>
      <c r="I81" s="166">
        <v>0.10869999974966049</v>
      </c>
      <c r="J81" s="166">
        <v>0.10970000177621841</v>
      </c>
      <c r="K81" s="166">
        <v>0.11140000075101852</v>
      </c>
      <c r="L81" s="166">
        <v>0.11349999904632568</v>
      </c>
      <c r="M81" s="166">
        <v>0.11670000106096268</v>
      </c>
      <c r="N81" s="166">
        <v>0.12110000103712082</v>
      </c>
      <c r="O81" s="166">
        <v>0.1273999959230423</v>
      </c>
      <c r="P81" s="166">
        <v>0.13689999282360077</v>
      </c>
      <c r="Q81" s="166">
        <v>0.15150000154972076</v>
      </c>
      <c r="R81" s="166">
        <v>0.17360000312328339</v>
      </c>
      <c r="S81" s="166">
        <v>0.20379999279975891</v>
      </c>
      <c r="T81" s="166">
        <v>0.23989999294281006</v>
      </c>
      <c r="U81" s="166">
        <v>0.2800000011920929</v>
      </c>
      <c r="V81" s="166">
        <f t="shared" si="0"/>
        <v>0.32125000655651093</v>
      </c>
      <c r="W81" s="166">
        <v>0.36250001192092896</v>
      </c>
      <c r="X81" s="166">
        <v>0.39879998564720154</v>
      </c>
      <c r="Y81" s="166">
        <v>0.43130001425743103</v>
      </c>
      <c r="Z81" s="166">
        <v>0.446399986743927</v>
      </c>
      <c r="AA81" s="166">
        <v>0.45260000228881836</v>
      </c>
      <c r="AB81" s="166">
        <v>0.45500001311302185</v>
      </c>
      <c r="AC81" s="166">
        <v>0.4528999924659729</v>
      </c>
      <c r="AD81" s="166">
        <v>0.45239999890327454</v>
      </c>
      <c r="AE81" s="166">
        <v>0.45469999313354492</v>
      </c>
      <c r="AF81" s="166">
        <v>0.4611000120639801</v>
      </c>
      <c r="AG81" s="164"/>
      <c r="AH81" s="164"/>
      <c r="AI81" s="164"/>
      <c r="AJ81" s="164"/>
      <c r="AK81" s="164"/>
      <c r="AL81" s="164"/>
      <c r="AM81" s="164"/>
      <c r="AN81" s="164"/>
      <c r="AO81" s="164"/>
      <c r="AP81" s="164"/>
      <c r="AQ81" s="164"/>
      <c r="AR81" s="164"/>
      <c r="AS81" s="164"/>
      <c r="AT81" s="164"/>
      <c r="AU81" s="164"/>
      <c r="AV81" s="164"/>
      <c r="AW81" s="164"/>
      <c r="AX81" s="164"/>
      <c r="AY81" s="164"/>
      <c r="AZ81" s="164"/>
      <c r="BA81" s="164"/>
      <c r="BB81" s="164"/>
      <c r="BC81" s="164"/>
      <c r="BD81" s="164"/>
      <c r="BE81" s="164"/>
      <c r="BF81" s="164"/>
      <c r="BG81" s="164"/>
      <c r="BH81" s="164"/>
      <c r="BI81" s="164"/>
      <c r="BJ81" s="164"/>
      <c r="BK81" s="164"/>
    </row>
    <row r="82" spans="1:63" x14ac:dyDescent="0.2">
      <c r="A82" s="135" t="s">
        <v>85</v>
      </c>
      <c r="B82" s="166">
        <v>0.10660000145435333</v>
      </c>
      <c r="C82" s="166">
        <v>0.1062999963760376</v>
      </c>
      <c r="D82" s="166">
        <v>0.10649999976158142</v>
      </c>
      <c r="E82" s="166">
        <v>0.10700000077486038</v>
      </c>
      <c r="F82" s="166">
        <v>0.10740000009536743</v>
      </c>
      <c r="G82" s="166">
        <v>0.10840000212192535</v>
      </c>
      <c r="H82" s="166">
        <v>0.10980000346899033</v>
      </c>
      <c r="I82" s="166">
        <v>0.11209999769926071</v>
      </c>
      <c r="J82" s="166">
        <v>0.11640000343322754</v>
      </c>
      <c r="K82" s="166">
        <v>0.12300000339746475</v>
      </c>
      <c r="L82" s="166">
        <v>0.13379999995231628</v>
      </c>
      <c r="M82" s="166">
        <v>0.14869999885559082</v>
      </c>
      <c r="N82" s="166">
        <v>0.16949999332427979</v>
      </c>
      <c r="O82" s="166">
        <v>0.19699999690055847</v>
      </c>
      <c r="P82" s="166">
        <v>0.23100000619888306</v>
      </c>
      <c r="Q82" s="166">
        <v>0.26829999685287476</v>
      </c>
      <c r="R82" s="166">
        <v>0.31369999051094055</v>
      </c>
      <c r="S82" s="166">
        <v>0.35969999432563782</v>
      </c>
      <c r="T82" s="166">
        <v>0.39620000123977661</v>
      </c>
      <c r="U82" s="166">
        <v>0.42480000853538513</v>
      </c>
      <c r="V82" s="166">
        <f t="shared" si="0"/>
        <v>0.43170000612735748</v>
      </c>
      <c r="W82" s="166">
        <v>0.43860000371932983</v>
      </c>
      <c r="X82" s="166">
        <v>0.43759998679161072</v>
      </c>
      <c r="Y82" s="166">
        <v>0.43290001153945923</v>
      </c>
      <c r="Z82" s="166">
        <v>0.42820000648498535</v>
      </c>
      <c r="AA82" s="166">
        <v>0.4260999858379364</v>
      </c>
      <c r="AB82" s="166">
        <v>0.42519998550415039</v>
      </c>
      <c r="AC82" s="166">
        <v>0.42820000648498535</v>
      </c>
      <c r="AD82" s="166">
        <v>0.43160000443458557</v>
      </c>
      <c r="AE82" s="166">
        <v>0.43790000677108765</v>
      </c>
      <c r="AF82" s="166">
        <v>0.44740000367164612</v>
      </c>
      <c r="AG82" s="164"/>
      <c r="AH82" s="164"/>
      <c r="AI82" s="164"/>
      <c r="AJ82" s="164"/>
      <c r="AK82" s="164"/>
      <c r="AL82" s="164"/>
      <c r="AM82" s="164"/>
      <c r="AN82" s="164"/>
      <c r="AO82" s="164"/>
      <c r="AP82" s="164"/>
      <c r="AQ82" s="164"/>
      <c r="AR82" s="164"/>
      <c r="AS82" s="164"/>
      <c r="AT82" s="164"/>
      <c r="AU82" s="164"/>
      <c r="AV82" s="164"/>
      <c r="AW82" s="164"/>
      <c r="AX82" s="164"/>
      <c r="AY82" s="164"/>
      <c r="AZ82" s="164"/>
      <c r="BA82" s="164"/>
      <c r="BB82" s="164"/>
      <c r="BC82" s="164"/>
      <c r="BD82" s="164"/>
      <c r="BE82" s="164"/>
      <c r="BF82" s="164"/>
      <c r="BG82" s="164"/>
      <c r="BH82" s="164"/>
      <c r="BI82" s="164"/>
      <c r="BJ82" s="164"/>
      <c r="BK82" s="164"/>
    </row>
    <row r="83" spans="1:63" x14ac:dyDescent="0.2">
      <c r="A83" s="135" t="s">
        <v>86</v>
      </c>
      <c r="B83" s="166">
        <v>0.10620000213384628</v>
      </c>
      <c r="C83" s="166">
        <v>0.10639999806880951</v>
      </c>
      <c r="D83" s="166">
        <v>0.10610000044107437</v>
      </c>
      <c r="E83" s="166">
        <v>0.10660000145435333</v>
      </c>
      <c r="F83" s="166">
        <v>0.10710000246763229</v>
      </c>
      <c r="G83" s="166">
        <v>0.1080000028014183</v>
      </c>
      <c r="H83" s="166">
        <v>0.10930000245571136</v>
      </c>
      <c r="I83" s="166">
        <v>0.11180000007152557</v>
      </c>
      <c r="J83" s="166">
        <v>0.11580000072717667</v>
      </c>
      <c r="K83" s="166">
        <v>0.12269999831914902</v>
      </c>
      <c r="L83" s="166">
        <v>0.13330000638961792</v>
      </c>
      <c r="M83" s="166">
        <v>0.14810000360012054</v>
      </c>
      <c r="N83" s="166">
        <v>0.16899999976158142</v>
      </c>
      <c r="O83" s="166">
        <v>0.19670000672340393</v>
      </c>
      <c r="P83" s="166">
        <v>0.23109999299049377</v>
      </c>
      <c r="Q83" s="166">
        <v>0.26989999413490295</v>
      </c>
      <c r="R83" s="166">
        <v>0.31279999017715454</v>
      </c>
      <c r="S83" s="166">
        <v>0.36000001430511475</v>
      </c>
      <c r="T83" s="166">
        <v>0.39649999141693115</v>
      </c>
      <c r="U83" s="166">
        <v>0.42519998550415039</v>
      </c>
      <c r="V83" s="166">
        <f t="shared" si="0"/>
        <v>0.43274998664855957</v>
      </c>
      <c r="W83" s="166">
        <v>0.44029998779296875</v>
      </c>
      <c r="X83" s="166">
        <v>0.44020000100135803</v>
      </c>
      <c r="Y83" s="166">
        <v>0.43450000882148743</v>
      </c>
      <c r="Z83" s="166">
        <v>0.43009999394416809</v>
      </c>
      <c r="AA83" s="166">
        <v>0.42599999904632568</v>
      </c>
      <c r="AB83" s="166">
        <v>0.42640000581741333</v>
      </c>
      <c r="AC83" s="166">
        <v>0.42649999260902405</v>
      </c>
      <c r="AD83" s="166">
        <v>0.43140000104904175</v>
      </c>
      <c r="AE83" s="166">
        <v>0.43639999628067017</v>
      </c>
      <c r="AF83" s="166">
        <v>0.44620001316070557</v>
      </c>
      <c r="AG83" s="164"/>
      <c r="AH83" s="164"/>
      <c r="AI83" s="164"/>
      <c r="AJ83" s="164"/>
      <c r="AK83" s="164"/>
      <c r="AL83" s="164"/>
      <c r="AM83" s="164"/>
      <c r="AN83" s="164"/>
      <c r="AO83" s="164"/>
      <c r="AP83" s="164"/>
      <c r="AQ83" s="164"/>
      <c r="AR83" s="164"/>
      <c r="AS83" s="164"/>
      <c r="AT83" s="164"/>
      <c r="AU83" s="164"/>
      <c r="AV83" s="164"/>
      <c r="AW83" s="164"/>
      <c r="AX83" s="164"/>
      <c r="AY83" s="164"/>
      <c r="AZ83" s="164"/>
      <c r="BA83" s="164"/>
      <c r="BB83" s="164"/>
      <c r="BC83" s="164"/>
      <c r="BD83" s="164"/>
      <c r="BE83" s="164"/>
      <c r="BF83" s="164"/>
      <c r="BG83" s="164"/>
      <c r="BH83" s="164"/>
      <c r="BI83" s="164"/>
      <c r="BJ83" s="164"/>
      <c r="BK83" s="164"/>
    </row>
    <row r="84" spans="1:63" x14ac:dyDescent="0.2">
      <c r="A84" s="135" t="s">
        <v>87</v>
      </c>
      <c r="B84" s="166">
        <v>0.10570000112056732</v>
      </c>
      <c r="C84" s="166">
        <v>0.10570000112056732</v>
      </c>
      <c r="D84" s="166">
        <v>0.10570000112056732</v>
      </c>
      <c r="E84" s="166">
        <v>0.10599999874830246</v>
      </c>
      <c r="F84" s="166">
        <v>0.10689999908208847</v>
      </c>
      <c r="G84" s="166">
        <v>0.10729999840259552</v>
      </c>
      <c r="H84" s="166">
        <v>0.10859999805688858</v>
      </c>
      <c r="I84" s="166">
        <v>0.11219999939203262</v>
      </c>
      <c r="J84" s="166">
        <v>0.11469999700784683</v>
      </c>
      <c r="K84" s="166">
        <v>0.12129999697208405</v>
      </c>
      <c r="L84" s="166">
        <v>0.13140000402927399</v>
      </c>
      <c r="M84" s="166">
        <v>0.14679999649524689</v>
      </c>
      <c r="N84" s="166">
        <v>0.16539999842643738</v>
      </c>
      <c r="O84" s="166">
        <v>0.19220000505447388</v>
      </c>
      <c r="P84" s="166">
        <v>0.22560000419616699</v>
      </c>
      <c r="Q84" s="166">
        <v>0.26399999856948853</v>
      </c>
      <c r="R84" s="166">
        <v>0.30799999833106995</v>
      </c>
      <c r="S84" s="166">
        <v>0.35550001263618469</v>
      </c>
      <c r="T84" s="166">
        <v>0.39419999718666077</v>
      </c>
      <c r="U84" s="166">
        <v>0.42410001158714294</v>
      </c>
      <c r="V84" s="166">
        <f t="shared" si="0"/>
        <v>0.43355000019073486</v>
      </c>
      <c r="W84" s="166">
        <v>0.44299998879432678</v>
      </c>
      <c r="X84" s="166">
        <v>0.44470000267028809</v>
      </c>
      <c r="Y84" s="166">
        <v>0.44040000438690186</v>
      </c>
      <c r="Z84" s="166">
        <v>0.43619999289512634</v>
      </c>
      <c r="AA84" s="166">
        <v>0.43299999833106995</v>
      </c>
      <c r="AB84" s="166">
        <v>0.43079999089241028</v>
      </c>
      <c r="AC84" s="166">
        <v>0.43509998917579651</v>
      </c>
      <c r="AD84" s="166">
        <v>0.4357999861240387</v>
      </c>
      <c r="AE84" s="166">
        <v>0.44310000538825989</v>
      </c>
      <c r="AF84" s="166">
        <v>0.44909998774528503</v>
      </c>
      <c r="AG84" s="164"/>
      <c r="AH84" s="164"/>
      <c r="AI84" s="164"/>
      <c r="AJ84" s="164"/>
      <c r="AK84" s="164"/>
      <c r="AL84" s="164"/>
      <c r="AM84" s="164"/>
      <c r="AN84" s="164"/>
      <c r="AO84" s="164"/>
      <c r="AP84" s="164"/>
      <c r="AQ84" s="164"/>
      <c r="AR84" s="164"/>
      <c r="AS84" s="164"/>
      <c r="AT84" s="164"/>
      <c r="AU84" s="164"/>
      <c r="AV84" s="164"/>
      <c r="AW84" s="164"/>
      <c r="AX84" s="164"/>
      <c r="AY84" s="164"/>
      <c r="AZ84" s="164"/>
      <c r="BA84" s="164"/>
      <c r="BB84" s="164"/>
      <c r="BC84" s="164"/>
      <c r="BD84" s="164"/>
      <c r="BE84" s="164"/>
      <c r="BF84" s="164"/>
      <c r="BG84" s="164"/>
      <c r="BH84" s="164"/>
      <c r="BI84" s="164"/>
      <c r="BJ84" s="164"/>
      <c r="BK84" s="164"/>
    </row>
    <row r="85" spans="1:63" x14ac:dyDescent="0.2">
      <c r="A85" s="135" t="s">
        <v>88</v>
      </c>
      <c r="B85" s="166">
        <v>0.11249999701976776</v>
      </c>
      <c r="C85" s="166">
        <v>0.1128000020980835</v>
      </c>
      <c r="D85" s="166">
        <v>0.11289999634027481</v>
      </c>
      <c r="E85" s="166">
        <v>0.11370000243186951</v>
      </c>
      <c r="F85" s="166">
        <v>0.11519999802112579</v>
      </c>
      <c r="G85" s="166">
        <v>0.11829999834299088</v>
      </c>
      <c r="H85" s="166">
        <v>0.12370000034570694</v>
      </c>
      <c r="I85" s="166">
        <v>0.13210000097751617</v>
      </c>
      <c r="J85" s="166">
        <v>0.14519999921321869</v>
      </c>
      <c r="K85" s="166">
        <v>0.16410000622272491</v>
      </c>
      <c r="L85" s="166">
        <v>0.19110000133514404</v>
      </c>
      <c r="M85" s="166">
        <v>0.22679999470710754</v>
      </c>
      <c r="N85" s="166">
        <v>0.26570001244544983</v>
      </c>
      <c r="O85" s="166">
        <v>0.31220000982284546</v>
      </c>
      <c r="P85" s="166">
        <v>0.36370000243186951</v>
      </c>
      <c r="Q85" s="166">
        <v>0.41150000691413879</v>
      </c>
      <c r="R85" s="166">
        <v>0.45730000734329224</v>
      </c>
      <c r="S85" s="166">
        <v>0.49919998645782471</v>
      </c>
      <c r="T85" s="166">
        <v>0.52670001983642578</v>
      </c>
      <c r="U85" s="166">
        <v>0.53479999303817749</v>
      </c>
      <c r="V85" s="166">
        <f t="shared" si="0"/>
        <v>0.54734998941421509</v>
      </c>
      <c r="W85" s="166">
        <v>0.55989998579025269</v>
      </c>
      <c r="X85" s="166">
        <v>0.57410001754760742</v>
      </c>
      <c r="Y85" s="166">
        <v>0.57709997892379761</v>
      </c>
      <c r="Z85" s="166">
        <v>0.57929998636245728</v>
      </c>
      <c r="AA85" s="166">
        <v>0.58240002393722534</v>
      </c>
      <c r="AB85" s="166">
        <v>0.58639997243881226</v>
      </c>
      <c r="AC85" s="166">
        <v>0.59030002355575562</v>
      </c>
      <c r="AD85" s="166">
        <v>0.59399998188018799</v>
      </c>
      <c r="AE85" s="166">
        <v>0.60180002450942993</v>
      </c>
      <c r="AF85" s="166">
        <v>0.60439997911453247</v>
      </c>
      <c r="AG85" s="164"/>
      <c r="AH85" s="164"/>
      <c r="AI85" s="164"/>
      <c r="AJ85" s="164"/>
      <c r="AK85" s="164"/>
      <c r="AL85" s="164"/>
      <c r="AM85" s="164"/>
      <c r="AN85" s="164"/>
      <c r="AO85" s="164"/>
      <c r="AP85" s="164"/>
      <c r="AQ85" s="164"/>
      <c r="AR85" s="164"/>
      <c r="AS85" s="164"/>
      <c r="AT85" s="164"/>
      <c r="AU85" s="164"/>
      <c r="AV85" s="164"/>
      <c r="AW85" s="164"/>
      <c r="AX85" s="164"/>
      <c r="AY85" s="164"/>
      <c r="AZ85" s="164"/>
      <c r="BA85" s="164"/>
      <c r="BB85" s="164"/>
      <c r="BC85" s="164"/>
      <c r="BD85" s="164"/>
      <c r="BE85" s="164"/>
      <c r="BF85" s="164"/>
      <c r="BG85" s="164"/>
      <c r="BH85" s="164"/>
      <c r="BI85" s="164"/>
      <c r="BJ85" s="164"/>
      <c r="BK85" s="164"/>
    </row>
    <row r="86" spans="1:63" x14ac:dyDescent="0.2">
      <c r="A86" s="135" t="s">
        <v>89</v>
      </c>
      <c r="B86" s="166">
        <v>0.10740000009536743</v>
      </c>
      <c r="C86" s="166">
        <v>0.10710000246763229</v>
      </c>
      <c r="D86" s="166">
        <v>0.10710000246763229</v>
      </c>
      <c r="E86" s="166">
        <v>0.10700000077486038</v>
      </c>
      <c r="F86" s="166">
        <v>0.10689999908208847</v>
      </c>
      <c r="G86" s="166">
        <v>0.10719999670982361</v>
      </c>
      <c r="H86" s="166">
        <v>0.10679999738931656</v>
      </c>
      <c r="I86" s="166">
        <v>0.10670000314712524</v>
      </c>
      <c r="J86" s="166">
        <v>0.10670000314712524</v>
      </c>
      <c r="K86" s="166">
        <v>0.10670000314712524</v>
      </c>
      <c r="L86" s="166">
        <v>0.10670000314712524</v>
      </c>
      <c r="M86" s="166">
        <v>0.10649999976158142</v>
      </c>
      <c r="N86" s="166">
        <v>0.10639999806880951</v>
      </c>
      <c r="O86" s="166">
        <v>0.10620000213384628</v>
      </c>
      <c r="P86" s="166">
        <v>0.10599999874830246</v>
      </c>
      <c r="Q86" s="166">
        <v>0.10599999874830246</v>
      </c>
      <c r="R86" s="166">
        <v>0.10599999874830246</v>
      </c>
      <c r="S86" s="166">
        <v>0.10599999874830246</v>
      </c>
      <c r="T86" s="166">
        <v>0.10610000044107437</v>
      </c>
      <c r="U86" s="166">
        <v>0.10620000213384628</v>
      </c>
      <c r="V86" s="166">
        <f t="shared" si="0"/>
        <v>0.10615000128746033</v>
      </c>
      <c r="W86" s="166">
        <v>0.10610000044107437</v>
      </c>
      <c r="X86" s="166">
        <v>0.10599999874830246</v>
      </c>
      <c r="Y86" s="166">
        <v>0.10570000112056732</v>
      </c>
      <c r="Z86" s="166">
        <v>0.1054999977350235</v>
      </c>
      <c r="AA86" s="166">
        <v>0.10540000349283218</v>
      </c>
      <c r="AB86" s="166">
        <v>0.10540000349283218</v>
      </c>
      <c r="AC86" s="166">
        <v>0.10530000180006027</v>
      </c>
      <c r="AD86" s="166">
        <v>0.10540000349283218</v>
      </c>
      <c r="AE86" s="166">
        <v>0.10530000180006027</v>
      </c>
      <c r="AF86" s="166">
        <v>0.1054999977350235</v>
      </c>
      <c r="AG86" s="164"/>
      <c r="AH86" s="164"/>
      <c r="AI86" s="164"/>
      <c r="AJ86" s="164"/>
      <c r="AK86" s="164"/>
      <c r="AL86" s="164"/>
      <c r="AM86" s="164"/>
      <c r="AN86" s="164"/>
      <c r="AO86" s="164"/>
      <c r="AP86" s="164"/>
      <c r="AQ86" s="164"/>
      <c r="AR86" s="164"/>
      <c r="AS86" s="164"/>
      <c r="AT86" s="164"/>
      <c r="AU86" s="164"/>
      <c r="AV86" s="164"/>
      <c r="AW86" s="164"/>
      <c r="AX86" s="164"/>
      <c r="AY86" s="164"/>
      <c r="AZ86" s="164"/>
      <c r="BA86" s="164"/>
      <c r="BB86" s="164"/>
      <c r="BC86" s="164"/>
      <c r="BD86" s="164"/>
      <c r="BE86" s="164"/>
      <c r="BF86" s="164"/>
      <c r="BG86" s="164"/>
      <c r="BH86" s="164"/>
      <c r="BI86" s="164"/>
      <c r="BJ86" s="164"/>
      <c r="BK86" s="164"/>
    </row>
    <row r="87" spans="1:63" x14ac:dyDescent="0.2">
      <c r="A87" s="135" t="s">
        <v>90</v>
      </c>
      <c r="B87" s="166">
        <v>0.10859999805688858</v>
      </c>
      <c r="C87" s="166">
        <v>0.10819999873638153</v>
      </c>
      <c r="D87" s="166">
        <v>0.10809999704360962</v>
      </c>
      <c r="E87" s="166">
        <v>0.10819999873638153</v>
      </c>
      <c r="F87" s="166">
        <v>0.10809999704360962</v>
      </c>
      <c r="G87" s="166">
        <v>0.10819999873638153</v>
      </c>
      <c r="H87" s="166">
        <v>0.10809999704360962</v>
      </c>
      <c r="I87" s="166">
        <v>0.1080000028014183</v>
      </c>
      <c r="J87" s="166">
        <v>0.1080000028014183</v>
      </c>
      <c r="K87" s="166">
        <v>0.1080000028014183</v>
      </c>
      <c r="L87" s="166">
        <v>0.1080000028014183</v>
      </c>
      <c r="M87" s="166">
        <v>0.10779999941587448</v>
      </c>
      <c r="N87" s="166">
        <v>0.10769999772310257</v>
      </c>
      <c r="O87" s="166">
        <v>0.10750000178813934</v>
      </c>
      <c r="P87" s="166">
        <v>0.10729999840259552</v>
      </c>
      <c r="Q87" s="166">
        <v>0.10760000348091125</v>
      </c>
      <c r="R87" s="166">
        <v>0.10729999840259552</v>
      </c>
      <c r="S87" s="166">
        <v>0.10760000348091125</v>
      </c>
      <c r="T87" s="166">
        <v>0.10760000348091125</v>
      </c>
      <c r="U87" s="166">
        <v>0.10769999772310257</v>
      </c>
      <c r="V87" s="166">
        <f t="shared" si="0"/>
        <v>0.10799999907612801</v>
      </c>
      <c r="W87" s="166">
        <v>0.10830000042915344</v>
      </c>
      <c r="X87" s="166">
        <v>0.10819999873638153</v>
      </c>
      <c r="Y87" s="166">
        <v>0.10939999669790268</v>
      </c>
      <c r="Z87" s="166">
        <v>0.10899999737739563</v>
      </c>
      <c r="AA87" s="166">
        <v>0.10920000076293945</v>
      </c>
      <c r="AB87" s="166">
        <v>0.10930000245571136</v>
      </c>
      <c r="AC87" s="166">
        <v>0.10890000313520432</v>
      </c>
      <c r="AD87" s="166">
        <v>0.10890000313520432</v>
      </c>
      <c r="AE87" s="166">
        <v>0.1088000014424324</v>
      </c>
      <c r="AF87" s="166">
        <v>0.10830000042915344</v>
      </c>
      <c r="AG87" s="164"/>
      <c r="AH87" s="164"/>
      <c r="AI87" s="164"/>
      <c r="AJ87" s="164"/>
      <c r="AK87" s="164"/>
      <c r="AL87" s="164"/>
      <c r="AM87" s="164"/>
      <c r="AN87" s="164"/>
      <c r="AO87" s="164"/>
      <c r="AP87" s="164"/>
      <c r="AQ87" s="164"/>
      <c r="AR87" s="164"/>
      <c r="AS87" s="164"/>
      <c r="AT87" s="164"/>
      <c r="AU87" s="164"/>
      <c r="AV87" s="164"/>
      <c r="AW87" s="164"/>
      <c r="AX87" s="164"/>
      <c r="AY87" s="164"/>
      <c r="AZ87" s="164"/>
      <c r="BA87" s="164"/>
      <c r="BB87" s="164"/>
      <c r="BC87" s="164"/>
      <c r="BD87" s="164"/>
      <c r="BE87" s="164"/>
      <c r="BF87" s="164"/>
      <c r="BG87" s="164"/>
      <c r="BH87" s="164"/>
      <c r="BI87" s="164"/>
      <c r="BJ87" s="164"/>
      <c r="BK87" s="164"/>
    </row>
    <row r="88" spans="1:63" x14ac:dyDescent="0.2">
      <c r="A88" s="135" t="s">
        <v>91</v>
      </c>
      <c r="B88" s="166">
        <v>0.10589999705553055</v>
      </c>
      <c r="C88" s="166">
        <v>0.10589999705553055</v>
      </c>
      <c r="D88" s="166">
        <v>0.10610000044107437</v>
      </c>
      <c r="E88" s="166">
        <v>0.10639999806880951</v>
      </c>
      <c r="F88" s="166">
        <v>0.10679999738931656</v>
      </c>
      <c r="G88" s="166">
        <v>0.10769999772310257</v>
      </c>
      <c r="H88" s="166">
        <v>0.10890000313520432</v>
      </c>
      <c r="I88" s="166">
        <v>0.11089999973773956</v>
      </c>
      <c r="J88" s="166">
        <v>0.11439999938011169</v>
      </c>
      <c r="K88" s="166">
        <v>0.12030000239610672</v>
      </c>
      <c r="L88" s="166">
        <v>0.12950000166893005</v>
      </c>
      <c r="M88" s="166">
        <v>0.14259999990463257</v>
      </c>
      <c r="N88" s="166">
        <v>0.16079999506473541</v>
      </c>
      <c r="O88" s="166">
        <v>0.18500000238418579</v>
      </c>
      <c r="P88" s="166">
        <v>0.21480000019073486</v>
      </c>
      <c r="Q88" s="166">
        <v>0.24979999661445618</v>
      </c>
      <c r="R88" s="166">
        <v>0.29080000519752502</v>
      </c>
      <c r="S88" s="166">
        <v>0.3361000120639801</v>
      </c>
      <c r="T88" s="166">
        <v>0.37790000438690186</v>
      </c>
      <c r="U88" s="166">
        <v>0.41460001468658447</v>
      </c>
      <c r="V88" s="166">
        <f t="shared" si="0"/>
        <v>0.43030001223087311</v>
      </c>
      <c r="W88" s="166">
        <v>0.44600000977516174</v>
      </c>
      <c r="X88" s="166">
        <v>0.45210000872612</v>
      </c>
      <c r="Y88" s="166">
        <v>0.45410001277923584</v>
      </c>
      <c r="Z88" s="166">
        <v>0.45170000195503235</v>
      </c>
      <c r="AA88" s="166">
        <v>0.4528999924659729</v>
      </c>
      <c r="AB88" s="166">
        <v>0.45429998636245728</v>
      </c>
      <c r="AC88" s="166">
        <v>0.45759999752044678</v>
      </c>
      <c r="AD88" s="166">
        <v>0.46340000629425049</v>
      </c>
      <c r="AE88" s="166">
        <v>0.47189998626708984</v>
      </c>
      <c r="AF88" s="166">
        <v>0.48170000314712524</v>
      </c>
      <c r="AG88" s="164"/>
      <c r="AH88" s="164"/>
      <c r="AI88" s="164"/>
      <c r="AJ88" s="164"/>
      <c r="AK88" s="164"/>
      <c r="AL88" s="164"/>
      <c r="AM88" s="164"/>
      <c r="AN88" s="164"/>
      <c r="AO88" s="164"/>
      <c r="AP88" s="164"/>
      <c r="AQ88" s="164"/>
      <c r="AR88" s="164"/>
      <c r="AS88" s="164"/>
      <c r="AT88" s="164"/>
      <c r="AU88" s="164"/>
      <c r="AV88" s="164"/>
      <c r="AW88" s="164"/>
      <c r="AX88" s="164"/>
      <c r="AY88" s="164"/>
      <c r="AZ88" s="164"/>
      <c r="BA88" s="164"/>
      <c r="BB88" s="164"/>
      <c r="BC88" s="164"/>
      <c r="BD88" s="164"/>
      <c r="BE88" s="164"/>
      <c r="BF88" s="164"/>
      <c r="BG88" s="164"/>
      <c r="BH88" s="164"/>
      <c r="BI88" s="164"/>
      <c r="BJ88" s="164"/>
      <c r="BK88" s="164"/>
    </row>
    <row r="89" spans="1:63" x14ac:dyDescent="0.2">
      <c r="A89" s="135" t="s">
        <v>92</v>
      </c>
      <c r="B89" s="166">
        <v>0.10620000213384628</v>
      </c>
      <c r="C89" s="166">
        <v>0.10610000044107437</v>
      </c>
      <c r="D89" s="166">
        <v>0.10639999806880951</v>
      </c>
      <c r="E89" s="166">
        <v>0.10689999908208847</v>
      </c>
      <c r="F89" s="166">
        <v>0.10740000009536743</v>
      </c>
      <c r="G89" s="166">
        <v>0.10849999636411667</v>
      </c>
      <c r="H89" s="166">
        <v>0.10999999940395355</v>
      </c>
      <c r="I89" s="166">
        <v>0.1128000020980835</v>
      </c>
      <c r="J89" s="166">
        <v>0.11749999970197678</v>
      </c>
      <c r="K89" s="166">
        <v>0.12510000169277191</v>
      </c>
      <c r="L89" s="166">
        <v>0.1363999992609024</v>
      </c>
      <c r="M89" s="166">
        <v>0.15250000357627869</v>
      </c>
      <c r="N89" s="166">
        <v>0.17479999363422394</v>
      </c>
      <c r="O89" s="166">
        <v>0.20250000059604645</v>
      </c>
      <c r="P89" s="166">
        <v>0.2354000061750412</v>
      </c>
      <c r="Q89" s="166">
        <v>0.27379998564720154</v>
      </c>
      <c r="R89" s="166">
        <v>0.31790000200271606</v>
      </c>
      <c r="S89" s="166">
        <v>0.36370000243186951</v>
      </c>
      <c r="T89" s="166">
        <v>0.39939999580383301</v>
      </c>
      <c r="U89" s="166">
        <v>0.43220001459121704</v>
      </c>
      <c r="V89" s="166">
        <f t="shared" si="0"/>
        <v>0.44175000488758087</v>
      </c>
      <c r="W89" s="166">
        <v>0.4512999951839447</v>
      </c>
      <c r="X89" s="166">
        <v>0.45399999618530273</v>
      </c>
      <c r="Y89" s="166">
        <v>0.45179998874664307</v>
      </c>
      <c r="Z89" s="166">
        <v>0.45019999146461487</v>
      </c>
      <c r="AA89" s="166">
        <v>0.45089998841285706</v>
      </c>
      <c r="AB89" s="166">
        <v>0.45320001244544983</v>
      </c>
      <c r="AC89" s="166">
        <v>0.45759999752044678</v>
      </c>
      <c r="AD89" s="166">
        <v>0.46340000629425049</v>
      </c>
      <c r="AE89" s="166">
        <v>0.47170001268386841</v>
      </c>
      <c r="AF89" s="166">
        <v>0.48260000348091125</v>
      </c>
      <c r="AG89" s="164"/>
      <c r="AH89" s="164"/>
      <c r="AI89" s="164"/>
      <c r="AJ89" s="164"/>
      <c r="AK89" s="164"/>
      <c r="AL89" s="164"/>
      <c r="AM89" s="164"/>
      <c r="AN89" s="164"/>
      <c r="AO89" s="164"/>
      <c r="AP89" s="164"/>
      <c r="AQ89" s="164"/>
      <c r="AR89" s="164"/>
      <c r="AS89" s="164"/>
      <c r="AT89" s="164"/>
      <c r="AU89" s="164"/>
      <c r="AV89" s="164"/>
      <c r="AW89" s="164"/>
      <c r="AX89" s="164"/>
      <c r="AY89" s="164"/>
      <c r="AZ89" s="164"/>
      <c r="BA89" s="164"/>
      <c r="BB89" s="164"/>
      <c r="BC89" s="164"/>
      <c r="BD89" s="164"/>
      <c r="BE89" s="164"/>
      <c r="BF89" s="164"/>
      <c r="BG89" s="164"/>
      <c r="BH89" s="164"/>
      <c r="BI89" s="164"/>
      <c r="BJ89" s="164"/>
      <c r="BK89" s="164"/>
    </row>
    <row r="90" spans="1:63" x14ac:dyDescent="0.2">
      <c r="A90" s="135" t="s">
        <v>93</v>
      </c>
      <c r="B90" s="166">
        <v>0.10710000246763229</v>
      </c>
      <c r="C90" s="166">
        <v>0.10679999738931656</v>
      </c>
      <c r="D90" s="166">
        <v>0.10710000246763229</v>
      </c>
      <c r="E90" s="166">
        <v>0.10760000348091125</v>
      </c>
      <c r="F90" s="166">
        <v>0.10819999873638153</v>
      </c>
      <c r="G90" s="166">
        <v>0.10939999669790268</v>
      </c>
      <c r="H90" s="166">
        <v>0.11129999905824661</v>
      </c>
      <c r="I90" s="166">
        <v>0.11439999938011169</v>
      </c>
      <c r="J90" s="166">
        <v>0.11980000138282776</v>
      </c>
      <c r="K90" s="166">
        <v>0.12839999794960022</v>
      </c>
      <c r="L90" s="166">
        <v>0.14100000262260437</v>
      </c>
      <c r="M90" s="166">
        <v>0.15880000591278076</v>
      </c>
      <c r="N90" s="166">
        <v>0.18269999325275421</v>
      </c>
      <c r="O90" s="166">
        <v>0.21269999444484711</v>
      </c>
      <c r="P90" s="166">
        <v>0.24729999899864197</v>
      </c>
      <c r="Q90" s="166">
        <v>0.28720000386238098</v>
      </c>
      <c r="R90" s="166">
        <v>0.33219999074935913</v>
      </c>
      <c r="S90" s="166">
        <v>0.37619999051094055</v>
      </c>
      <c r="T90" s="166">
        <v>0.41089999675750732</v>
      </c>
      <c r="U90" s="166">
        <v>0.44119998812675476</v>
      </c>
      <c r="V90" s="166">
        <f t="shared" si="0"/>
        <v>0.44720000028610229</v>
      </c>
      <c r="W90" s="166">
        <v>0.45320001244544983</v>
      </c>
      <c r="X90" s="166">
        <v>0.45489999651908875</v>
      </c>
      <c r="Y90" s="166">
        <v>0.45239999890327454</v>
      </c>
      <c r="Z90" s="166">
        <v>0.4496999979019165</v>
      </c>
      <c r="AA90" s="166">
        <v>0.45039999485015869</v>
      </c>
      <c r="AB90" s="166">
        <v>0.45239999890327454</v>
      </c>
      <c r="AC90" s="166">
        <v>0.45719999074935913</v>
      </c>
      <c r="AD90" s="166">
        <v>0.46389999985694885</v>
      </c>
      <c r="AE90" s="166">
        <v>0.47209998965263367</v>
      </c>
      <c r="AF90" s="166">
        <v>0.4828999936580658</v>
      </c>
      <c r="AG90" s="164"/>
      <c r="AH90" s="164"/>
      <c r="AI90" s="164"/>
      <c r="AJ90" s="164"/>
      <c r="AK90" s="164"/>
      <c r="AL90" s="164"/>
      <c r="AM90" s="164"/>
      <c r="AN90" s="164"/>
      <c r="AO90" s="164"/>
      <c r="AP90" s="164"/>
      <c r="AQ90" s="164"/>
      <c r="AR90" s="164"/>
      <c r="AS90" s="164"/>
      <c r="AT90" s="164"/>
      <c r="AU90" s="164"/>
      <c r="AV90" s="164"/>
      <c r="AW90" s="164"/>
      <c r="AX90" s="164"/>
      <c r="AY90" s="164"/>
      <c r="AZ90" s="164"/>
      <c r="BA90" s="164"/>
      <c r="BB90" s="164"/>
      <c r="BC90" s="164"/>
      <c r="BD90" s="164"/>
      <c r="BE90" s="164"/>
      <c r="BF90" s="164"/>
      <c r="BG90" s="164"/>
      <c r="BH90" s="164"/>
      <c r="BI90" s="164"/>
      <c r="BJ90" s="164"/>
      <c r="BK90" s="164"/>
    </row>
    <row r="91" spans="1:63" x14ac:dyDescent="0.2">
      <c r="A91" s="135" t="s">
        <v>94</v>
      </c>
      <c r="B91" s="166">
        <v>0.10679999738931656</v>
      </c>
      <c r="C91" s="166">
        <v>0.10660000145435333</v>
      </c>
      <c r="D91" s="166">
        <v>0.10700000077486038</v>
      </c>
      <c r="E91" s="166">
        <v>0.10740000009536743</v>
      </c>
      <c r="F91" s="166">
        <v>0.10790000110864639</v>
      </c>
      <c r="G91" s="166">
        <v>0.10920000076293945</v>
      </c>
      <c r="H91" s="166">
        <v>0.11110000312328339</v>
      </c>
      <c r="I91" s="166">
        <v>0.11450000107288361</v>
      </c>
      <c r="J91" s="166">
        <v>0.12039999663829803</v>
      </c>
      <c r="K91" s="166">
        <v>0.12970000505447388</v>
      </c>
      <c r="L91" s="166">
        <v>0.1437000036239624</v>
      </c>
      <c r="M91" s="166">
        <v>0.16300000250339508</v>
      </c>
      <c r="N91" s="166">
        <v>0.18850000202655792</v>
      </c>
      <c r="O91" s="166">
        <v>0.22020000219345093</v>
      </c>
      <c r="P91" s="166">
        <v>0.25569999217987061</v>
      </c>
      <c r="Q91" s="166">
        <v>0.29760000109672546</v>
      </c>
      <c r="R91" s="166">
        <v>0.34240001440048218</v>
      </c>
      <c r="S91" s="166">
        <v>0.38550001382827759</v>
      </c>
      <c r="T91" s="166">
        <v>0.41650000214576721</v>
      </c>
      <c r="U91" s="166">
        <v>0.44499999284744263</v>
      </c>
      <c r="V91" s="166">
        <f t="shared" si="0"/>
        <v>0.44730000197887421</v>
      </c>
      <c r="W91" s="166">
        <v>0.44960001111030579</v>
      </c>
      <c r="X91" s="166">
        <v>0.44879999756813049</v>
      </c>
      <c r="Y91" s="166">
        <v>0.44650000333786011</v>
      </c>
      <c r="Z91" s="166">
        <v>0.44389998912811279</v>
      </c>
      <c r="AA91" s="166">
        <v>0.44470000267028809</v>
      </c>
      <c r="AB91" s="166">
        <v>0.44740000367164612</v>
      </c>
      <c r="AC91" s="166">
        <v>0.45170000195503235</v>
      </c>
      <c r="AD91" s="166">
        <v>0.45750001072883606</v>
      </c>
      <c r="AE91" s="166">
        <v>0.46599999070167542</v>
      </c>
      <c r="AF91" s="166">
        <v>0.4781000018119812</v>
      </c>
      <c r="AG91" s="164"/>
      <c r="AH91" s="164"/>
      <c r="AI91" s="164"/>
      <c r="AJ91" s="164"/>
      <c r="AK91" s="164"/>
      <c r="AL91" s="164"/>
      <c r="AM91" s="164"/>
      <c r="AN91" s="164"/>
      <c r="AO91" s="164"/>
      <c r="AP91" s="164"/>
      <c r="AQ91" s="164"/>
      <c r="AR91" s="164"/>
      <c r="AS91" s="164"/>
      <c r="AT91" s="164"/>
      <c r="AU91" s="164"/>
      <c r="AV91" s="164"/>
      <c r="AW91" s="164"/>
      <c r="AX91" s="164"/>
      <c r="AY91" s="164"/>
      <c r="AZ91" s="164"/>
      <c r="BA91" s="164"/>
      <c r="BB91" s="164"/>
      <c r="BC91" s="164"/>
      <c r="BD91" s="164"/>
      <c r="BE91" s="164"/>
      <c r="BF91" s="164"/>
      <c r="BG91" s="164"/>
      <c r="BH91" s="164"/>
      <c r="BI91" s="164"/>
      <c r="BJ91" s="164"/>
      <c r="BK91" s="164"/>
    </row>
    <row r="92" spans="1:63" x14ac:dyDescent="0.2">
      <c r="A92" s="135" t="s">
        <v>95</v>
      </c>
      <c r="B92" s="166">
        <v>0.10740000009536743</v>
      </c>
      <c r="C92" s="166">
        <v>0.10719999670982361</v>
      </c>
      <c r="D92" s="166">
        <v>0.10769999772310257</v>
      </c>
      <c r="E92" s="166">
        <v>0.10830000042915344</v>
      </c>
      <c r="F92" s="166">
        <v>0.10909999907016754</v>
      </c>
      <c r="G92" s="166">
        <v>0.11100000143051147</v>
      </c>
      <c r="H92" s="166">
        <v>0.11379999667406082</v>
      </c>
      <c r="I92" s="166">
        <v>0.11869999766349792</v>
      </c>
      <c r="J92" s="166">
        <v>0.12669999897480011</v>
      </c>
      <c r="K92" s="166">
        <v>0.13920000195503235</v>
      </c>
      <c r="L92" s="166">
        <v>0.15710000693798065</v>
      </c>
      <c r="M92" s="166">
        <v>0.18119999766349792</v>
      </c>
      <c r="N92" s="166">
        <v>0.21170000731945038</v>
      </c>
      <c r="O92" s="166">
        <v>0.24750000238418579</v>
      </c>
      <c r="P92" s="166">
        <v>0.2872999906539917</v>
      </c>
      <c r="Q92" s="166">
        <v>0.33289998769760132</v>
      </c>
      <c r="R92" s="166">
        <v>0.37580001354217529</v>
      </c>
      <c r="S92" s="166">
        <v>0.41060000658035278</v>
      </c>
      <c r="T92" s="166">
        <v>0.43619999289512634</v>
      </c>
      <c r="U92" s="166">
        <v>0.4440000057220459</v>
      </c>
      <c r="V92" s="166">
        <f t="shared" si="0"/>
        <v>0.44345000386238098</v>
      </c>
      <c r="W92" s="166">
        <v>0.44290000200271606</v>
      </c>
      <c r="X92" s="166">
        <v>0.43930000066757202</v>
      </c>
      <c r="Y92" s="166">
        <v>0.43779999017715454</v>
      </c>
      <c r="Z92" s="166">
        <v>0.4359000027179718</v>
      </c>
      <c r="AA92" s="166">
        <v>0.43790000677108765</v>
      </c>
      <c r="AB92" s="166">
        <v>0.44220000505447388</v>
      </c>
      <c r="AC92" s="166">
        <v>0.44949999451637268</v>
      </c>
      <c r="AD92" s="166">
        <v>0.45559999346733093</v>
      </c>
      <c r="AE92" s="166">
        <v>0.4650999903678894</v>
      </c>
      <c r="AF92" s="166">
        <v>0.47670000791549683</v>
      </c>
      <c r="AG92" s="164"/>
      <c r="AH92" s="164"/>
      <c r="AI92" s="164"/>
      <c r="AJ92" s="164"/>
      <c r="AK92" s="164"/>
      <c r="AL92" s="164"/>
      <c r="AM92" s="164"/>
      <c r="AN92" s="164"/>
      <c r="AO92" s="164"/>
      <c r="AP92" s="164"/>
      <c r="AQ92" s="164"/>
      <c r="AR92" s="164"/>
      <c r="AS92" s="164"/>
      <c r="AT92" s="164"/>
      <c r="AU92" s="164"/>
      <c r="AV92" s="164"/>
      <c r="AW92" s="164"/>
      <c r="AX92" s="164"/>
      <c r="AY92" s="164"/>
      <c r="AZ92" s="164"/>
      <c r="BA92" s="164"/>
      <c r="BB92" s="164"/>
      <c r="BC92" s="164"/>
      <c r="BD92" s="164"/>
      <c r="BE92" s="164"/>
      <c r="BF92" s="164"/>
      <c r="BG92" s="164"/>
      <c r="BH92" s="164"/>
      <c r="BI92" s="164"/>
      <c r="BJ92" s="164"/>
      <c r="BK92" s="164"/>
    </row>
    <row r="93" spans="1:63" x14ac:dyDescent="0.2">
      <c r="A93" s="135" t="s">
        <v>96</v>
      </c>
      <c r="B93" s="166">
        <v>0.10530000180006027</v>
      </c>
      <c r="C93" s="166">
        <v>0.10530000180006027</v>
      </c>
      <c r="D93" s="166">
        <v>0.1054999977350235</v>
      </c>
      <c r="E93" s="166">
        <v>0.10599999874830246</v>
      </c>
      <c r="F93" s="166">
        <v>0.10639999806880951</v>
      </c>
      <c r="G93" s="166">
        <v>0.10750000178813934</v>
      </c>
      <c r="H93" s="166">
        <v>0.10930000245571136</v>
      </c>
      <c r="I93" s="166">
        <v>0.11230000108480453</v>
      </c>
      <c r="J93" s="166">
        <v>0.11749999970197678</v>
      </c>
      <c r="K93" s="166">
        <v>0.12600000202655792</v>
      </c>
      <c r="L93" s="166">
        <v>0.13869999349117279</v>
      </c>
      <c r="M93" s="166">
        <v>0.15649999678134918</v>
      </c>
      <c r="N93" s="166">
        <v>0.18050000071525574</v>
      </c>
      <c r="O93" s="166">
        <v>0.21060000360012054</v>
      </c>
      <c r="P93" s="166">
        <v>0.24529999494552612</v>
      </c>
      <c r="Q93" s="166">
        <v>0.28519999980926514</v>
      </c>
      <c r="R93" s="166">
        <v>0.32989999651908875</v>
      </c>
      <c r="S93" s="166">
        <v>0.37389999628067017</v>
      </c>
      <c r="T93" s="166">
        <v>0.40590000152587891</v>
      </c>
      <c r="U93" s="166">
        <v>0.43450000882148743</v>
      </c>
      <c r="V93" s="166">
        <f t="shared" si="0"/>
        <v>0.43585000932216644</v>
      </c>
      <c r="W93" s="166">
        <v>0.43720000982284546</v>
      </c>
      <c r="X93" s="166">
        <v>0.4357999861240387</v>
      </c>
      <c r="Y93" s="166">
        <v>0.43239998817443848</v>
      </c>
      <c r="Z93" s="166">
        <v>0.42950001358985901</v>
      </c>
      <c r="AA93" s="166">
        <v>0.43050000071525574</v>
      </c>
      <c r="AB93" s="166">
        <v>0.43299999833106995</v>
      </c>
      <c r="AC93" s="166">
        <v>0.43540000915527344</v>
      </c>
      <c r="AD93" s="166">
        <v>0.44170001149177551</v>
      </c>
      <c r="AE93" s="166">
        <v>0.44940000772476196</v>
      </c>
      <c r="AF93" s="166">
        <v>0.45980000495910645</v>
      </c>
      <c r="AG93" s="164"/>
      <c r="AH93" s="164"/>
      <c r="AI93" s="164"/>
      <c r="AJ93" s="164"/>
      <c r="AK93" s="164"/>
      <c r="AL93" s="164"/>
      <c r="AM93" s="164"/>
      <c r="AN93" s="164"/>
      <c r="AO93" s="164"/>
      <c r="AP93" s="164"/>
      <c r="AQ93" s="164"/>
      <c r="AR93" s="164"/>
      <c r="AS93" s="164"/>
      <c r="AT93" s="164"/>
      <c r="AU93" s="164"/>
      <c r="AV93" s="164"/>
      <c r="AW93" s="164"/>
      <c r="AX93" s="164"/>
      <c r="AY93" s="164"/>
      <c r="AZ93" s="164"/>
      <c r="BA93" s="164"/>
      <c r="BB93" s="164"/>
      <c r="BC93" s="164"/>
      <c r="BD93" s="164"/>
      <c r="BE93" s="164"/>
      <c r="BF93" s="164"/>
      <c r="BG93" s="164"/>
      <c r="BH93" s="164"/>
      <c r="BI93" s="164"/>
      <c r="BJ93" s="164"/>
      <c r="BK93" s="164"/>
    </row>
    <row r="94" spans="1:63" x14ac:dyDescent="0.2">
      <c r="A94" s="135" t="s">
        <v>97</v>
      </c>
      <c r="B94" s="166">
        <v>0.10819999873638153</v>
      </c>
      <c r="C94" s="166">
        <v>0.1080000028014183</v>
      </c>
      <c r="D94" s="166">
        <v>0.10830000042915344</v>
      </c>
      <c r="E94" s="166">
        <v>0.10899999737739563</v>
      </c>
      <c r="F94" s="166">
        <v>0.10999999940395355</v>
      </c>
      <c r="G94" s="166">
        <v>0.11190000176429749</v>
      </c>
      <c r="H94" s="166">
        <v>0.11500000208616257</v>
      </c>
      <c r="I94" s="166">
        <v>0.12060000002384186</v>
      </c>
      <c r="J94" s="166">
        <v>0.12989999353885651</v>
      </c>
      <c r="K94" s="166">
        <v>0.14339999854564667</v>
      </c>
      <c r="L94" s="166">
        <v>0.16290000081062317</v>
      </c>
      <c r="M94" s="166">
        <v>0.18930000066757202</v>
      </c>
      <c r="N94" s="166">
        <v>0.22110000252723694</v>
      </c>
      <c r="O94" s="166">
        <v>0.25870001316070557</v>
      </c>
      <c r="P94" s="166">
        <v>0.30079999566078186</v>
      </c>
      <c r="Q94" s="166">
        <v>0.34589999914169312</v>
      </c>
      <c r="R94" s="166">
        <v>0.38690000772476196</v>
      </c>
      <c r="S94" s="166">
        <v>0.41740000247955322</v>
      </c>
      <c r="T94" s="166">
        <v>0.43889999389648438</v>
      </c>
      <c r="U94" s="166">
        <v>0.43790000677108765</v>
      </c>
      <c r="V94" s="166">
        <f t="shared" si="0"/>
        <v>0.43580000102519989</v>
      </c>
      <c r="W94" s="166">
        <v>0.43369999527931213</v>
      </c>
      <c r="X94" s="166">
        <v>0.4293999969959259</v>
      </c>
      <c r="Y94" s="166">
        <v>0.42559999227523804</v>
      </c>
      <c r="Z94" s="166">
        <v>0.42550000548362732</v>
      </c>
      <c r="AA94" s="166">
        <v>0.42739999294281006</v>
      </c>
      <c r="AB94" s="166">
        <v>0.43059998750686646</v>
      </c>
      <c r="AC94" s="166">
        <v>0.43790000677108765</v>
      </c>
      <c r="AD94" s="166">
        <v>0.4447999894618988</v>
      </c>
      <c r="AE94" s="166">
        <v>0.45489999651908875</v>
      </c>
      <c r="AF94" s="166">
        <v>0.4643000066280365</v>
      </c>
      <c r="AG94" s="164"/>
      <c r="AH94" s="164"/>
      <c r="AI94" s="164"/>
      <c r="AJ94" s="164"/>
      <c r="AK94" s="164"/>
      <c r="AL94" s="164"/>
      <c r="AM94" s="164"/>
      <c r="AN94" s="164"/>
      <c r="AO94" s="164"/>
      <c r="AP94" s="164"/>
      <c r="AQ94" s="164"/>
      <c r="AR94" s="164"/>
      <c r="AS94" s="164"/>
      <c r="AT94" s="164"/>
      <c r="AU94" s="164"/>
      <c r="AV94" s="164"/>
      <c r="AW94" s="164"/>
      <c r="AX94" s="164"/>
      <c r="AY94" s="164"/>
      <c r="AZ94" s="164"/>
      <c r="BA94" s="164"/>
      <c r="BB94" s="164"/>
      <c r="BC94" s="164"/>
      <c r="BD94" s="164"/>
      <c r="BE94" s="164"/>
      <c r="BF94" s="164"/>
      <c r="BG94" s="164"/>
      <c r="BH94" s="164"/>
      <c r="BI94" s="164"/>
      <c r="BJ94" s="164"/>
      <c r="BK94" s="164"/>
    </row>
    <row r="95" spans="1:63" x14ac:dyDescent="0.2">
      <c r="A95" s="135" t="s">
        <v>98</v>
      </c>
      <c r="B95" s="166">
        <v>0.10920000076293945</v>
      </c>
      <c r="C95" s="166">
        <v>0.10920000076293945</v>
      </c>
      <c r="D95" s="166">
        <v>0.10939999669790268</v>
      </c>
      <c r="E95" s="166">
        <v>0.11020000278949738</v>
      </c>
      <c r="F95" s="166">
        <v>0.11129999905824661</v>
      </c>
      <c r="G95" s="166">
        <v>0.1136000007390976</v>
      </c>
      <c r="H95" s="166">
        <v>0.11720000207424164</v>
      </c>
      <c r="I95" s="166">
        <v>0.12349999696016312</v>
      </c>
      <c r="J95" s="166">
        <v>0.13480000197887421</v>
      </c>
      <c r="K95" s="166">
        <v>0.148499995470047</v>
      </c>
      <c r="L95" s="166">
        <v>0.17020000517368317</v>
      </c>
      <c r="M95" s="166">
        <v>0.19779999554157257</v>
      </c>
      <c r="N95" s="166">
        <v>0.23170000314712524</v>
      </c>
      <c r="O95" s="166">
        <v>0.26969999074935913</v>
      </c>
      <c r="P95" s="166">
        <v>0.31279999017715454</v>
      </c>
      <c r="Q95" s="166">
        <v>0.35929998755455017</v>
      </c>
      <c r="R95" s="166">
        <v>0.39649999141693115</v>
      </c>
      <c r="S95" s="166">
        <v>0.42829999327659607</v>
      </c>
      <c r="T95" s="166">
        <v>0.44220000505447388</v>
      </c>
      <c r="U95" s="166">
        <v>0.44159999489784241</v>
      </c>
      <c r="V95" s="166">
        <f t="shared" si="0"/>
        <v>0.43834999203681946</v>
      </c>
      <c r="W95" s="166">
        <v>0.43509998917579651</v>
      </c>
      <c r="X95" s="166">
        <v>0.4302000105381012</v>
      </c>
      <c r="Y95" s="166">
        <v>0.42809998989105225</v>
      </c>
      <c r="Z95" s="166">
        <v>0.42870000004768372</v>
      </c>
      <c r="AA95" s="166">
        <v>0.43090000748634338</v>
      </c>
      <c r="AB95" s="166">
        <v>0.4343000054359436</v>
      </c>
      <c r="AC95" s="166">
        <v>0.44409999251365662</v>
      </c>
      <c r="AD95" s="166">
        <v>0.4505000114440918</v>
      </c>
      <c r="AE95" s="166">
        <v>0.46180000901222229</v>
      </c>
      <c r="AF95" s="166">
        <v>0.47069999575614929</v>
      </c>
      <c r="AG95" s="164"/>
      <c r="AH95" s="164"/>
      <c r="AI95" s="164"/>
      <c r="AJ95" s="164"/>
      <c r="AK95" s="164"/>
      <c r="AL95" s="164"/>
      <c r="AM95" s="164"/>
      <c r="AN95" s="164"/>
      <c r="AO95" s="164"/>
      <c r="AP95" s="164"/>
      <c r="AQ95" s="164"/>
      <c r="AR95" s="164"/>
      <c r="AS95" s="164"/>
      <c r="AT95" s="164"/>
      <c r="AU95" s="164"/>
      <c r="AV95" s="164"/>
      <c r="AW95" s="164"/>
      <c r="AX95" s="164"/>
      <c r="AY95" s="164"/>
      <c r="AZ95" s="164"/>
      <c r="BA95" s="164"/>
      <c r="BB95" s="164"/>
      <c r="BC95" s="164"/>
      <c r="BD95" s="164"/>
      <c r="BE95" s="164"/>
      <c r="BF95" s="164"/>
      <c r="BG95" s="164"/>
      <c r="BH95" s="164"/>
      <c r="BI95" s="164"/>
      <c r="BJ95" s="164"/>
      <c r="BK95" s="164"/>
    </row>
    <row r="96" spans="1:63" x14ac:dyDescent="0.2">
      <c r="A96" s="135" t="s">
        <v>99</v>
      </c>
      <c r="B96" s="166">
        <v>0.10819999873638153</v>
      </c>
      <c r="C96" s="166">
        <v>0.10809999704360962</v>
      </c>
      <c r="D96" s="166">
        <v>0.10859999805688858</v>
      </c>
      <c r="E96" s="166">
        <v>0.1096000000834465</v>
      </c>
      <c r="F96" s="166">
        <v>0.11029999703168869</v>
      </c>
      <c r="G96" s="166">
        <v>0.11230000108480453</v>
      </c>
      <c r="H96" s="166">
        <v>0.11559999734163284</v>
      </c>
      <c r="I96" s="166">
        <v>0.12129999697208405</v>
      </c>
      <c r="J96" s="166">
        <v>0.13060000538825989</v>
      </c>
      <c r="K96" s="166">
        <v>0.1445000022649765</v>
      </c>
      <c r="L96" s="166">
        <v>0.16470000147819519</v>
      </c>
      <c r="M96" s="166">
        <v>0.19120000302791595</v>
      </c>
      <c r="N96" s="166">
        <v>0.2231999933719635</v>
      </c>
      <c r="O96" s="166">
        <v>0.26019999384880066</v>
      </c>
      <c r="P96" s="166">
        <v>0.30230000615119934</v>
      </c>
      <c r="Q96" s="166">
        <v>0.34720000624656677</v>
      </c>
      <c r="R96" s="166">
        <v>0.3880000114440918</v>
      </c>
      <c r="S96" s="166">
        <v>0.42030000686645508</v>
      </c>
      <c r="T96" s="166">
        <v>0.44220000505447388</v>
      </c>
      <c r="U96" s="166">
        <v>0.44150000810623169</v>
      </c>
      <c r="V96" s="166">
        <f t="shared" si="0"/>
        <v>0.43970000743865967</v>
      </c>
      <c r="W96" s="166">
        <v>0.43790000677108765</v>
      </c>
      <c r="X96" s="166">
        <v>0.4341999888420105</v>
      </c>
      <c r="Y96" s="166">
        <v>0.43220001459121704</v>
      </c>
      <c r="Z96" s="166">
        <v>0.43160000443458557</v>
      </c>
      <c r="AA96" s="166">
        <v>0.43720000982284546</v>
      </c>
      <c r="AB96" s="166">
        <v>0.44029998779296875</v>
      </c>
      <c r="AC96" s="166">
        <v>0.44609999656677246</v>
      </c>
      <c r="AD96" s="166">
        <v>0.4546000063419342</v>
      </c>
      <c r="AE96" s="166">
        <v>0.4650999903678894</v>
      </c>
      <c r="AF96" s="166">
        <v>0.47530001401901245</v>
      </c>
      <c r="AG96" s="164"/>
      <c r="AH96" s="164"/>
      <c r="AI96" s="164"/>
      <c r="AJ96" s="164"/>
      <c r="AK96" s="164"/>
      <c r="AL96" s="164"/>
      <c r="AM96" s="164"/>
      <c r="AN96" s="164"/>
      <c r="AO96" s="164"/>
      <c r="AP96" s="164"/>
      <c r="AQ96" s="164"/>
      <c r="AR96" s="164"/>
      <c r="AS96" s="164"/>
      <c r="AT96" s="164"/>
      <c r="AU96" s="164"/>
      <c r="AV96" s="164"/>
      <c r="AW96" s="164"/>
      <c r="AX96" s="164"/>
      <c r="AY96" s="164"/>
      <c r="AZ96" s="164"/>
      <c r="BA96" s="164"/>
      <c r="BB96" s="164"/>
      <c r="BC96" s="164"/>
      <c r="BD96" s="164"/>
      <c r="BE96" s="164"/>
      <c r="BF96" s="164"/>
      <c r="BG96" s="164"/>
      <c r="BH96" s="164"/>
      <c r="BI96" s="164"/>
      <c r="BJ96" s="164"/>
      <c r="BK96" s="164"/>
    </row>
    <row r="97" spans="1:63" x14ac:dyDescent="0.2">
      <c r="A97" s="135" t="s">
        <v>100</v>
      </c>
      <c r="B97" s="166">
        <v>0.11069999635219574</v>
      </c>
      <c r="C97" s="166">
        <v>0.11129999905824661</v>
      </c>
      <c r="D97" s="166">
        <v>0.11050000041723251</v>
      </c>
      <c r="E97" s="166">
        <v>0.11150000244379044</v>
      </c>
      <c r="F97" s="166">
        <v>0.11259999871253967</v>
      </c>
      <c r="G97" s="166">
        <v>0.11540000140666962</v>
      </c>
      <c r="H97" s="166">
        <v>0.11959999799728394</v>
      </c>
      <c r="I97" s="166">
        <v>0.12720000743865967</v>
      </c>
      <c r="J97" s="166">
        <v>0.13869999349117279</v>
      </c>
      <c r="K97" s="166">
        <v>0.15600000321865082</v>
      </c>
      <c r="L97" s="166">
        <v>0.18039999902248383</v>
      </c>
      <c r="M97" s="166">
        <v>0.21150000393390656</v>
      </c>
      <c r="N97" s="166">
        <v>0.24879999458789825</v>
      </c>
      <c r="O97" s="166">
        <v>0.29289999604225159</v>
      </c>
      <c r="P97" s="166">
        <v>0.33860000967979431</v>
      </c>
      <c r="Q97" s="166">
        <v>0.38510000705718994</v>
      </c>
      <c r="R97" s="166">
        <v>0.43450000882148743</v>
      </c>
      <c r="S97" s="166">
        <v>0.46579998731613159</v>
      </c>
      <c r="T97" s="166">
        <v>0.49200001358985901</v>
      </c>
      <c r="U97" s="166">
        <v>0.50309997797012329</v>
      </c>
      <c r="V97" s="166">
        <f t="shared" si="0"/>
        <v>0.51169997453689575</v>
      </c>
      <c r="W97" s="166">
        <v>0.52029997110366821</v>
      </c>
      <c r="X97" s="166">
        <v>0.5317000150680542</v>
      </c>
      <c r="Y97" s="166">
        <v>0.53659999370574951</v>
      </c>
      <c r="Z97" s="166">
        <v>0.53640002012252808</v>
      </c>
      <c r="AA97" s="166">
        <v>0.53960001468658447</v>
      </c>
      <c r="AB97" s="166">
        <v>0.54180002212524414</v>
      </c>
      <c r="AC97" s="166">
        <v>0.54400002956390381</v>
      </c>
      <c r="AD97" s="166">
        <v>0.54860001802444458</v>
      </c>
      <c r="AE97" s="166">
        <v>0.55610001087188721</v>
      </c>
      <c r="AF97" s="166">
        <v>0.55889999866485596</v>
      </c>
      <c r="AG97" s="164"/>
      <c r="AH97" s="164"/>
      <c r="AI97" s="164"/>
      <c r="AJ97" s="164"/>
      <c r="AK97" s="164"/>
      <c r="AL97" s="164"/>
      <c r="AM97" s="164"/>
      <c r="AN97" s="164"/>
      <c r="AO97" s="164"/>
      <c r="AP97" s="164"/>
      <c r="AQ97" s="164"/>
      <c r="AR97" s="164"/>
      <c r="AS97" s="164"/>
      <c r="AT97" s="164"/>
      <c r="AU97" s="164"/>
      <c r="AV97" s="164"/>
      <c r="AW97" s="164"/>
      <c r="AX97" s="164"/>
      <c r="AY97" s="164"/>
      <c r="AZ97" s="164"/>
      <c r="BA97" s="164"/>
      <c r="BB97" s="164"/>
      <c r="BC97" s="164"/>
      <c r="BD97" s="164"/>
      <c r="BE97" s="164"/>
      <c r="BF97" s="164"/>
      <c r="BG97" s="164"/>
      <c r="BH97" s="164"/>
      <c r="BI97" s="164"/>
      <c r="BJ97" s="164"/>
      <c r="BK97" s="164"/>
    </row>
    <row r="98" spans="1:63" x14ac:dyDescent="0.2">
      <c r="A98" s="135" t="s">
        <v>101</v>
      </c>
      <c r="B98" s="166">
        <v>0.10719999670982361</v>
      </c>
      <c r="C98" s="166">
        <v>0.10660000145435333</v>
      </c>
      <c r="D98" s="166">
        <v>0.10660000145435333</v>
      </c>
      <c r="E98" s="166">
        <v>0.10660000145435333</v>
      </c>
      <c r="F98" s="166">
        <v>0.10639999806880951</v>
      </c>
      <c r="G98" s="166">
        <v>0.10649999976158142</v>
      </c>
      <c r="H98" s="166">
        <v>0.10660000145435333</v>
      </c>
      <c r="I98" s="166">
        <v>0.10620000213384628</v>
      </c>
      <c r="J98" s="166">
        <v>0.10620000213384628</v>
      </c>
      <c r="K98" s="166">
        <v>0.10620000213384628</v>
      </c>
      <c r="L98" s="166">
        <v>0.10610000044107437</v>
      </c>
      <c r="M98" s="166">
        <v>0.10589999705553055</v>
      </c>
      <c r="N98" s="166">
        <v>0.10580000281333923</v>
      </c>
      <c r="O98" s="166">
        <v>0.1054999977350235</v>
      </c>
      <c r="P98" s="166">
        <v>0.10530000180006027</v>
      </c>
      <c r="Q98" s="166">
        <v>0.10530000180006027</v>
      </c>
      <c r="R98" s="166">
        <v>0.10530000180006027</v>
      </c>
      <c r="S98" s="166">
        <v>0.10540000349283218</v>
      </c>
      <c r="T98" s="166">
        <v>0.10570000112056732</v>
      </c>
      <c r="U98" s="166">
        <v>0.10570000112056732</v>
      </c>
      <c r="V98" s="166">
        <f t="shared" si="0"/>
        <v>0.10610000044107437</v>
      </c>
      <c r="W98" s="166">
        <v>0.10649999976158142</v>
      </c>
      <c r="X98" s="166">
        <v>0.10639999806880951</v>
      </c>
      <c r="Y98" s="166">
        <v>0.10620000213384628</v>
      </c>
      <c r="Z98" s="166">
        <v>0.10580000281333923</v>
      </c>
      <c r="AA98" s="166">
        <v>0.10570000112056732</v>
      </c>
      <c r="AB98" s="166">
        <v>0.10559999942779541</v>
      </c>
      <c r="AC98" s="166">
        <v>0.10540000349283218</v>
      </c>
      <c r="AD98" s="166">
        <v>0.1054999977350235</v>
      </c>
      <c r="AE98" s="166">
        <v>0.1054999977350235</v>
      </c>
      <c r="AF98" s="166">
        <v>0.10580000281333923</v>
      </c>
      <c r="AG98" s="164"/>
      <c r="AH98" s="164"/>
      <c r="AI98" s="164"/>
      <c r="AJ98" s="164"/>
      <c r="AK98" s="164"/>
      <c r="AL98" s="164"/>
      <c r="AM98" s="164"/>
      <c r="AN98" s="164"/>
      <c r="AO98" s="164"/>
      <c r="AP98" s="164"/>
      <c r="AQ98" s="164"/>
      <c r="AR98" s="164"/>
      <c r="AS98" s="164"/>
      <c r="AT98" s="164"/>
      <c r="AU98" s="164"/>
      <c r="AV98" s="164"/>
      <c r="AW98" s="164"/>
      <c r="AX98" s="164"/>
      <c r="AY98" s="164"/>
      <c r="AZ98" s="164"/>
      <c r="BA98" s="164"/>
      <c r="BB98" s="164"/>
      <c r="BC98" s="164"/>
      <c r="BD98" s="164"/>
      <c r="BE98" s="164"/>
      <c r="BF98" s="164"/>
      <c r="BG98" s="164"/>
      <c r="BH98" s="164"/>
      <c r="BI98" s="164"/>
      <c r="BJ98" s="164"/>
      <c r="BK98" s="164"/>
    </row>
    <row r="99" spans="1:63" x14ac:dyDescent="0.2">
      <c r="A99" s="135" t="s">
        <v>102</v>
      </c>
      <c r="B99" s="166">
        <v>0.10790000110864639</v>
      </c>
      <c r="C99" s="166">
        <v>0.10760000348091125</v>
      </c>
      <c r="D99" s="166">
        <v>0.10750000178813934</v>
      </c>
      <c r="E99" s="166">
        <v>0.10750000178813934</v>
      </c>
      <c r="F99" s="166">
        <v>0.10750000178813934</v>
      </c>
      <c r="G99" s="166">
        <v>0.10760000348091125</v>
      </c>
      <c r="H99" s="166">
        <v>0.10750000178813934</v>
      </c>
      <c r="I99" s="166">
        <v>0.10750000178813934</v>
      </c>
      <c r="J99" s="166">
        <v>0.10740000009536743</v>
      </c>
      <c r="K99" s="166">
        <v>0.10740000009536743</v>
      </c>
      <c r="L99" s="166">
        <v>0.10740000009536743</v>
      </c>
      <c r="M99" s="166">
        <v>0.10719999670982361</v>
      </c>
      <c r="N99" s="166">
        <v>0.10700000077486038</v>
      </c>
      <c r="O99" s="166">
        <v>0.10670000314712524</v>
      </c>
      <c r="P99" s="166">
        <v>0.10679999738931656</v>
      </c>
      <c r="Q99" s="166">
        <v>0.10649999976158142</v>
      </c>
      <c r="R99" s="166">
        <v>0.10660000145435333</v>
      </c>
      <c r="S99" s="166">
        <v>0.10679999738931656</v>
      </c>
      <c r="T99" s="166">
        <v>0.10700000077486038</v>
      </c>
      <c r="U99" s="166">
        <v>0.10710000246763229</v>
      </c>
      <c r="V99" s="166">
        <f t="shared" si="0"/>
        <v>0.10710000246763229</v>
      </c>
      <c r="W99" s="166">
        <v>0.10710000246763229</v>
      </c>
      <c r="X99" s="166">
        <v>0.10679999738931656</v>
      </c>
      <c r="Y99" s="166">
        <v>0.10660000145435333</v>
      </c>
      <c r="Z99" s="166">
        <v>0.1062999963760376</v>
      </c>
      <c r="AA99" s="166">
        <v>0.10620000213384628</v>
      </c>
      <c r="AB99" s="166">
        <v>0.10599999874830246</v>
      </c>
      <c r="AC99" s="166">
        <v>0.10589999705553055</v>
      </c>
      <c r="AD99" s="166">
        <v>0.10599999874830246</v>
      </c>
      <c r="AE99" s="166">
        <v>0.10599999874830246</v>
      </c>
      <c r="AF99" s="166">
        <v>0.10610000044107437</v>
      </c>
      <c r="AG99" s="164"/>
      <c r="AH99" s="164"/>
      <c r="AI99" s="164"/>
      <c r="AJ99" s="164"/>
      <c r="AK99" s="164"/>
      <c r="AL99" s="164"/>
      <c r="AM99" s="164"/>
      <c r="AN99" s="164"/>
      <c r="AO99" s="164"/>
      <c r="AP99" s="164"/>
      <c r="AQ99" s="164"/>
      <c r="AR99" s="164"/>
      <c r="AS99" s="164"/>
      <c r="AT99" s="164"/>
      <c r="AU99" s="164"/>
      <c r="AV99" s="164"/>
      <c r="AW99" s="164"/>
      <c r="AX99" s="164"/>
      <c r="AY99" s="164"/>
      <c r="AZ99" s="164"/>
      <c r="BA99" s="164"/>
      <c r="BB99" s="164"/>
      <c r="BC99" s="164"/>
      <c r="BD99" s="164"/>
      <c r="BE99" s="164"/>
      <c r="BF99" s="164"/>
      <c r="BG99" s="164"/>
      <c r="BH99" s="164"/>
      <c r="BI99" s="164"/>
      <c r="BJ99" s="164"/>
      <c r="BK99" s="164"/>
    </row>
    <row r="100" spans="1:63" x14ac:dyDescent="0.2">
      <c r="A100" s="135" t="s">
        <v>103</v>
      </c>
      <c r="B100" s="166">
        <v>0.10610000044107437</v>
      </c>
      <c r="C100" s="166">
        <v>0.10599999874830246</v>
      </c>
      <c r="D100" s="166">
        <v>0.10610000044107437</v>
      </c>
      <c r="E100" s="166">
        <v>0.10620000213384628</v>
      </c>
      <c r="F100" s="166">
        <v>0.10660000145435333</v>
      </c>
      <c r="G100" s="166">
        <v>0.10750000178813934</v>
      </c>
      <c r="H100" s="166">
        <v>0.10859999805688858</v>
      </c>
      <c r="I100" s="166">
        <v>0.11060000211000443</v>
      </c>
      <c r="J100" s="166">
        <v>0.11389999836683273</v>
      </c>
      <c r="K100" s="166">
        <v>0.11959999799728394</v>
      </c>
      <c r="L100" s="166">
        <v>0.12839999794960022</v>
      </c>
      <c r="M100" s="166">
        <v>0.14159999787807465</v>
      </c>
      <c r="N100" s="166">
        <v>0.15970000624656677</v>
      </c>
      <c r="O100" s="166">
        <v>0.18410000205039978</v>
      </c>
      <c r="P100" s="166">
        <v>0.21359999477863312</v>
      </c>
      <c r="Q100" s="166">
        <v>0.24869999289512634</v>
      </c>
      <c r="R100" s="166">
        <v>0.28999999165534973</v>
      </c>
      <c r="S100" s="166">
        <v>0.33500000834465027</v>
      </c>
      <c r="T100" s="166">
        <v>0.37779998779296875</v>
      </c>
      <c r="U100" s="166">
        <v>0.41460001468658447</v>
      </c>
      <c r="V100" s="166">
        <f t="shared" si="0"/>
        <v>0.43090000748634338</v>
      </c>
      <c r="W100" s="166">
        <v>0.44720000028610229</v>
      </c>
      <c r="X100" s="166">
        <v>0.45500001311302185</v>
      </c>
      <c r="Y100" s="166">
        <v>0.45640000700950623</v>
      </c>
      <c r="Z100" s="166">
        <v>0.4544999897480011</v>
      </c>
      <c r="AA100" s="166">
        <v>0.45509999990463257</v>
      </c>
      <c r="AB100" s="166">
        <v>0.45649999380111694</v>
      </c>
      <c r="AC100" s="166">
        <v>0.46160000562667847</v>
      </c>
      <c r="AD100" s="166">
        <v>0.46889999508857727</v>
      </c>
      <c r="AE100" s="166">
        <v>0.47499999403953552</v>
      </c>
      <c r="AF100" s="166">
        <v>0.4878000020980835</v>
      </c>
      <c r="AG100" s="164"/>
      <c r="AH100" s="164"/>
      <c r="AI100" s="164"/>
      <c r="AJ100" s="164"/>
      <c r="AK100" s="164"/>
      <c r="AL100" s="164"/>
      <c r="AM100" s="164"/>
      <c r="AN100" s="164"/>
      <c r="AO100" s="164"/>
      <c r="AP100" s="164"/>
      <c r="AQ100" s="164"/>
      <c r="AR100" s="164"/>
      <c r="AS100" s="164"/>
      <c r="AT100" s="164"/>
      <c r="AU100" s="164"/>
      <c r="AV100" s="164"/>
      <c r="AW100" s="164"/>
      <c r="AX100" s="164"/>
      <c r="AY100" s="164"/>
      <c r="AZ100" s="164"/>
      <c r="BA100" s="164"/>
      <c r="BB100" s="164"/>
      <c r="BC100" s="164"/>
      <c r="BD100" s="164"/>
      <c r="BE100" s="164"/>
      <c r="BF100" s="164"/>
      <c r="BG100" s="164"/>
      <c r="BH100" s="164"/>
      <c r="BI100" s="164"/>
      <c r="BJ100" s="164"/>
      <c r="BK100" s="164"/>
    </row>
    <row r="101" spans="1:63" x14ac:dyDescent="0.2">
      <c r="A101" s="135" t="s">
        <v>104</v>
      </c>
      <c r="B101" s="166">
        <v>0.10859999805688858</v>
      </c>
      <c r="C101" s="166">
        <v>0.10840000212192535</v>
      </c>
      <c r="D101" s="166">
        <v>0.1088000014424324</v>
      </c>
      <c r="E101" s="166">
        <v>0.10939999669790268</v>
      </c>
      <c r="F101" s="166">
        <v>0.11020000278949738</v>
      </c>
      <c r="G101" s="166">
        <v>0.1120000034570694</v>
      </c>
      <c r="H101" s="166">
        <v>0.11479999870061874</v>
      </c>
      <c r="I101" s="166">
        <v>0.11949999630451202</v>
      </c>
      <c r="J101" s="166">
        <v>0.1273999959230423</v>
      </c>
      <c r="K101" s="166">
        <v>0.13899999856948853</v>
      </c>
      <c r="L101" s="166">
        <v>0.15539999306201935</v>
      </c>
      <c r="M101" s="166">
        <v>0.17870000004768372</v>
      </c>
      <c r="N101" s="166">
        <v>0.20730000734329224</v>
      </c>
      <c r="O101" s="166">
        <v>0.24050000309944153</v>
      </c>
      <c r="P101" s="166">
        <v>0.27790001034736633</v>
      </c>
      <c r="Q101" s="166">
        <v>0.32170000672340393</v>
      </c>
      <c r="R101" s="166">
        <v>0.36550000309944153</v>
      </c>
      <c r="S101" s="166">
        <v>0.40279999375343323</v>
      </c>
      <c r="T101" s="166">
        <v>0.43369999527931213</v>
      </c>
      <c r="U101" s="166">
        <v>0.44539999961853027</v>
      </c>
      <c r="V101" s="166">
        <f t="shared" si="0"/>
        <v>0.44885000586509705</v>
      </c>
      <c r="W101" s="166">
        <v>0.45230001211166382</v>
      </c>
      <c r="X101" s="166">
        <v>0.45080000162124634</v>
      </c>
      <c r="Y101" s="166">
        <v>0.4505000114440918</v>
      </c>
      <c r="Z101" s="166">
        <v>0.4512999951839447</v>
      </c>
      <c r="AA101" s="166">
        <v>0.45570001006126404</v>
      </c>
      <c r="AB101" s="166">
        <v>0.46149998903274536</v>
      </c>
      <c r="AC101" s="166">
        <v>0.47009998559951782</v>
      </c>
      <c r="AD101" s="166">
        <v>0.48050001263618469</v>
      </c>
      <c r="AE101" s="166">
        <v>0.49200001358985901</v>
      </c>
      <c r="AF101" s="166">
        <v>0.5065000057220459</v>
      </c>
      <c r="AG101" s="164"/>
      <c r="AH101" s="164"/>
      <c r="AI101" s="164"/>
      <c r="AJ101" s="164"/>
      <c r="AK101" s="164"/>
      <c r="AL101" s="164"/>
      <c r="AM101" s="164"/>
      <c r="AN101" s="164"/>
      <c r="AO101" s="164"/>
      <c r="AP101" s="164"/>
      <c r="AQ101" s="164"/>
      <c r="AR101" s="164"/>
      <c r="AS101" s="164"/>
      <c r="AT101" s="164"/>
      <c r="AU101" s="164"/>
      <c r="AV101" s="164"/>
      <c r="AW101" s="164"/>
      <c r="AX101" s="164"/>
      <c r="AY101" s="164"/>
      <c r="AZ101" s="164"/>
      <c r="BA101" s="164"/>
      <c r="BB101" s="164"/>
      <c r="BC101" s="164"/>
      <c r="BD101" s="164"/>
      <c r="BE101" s="164"/>
      <c r="BF101" s="164"/>
      <c r="BG101" s="164"/>
      <c r="BH101" s="164"/>
      <c r="BI101" s="164"/>
      <c r="BJ101" s="164"/>
      <c r="BK101" s="164"/>
    </row>
    <row r="102" spans="1:63" x14ac:dyDescent="0.2">
      <c r="A102" s="135" t="s">
        <v>105</v>
      </c>
      <c r="B102" s="166">
        <v>0.11180000007152557</v>
      </c>
      <c r="C102" s="166">
        <v>0.11110000312328339</v>
      </c>
      <c r="D102" s="166">
        <v>0.11129999905824661</v>
      </c>
      <c r="E102" s="166">
        <v>0.1120000034570694</v>
      </c>
      <c r="F102" s="166">
        <v>0.11219999939203262</v>
      </c>
      <c r="G102" s="166">
        <v>0.11309999972581863</v>
      </c>
      <c r="H102" s="166">
        <v>0.11420000344514847</v>
      </c>
      <c r="I102" s="166">
        <v>0.11599999666213989</v>
      </c>
      <c r="J102" s="166">
        <v>0.1193000003695488</v>
      </c>
      <c r="K102" s="166">
        <v>0.12470000237226486</v>
      </c>
      <c r="L102" s="166">
        <v>0.13349999487400055</v>
      </c>
      <c r="M102" s="166">
        <v>0.14640000462532043</v>
      </c>
      <c r="N102" s="166">
        <v>0.16419999301433563</v>
      </c>
      <c r="O102" s="166">
        <v>0.18819999694824219</v>
      </c>
      <c r="P102" s="166">
        <v>0.21690000593662262</v>
      </c>
      <c r="Q102" s="166">
        <v>0.25049999356269836</v>
      </c>
      <c r="R102" s="166">
        <v>0.28999999165534973</v>
      </c>
      <c r="S102" s="166">
        <v>0.33460000157356262</v>
      </c>
      <c r="T102" s="166">
        <v>0.37709999084472656</v>
      </c>
      <c r="U102" s="166">
        <v>0.41440001130104065</v>
      </c>
      <c r="V102" s="166">
        <f t="shared" si="0"/>
        <v>0.43375000357627869</v>
      </c>
      <c r="W102" s="166">
        <v>0.45309999585151672</v>
      </c>
      <c r="X102" s="166">
        <v>0.4595000147819519</v>
      </c>
      <c r="Y102" s="166">
        <v>0.46169999241828918</v>
      </c>
      <c r="Z102" s="166">
        <v>0.460999995470047</v>
      </c>
      <c r="AA102" s="166">
        <v>0.46079999208450317</v>
      </c>
      <c r="AB102" s="166">
        <v>0.4611000120639801</v>
      </c>
      <c r="AC102" s="166">
        <v>0.46480000019073486</v>
      </c>
      <c r="AD102" s="166">
        <v>0.46900001168251038</v>
      </c>
      <c r="AE102" s="166">
        <v>0.47560000419616699</v>
      </c>
      <c r="AF102" s="166">
        <v>0.48410001397132874</v>
      </c>
      <c r="AG102" s="164"/>
      <c r="AH102" s="164"/>
      <c r="AI102" s="164"/>
      <c r="AJ102" s="164"/>
      <c r="AK102" s="164"/>
      <c r="AL102" s="164"/>
      <c r="AM102" s="164"/>
      <c r="AN102" s="164"/>
      <c r="AO102" s="164"/>
      <c r="AP102" s="164"/>
      <c r="AQ102" s="164"/>
      <c r="AR102" s="164"/>
      <c r="AS102" s="164"/>
      <c r="AT102" s="164"/>
      <c r="AU102" s="164"/>
      <c r="AV102" s="164"/>
      <c r="AW102" s="164"/>
      <c r="AX102" s="164"/>
      <c r="AY102" s="164"/>
      <c r="AZ102" s="164"/>
      <c r="BA102" s="164"/>
      <c r="BB102" s="164"/>
      <c r="BC102" s="164"/>
      <c r="BD102" s="164"/>
      <c r="BE102" s="164"/>
      <c r="BF102" s="164"/>
      <c r="BG102" s="164"/>
      <c r="BH102" s="164"/>
      <c r="BI102" s="164"/>
      <c r="BJ102" s="164"/>
      <c r="BK102" s="164"/>
    </row>
    <row r="103" spans="1:63" x14ac:dyDescent="0.2">
      <c r="A103" s="135" t="s">
        <v>106</v>
      </c>
      <c r="B103" s="166">
        <v>0.10909999907016754</v>
      </c>
      <c r="C103" s="166">
        <v>0.10890000313520432</v>
      </c>
      <c r="D103" s="166">
        <v>0.1088000014424324</v>
      </c>
      <c r="E103" s="166">
        <v>0.10939999669790268</v>
      </c>
      <c r="F103" s="166">
        <v>0.11029999703168869</v>
      </c>
      <c r="G103" s="166">
        <v>0.11219999939203262</v>
      </c>
      <c r="H103" s="166">
        <v>0.11490000039339066</v>
      </c>
      <c r="I103" s="166">
        <v>0.11900000274181366</v>
      </c>
      <c r="J103" s="166">
        <v>0.12479999661445618</v>
      </c>
      <c r="K103" s="166">
        <v>0.13320000469684601</v>
      </c>
      <c r="L103" s="166">
        <v>0.14440000057220459</v>
      </c>
      <c r="M103" s="166">
        <v>0.16079999506473541</v>
      </c>
      <c r="N103" s="166">
        <v>0.18410000205039978</v>
      </c>
      <c r="O103" s="166">
        <v>0.2159000039100647</v>
      </c>
      <c r="P103" s="166">
        <v>0.25339999794960022</v>
      </c>
      <c r="Q103" s="166">
        <v>0.29730001091957092</v>
      </c>
      <c r="R103" s="166">
        <v>0.34450000524520874</v>
      </c>
      <c r="S103" s="166">
        <v>0.38989999890327454</v>
      </c>
      <c r="T103" s="166">
        <v>0.42429998517036438</v>
      </c>
      <c r="U103" s="166">
        <v>0.46070000529289246</v>
      </c>
      <c r="V103" s="166">
        <f t="shared" si="0"/>
        <v>0.47460000216960907</v>
      </c>
      <c r="W103" s="166">
        <v>0.48849999904632568</v>
      </c>
      <c r="X103" s="166">
        <v>0.49930000305175781</v>
      </c>
      <c r="Y103" s="166">
        <v>0.50800001621246338</v>
      </c>
      <c r="Z103" s="166">
        <v>0.51679998636245728</v>
      </c>
      <c r="AA103" s="166">
        <v>0.5185999870300293</v>
      </c>
      <c r="AB103" s="166">
        <v>0.51910001039505005</v>
      </c>
      <c r="AC103" s="166">
        <v>0.52060002088546753</v>
      </c>
      <c r="AD103" s="166">
        <v>0.5228000283241272</v>
      </c>
      <c r="AE103" s="166">
        <v>0.52539998292922974</v>
      </c>
      <c r="AF103" s="166">
        <v>0.52969998121261597</v>
      </c>
      <c r="AG103" s="164"/>
      <c r="AH103" s="164"/>
      <c r="AI103" s="164"/>
      <c r="AJ103" s="164"/>
      <c r="AK103" s="164"/>
      <c r="AL103" s="164"/>
      <c r="AM103" s="164"/>
      <c r="AN103" s="164"/>
      <c r="AO103" s="164"/>
      <c r="AP103" s="164"/>
      <c r="AQ103" s="164"/>
      <c r="AR103" s="164"/>
      <c r="AS103" s="164"/>
      <c r="AT103" s="164"/>
      <c r="AU103" s="164"/>
      <c r="AV103" s="164"/>
      <c r="AW103" s="164"/>
      <c r="AX103" s="164"/>
      <c r="AY103" s="164"/>
      <c r="AZ103" s="164"/>
      <c r="BA103" s="164"/>
      <c r="BB103" s="164"/>
      <c r="BC103" s="164"/>
      <c r="BD103" s="164"/>
      <c r="BE103" s="164"/>
      <c r="BF103" s="164"/>
      <c r="BG103" s="164"/>
      <c r="BH103" s="164"/>
      <c r="BI103" s="164"/>
      <c r="BJ103" s="164"/>
      <c r="BK103" s="164"/>
    </row>
    <row r="104" spans="1:63" x14ac:dyDescent="0.2">
      <c r="A104" s="135" t="s">
        <v>107</v>
      </c>
      <c r="B104" s="166">
        <v>0.10849999636411667</v>
      </c>
      <c r="C104" s="166">
        <v>0.10859999805688858</v>
      </c>
      <c r="D104" s="166">
        <v>0.10859999805688858</v>
      </c>
      <c r="E104" s="166">
        <v>0.10920000076293945</v>
      </c>
      <c r="F104" s="166">
        <v>0.10999999940395355</v>
      </c>
      <c r="G104" s="166">
        <v>0.1120000034570694</v>
      </c>
      <c r="H104" s="166">
        <v>0.11469999700784683</v>
      </c>
      <c r="I104" s="166">
        <v>0.11909999698400497</v>
      </c>
      <c r="J104" s="166">
        <v>0.12489999830722809</v>
      </c>
      <c r="K104" s="166">
        <v>0.13279999792575836</v>
      </c>
      <c r="L104" s="166">
        <v>0.1437000036239624</v>
      </c>
      <c r="M104" s="166">
        <v>0.15950000286102295</v>
      </c>
      <c r="N104" s="166">
        <v>0.18250000476837158</v>
      </c>
      <c r="O104" s="166">
        <v>0.21379999816417694</v>
      </c>
      <c r="P104" s="166">
        <v>0.25180000066757202</v>
      </c>
      <c r="Q104" s="166">
        <v>0.29670000076293945</v>
      </c>
      <c r="R104" s="166">
        <v>0.34290000796318054</v>
      </c>
      <c r="S104" s="166">
        <v>0.38670000433921814</v>
      </c>
      <c r="T104" s="166">
        <v>0.42410001158714294</v>
      </c>
      <c r="U104" s="166">
        <v>0.46140000224113464</v>
      </c>
      <c r="V104" s="166">
        <f t="shared" ref="V104:V134" si="1">AVERAGE(U104,W104)</f>
        <v>0.47269999980926514</v>
      </c>
      <c r="W104" s="166">
        <v>0.48399999737739563</v>
      </c>
      <c r="X104" s="166">
        <v>0.49340000748634338</v>
      </c>
      <c r="Y104" s="166">
        <v>0.49919998645782471</v>
      </c>
      <c r="Z104" s="166">
        <v>0.506600022315979</v>
      </c>
      <c r="AA104" s="166">
        <v>0.50840002298355103</v>
      </c>
      <c r="AB104" s="166">
        <v>0.50580000877380371</v>
      </c>
      <c r="AC104" s="166">
        <v>0.50809997320175171</v>
      </c>
      <c r="AD104" s="166">
        <v>0.51130002737045288</v>
      </c>
      <c r="AE104" s="166">
        <v>0.51450002193450928</v>
      </c>
      <c r="AF104" s="166">
        <v>0.51719999313354492</v>
      </c>
      <c r="AG104" s="164"/>
      <c r="AH104" s="164"/>
      <c r="AI104" s="164"/>
      <c r="AJ104" s="164"/>
      <c r="AK104" s="164"/>
      <c r="AL104" s="164"/>
      <c r="AM104" s="164"/>
      <c r="AN104" s="164"/>
      <c r="AO104" s="164"/>
      <c r="AP104" s="164"/>
      <c r="AQ104" s="164"/>
      <c r="AR104" s="164"/>
      <c r="AS104" s="164"/>
      <c r="AT104" s="164"/>
      <c r="AU104" s="164"/>
      <c r="AV104" s="164"/>
      <c r="AW104" s="164"/>
      <c r="AX104" s="164"/>
      <c r="AY104" s="164"/>
      <c r="AZ104" s="164"/>
      <c r="BA104" s="164"/>
      <c r="BB104" s="164"/>
      <c r="BC104" s="164"/>
      <c r="BD104" s="164"/>
      <c r="BE104" s="164"/>
      <c r="BF104" s="164"/>
      <c r="BG104" s="164"/>
      <c r="BH104" s="164"/>
      <c r="BI104" s="164"/>
      <c r="BJ104" s="164"/>
      <c r="BK104" s="164"/>
    </row>
    <row r="105" spans="1:63" x14ac:dyDescent="0.2">
      <c r="A105" s="135" t="s">
        <v>108</v>
      </c>
      <c r="B105" s="166">
        <v>0.10819999873638153</v>
      </c>
      <c r="C105" s="166">
        <v>0.10819999873638153</v>
      </c>
      <c r="D105" s="166">
        <v>0.10809999704360962</v>
      </c>
      <c r="E105" s="166">
        <v>0.10899999737739563</v>
      </c>
      <c r="F105" s="166">
        <v>0.10970000177621841</v>
      </c>
      <c r="G105" s="166">
        <v>0.11180000007152557</v>
      </c>
      <c r="H105" s="166">
        <v>0.11479999870061874</v>
      </c>
      <c r="I105" s="166">
        <v>0.11919999867677689</v>
      </c>
      <c r="J105" s="166">
        <v>0.12569999694824219</v>
      </c>
      <c r="K105" s="166">
        <v>0.13490000367164612</v>
      </c>
      <c r="L105" s="166">
        <v>0.14790000021457672</v>
      </c>
      <c r="M105" s="166">
        <v>0.16650000214576721</v>
      </c>
      <c r="N105" s="166">
        <v>0.19269999861717224</v>
      </c>
      <c r="O105" s="166">
        <v>0.22740000486373901</v>
      </c>
      <c r="P105" s="166">
        <v>0.26829999685287476</v>
      </c>
      <c r="Q105" s="166">
        <v>0.31520000100135803</v>
      </c>
      <c r="R105" s="166">
        <v>0.36090001463890076</v>
      </c>
      <c r="S105" s="166">
        <v>0.40250000357627869</v>
      </c>
      <c r="T105" s="166">
        <v>0.43680000305175781</v>
      </c>
      <c r="U105" s="166">
        <v>0.47049999237060547</v>
      </c>
      <c r="V105" s="166">
        <f t="shared" si="1"/>
        <v>0.4804999977350235</v>
      </c>
      <c r="W105" s="166">
        <v>0.49050000309944153</v>
      </c>
      <c r="X105" s="166">
        <v>0.50080001354217529</v>
      </c>
      <c r="Y105" s="166">
        <v>0.50900000333786011</v>
      </c>
      <c r="Z105" s="166">
        <v>0.51510000228881836</v>
      </c>
      <c r="AA105" s="166">
        <v>0.51510000228881836</v>
      </c>
      <c r="AB105" s="166">
        <v>0.51469999551773071</v>
      </c>
      <c r="AC105" s="166">
        <v>0.51520001888275146</v>
      </c>
      <c r="AD105" s="166">
        <v>0.51639997959136963</v>
      </c>
      <c r="AE105" s="166">
        <v>0.5195000171661377</v>
      </c>
      <c r="AF105" s="166">
        <v>0.52380001544952393</v>
      </c>
      <c r="AG105" s="164"/>
      <c r="AH105" s="164"/>
      <c r="AI105" s="164"/>
      <c r="AJ105" s="164"/>
      <c r="AK105" s="164"/>
      <c r="AL105" s="164"/>
      <c r="AM105" s="164"/>
      <c r="AN105" s="164"/>
      <c r="AO105" s="164"/>
      <c r="AP105" s="164"/>
      <c r="AQ105" s="164"/>
      <c r="AR105" s="164"/>
      <c r="AS105" s="164"/>
      <c r="AT105" s="164"/>
      <c r="AU105" s="164"/>
      <c r="AV105" s="164"/>
      <c r="AW105" s="164"/>
      <c r="AX105" s="164"/>
      <c r="AY105" s="164"/>
      <c r="AZ105" s="164"/>
      <c r="BA105" s="164"/>
      <c r="BB105" s="164"/>
      <c r="BC105" s="164"/>
      <c r="BD105" s="164"/>
      <c r="BE105" s="164"/>
      <c r="BF105" s="164"/>
      <c r="BG105" s="164"/>
      <c r="BH105" s="164"/>
      <c r="BI105" s="164"/>
      <c r="BJ105" s="164"/>
      <c r="BK105" s="164"/>
    </row>
    <row r="106" spans="1:63" x14ac:dyDescent="0.2">
      <c r="A106" s="135" t="s">
        <v>109</v>
      </c>
      <c r="B106" s="166">
        <v>0.10890000313520432</v>
      </c>
      <c r="C106" s="166">
        <v>0.10869999974966049</v>
      </c>
      <c r="D106" s="166">
        <v>0.1088000014424324</v>
      </c>
      <c r="E106" s="166">
        <v>0.1096000000834465</v>
      </c>
      <c r="F106" s="166">
        <v>0.11069999635219574</v>
      </c>
      <c r="G106" s="166">
        <v>0.11320000141859055</v>
      </c>
      <c r="H106" s="166">
        <v>0.11729999631643295</v>
      </c>
      <c r="I106" s="166">
        <v>0.1242000013589859</v>
      </c>
      <c r="J106" s="166">
        <v>0.13510000705718994</v>
      </c>
      <c r="K106" s="166">
        <v>0.15080000460147858</v>
      </c>
      <c r="L106" s="166">
        <v>0.17299999296665192</v>
      </c>
      <c r="M106" s="166">
        <v>0.2020999938249588</v>
      </c>
      <c r="N106" s="166">
        <v>0.23770000040531158</v>
      </c>
      <c r="O106" s="166">
        <v>0.27820000052452087</v>
      </c>
      <c r="P106" s="166">
        <v>0.32249999046325684</v>
      </c>
      <c r="Q106" s="166">
        <v>0.36620000004768372</v>
      </c>
      <c r="R106" s="166">
        <v>0.40669998526573181</v>
      </c>
      <c r="S106" s="166">
        <v>0.44220000505447388</v>
      </c>
      <c r="T106" s="166">
        <v>0.47360000014305115</v>
      </c>
      <c r="U106" s="166">
        <v>0.48579999804496765</v>
      </c>
      <c r="V106" s="166">
        <f t="shared" si="1"/>
        <v>0.49620001018047333</v>
      </c>
      <c r="W106" s="166">
        <v>0.506600022315979</v>
      </c>
      <c r="X106" s="166">
        <v>0.51810002326965332</v>
      </c>
      <c r="Y106" s="166">
        <v>0.52609997987747192</v>
      </c>
      <c r="Z106" s="166">
        <v>0.52880001068115234</v>
      </c>
      <c r="AA106" s="166">
        <v>0.53219997882843018</v>
      </c>
      <c r="AB106" s="166">
        <v>0.53710001707077026</v>
      </c>
      <c r="AC106" s="166">
        <v>0.53909999132156372</v>
      </c>
      <c r="AD106" s="166">
        <v>0.54400002956390381</v>
      </c>
      <c r="AE106" s="166">
        <v>0.54759997129440308</v>
      </c>
      <c r="AF106" s="166">
        <v>0.55279999971389771</v>
      </c>
      <c r="AG106" s="164"/>
      <c r="AH106" s="164"/>
      <c r="AI106" s="164"/>
      <c r="AJ106" s="164"/>
      <c r="AK106" s="164"/>
      <c r="AL106" s="164"/>
      <c r="AM106" s="164"/>
      <c r="AN106" s="164"/>
      <c r="AO106" s="164"/>
      <c r="AP106" s="164"/>
      <c r="AQ106" s="164"/>
      <c r="AR106" s="164"/>
      <c r="AS106" s="164"/>
      <c r="AT106" s="164"/>
      <c r="AU106" s="164"/>
      <c r="AV106" s="164"/>
      <c r="AW106" s="164"/>
      <c r="AX106" s="164"/>
      <c r="AY106" s="164"/>
      <c r="AZ106" s="164"/>
      <c r="BA106" s="164"/>
      <c r="BB106" s="164"/>
      <c r="BC106" s="164"/>
      <c r="BD106" s="164"/>
      <c r="BE106" s="164"/>
      <c r="BF106" s="164"/>
      <c r="BG106" s="164"/>
      <c r="BH106" s="164"/>
      <c r="BI106" s="164"/>
      <c r="BJ106" s="164"/>
      <c r="BK106" s="164"/>
    </row>
    <row r="107" spans="1:63" x14ac:dyDescent="0.2">
      <c r="A107" s="135" t="s">
        <v>110</v>
      </c>
      <c r="B107" s="166">
        <v>0.10849999636411667</v>
      </c>
      <c r="C107" s="166">
        <v>0.10840000212192535</v>
      </c>
      <c r="D107" s="166">
        <v>0.10859999805688858</v>
      </c>
      <c r="E107" s="166">
        <v>0.10920000076293945</v>
      </c>
      <c r="F107" s="166">
        <v>0.11020000278949738</v>
      </c>
      <c r="G107" s="166">
        <v>0.11270000040531158</v>
      </c>
      <c r="H107" s="166">
        <v>0.11670000106096268</v>
      </c>
      <c r="I107" s="166">
        <v>0.1234000027179718</v>
      </c>
      <c r="J107" s="166">
        <v>0.13429999351501465</v>
      </c>
      <c r="K107" s="166">
        <v>0.15000000596046448</v>
      </c>
      <c r="L107" s="166">
        <v>0.17239999771118164</v>
      </c>
      <c r="M107" s="166">
        <v>0.2012999951839447</v>
      </c>
      <c r="N107" s="166">
        <v>0.23810000717639923</v>
      </c>
      <c r="O107" s="166">
        <v>0.28060001134872437</v>
      </c>
      <c r="P107" s="166">
        <v>0.32609999179840088</v>
      </c>
      <c r="Q107" s="166">
        <v>0.37160000205039978</v>
      </c>
      <c r="R107" s="166">
        <v>0.41060000658035278</v>
      </c>
      <c r="S107" s="166">
        <v>0.44470000267028809</v>
      </c>
      <c r="T107" s="166">
        <v>0.47440001368522644</v>
      </c>
      <c r="U107" s="166">
        <v>0.48579999804496765</v>
      </c>
      <c r="V107" s="166">
        <f t="shared" si="1"/>
        <v>0.49679999053478241</v>
      </c>
      <c r="W107" s="166">
        <v>0.50779998302459717</v>
      </c>
      <c r="X107" s="166">
        <v>0.51770001649856567</v>
      </c>
      <c r="Y107" s="166">
        <v>0.52670001983642578</v>
      </c>
      <c r="Z107" s="166">
        <v>0.53009998798370361</v>
      </c>
      <c r="AA107" s="166">
        <v>0.53119999170303345</v>
      </c>
      <c r="AB107" s="166">
        <v>0.53530001640319824</v>
      </c>
      <c r="AC107" s="166">
        <v>0.53829997777938843</v>
      </c>
      <c r="AD107" s="166">
        <v>0.54170000553131104</v>
      </c>
      <c r="AE107" s="166">
        <v>0.54579997062683105</v>
      </c>
      <c r="AF107" s="166">
        <v>0.55220001935958862</v>
      </c>
      <c r="AG107" s="164"/>
      <c r="AH107" s="164"/>
      <c r="AI107" s="164"/>
      <c r="AJ107" s="164"/>
      <c r="AK107" s="164"/>
      <c r="AL107" s="164"/>
      <c r="AM107" s="164"/>
      <c r="AN107" s="164"/>
      <c r="AO107" s="164"/>
      <c r="AP107" s="164"/>
      <c r="AQ107" s="164"/>
      <c r="AR107" s="164"/>
      <c r="AS107" s="164"/>
      <c r="AT107" s="164"/>
      <c r="AU107" s="164"/>
      <c r="AV107" s="164"/>
      <c r="AW107" s="164"/>
      <c r="AX107" s="164"/>
      <c r="AY107" s="164"/>
      <c r="AZ107" s="164"/>
      <c r="BA107" s="164"/>
      <c r="BB107" s="164"/>
      <c r="BC107" s="164"/>
      <c r="BD107" s="164"/>
      <c r="BE107" s="164"/>
      <c r="BF107" s="164"/>
      <c r="BG107" s="164"/>
      <c r="BH107" s="164"/>
      <c r="BI107" s="164"/>
      <c r="BJ107" s="164"/>
      <c r="BK107" s="164"/>
    </row>
    <row r="108" spans="1:63" x14ac:dyDescent="0.2">
      <c r="A108" s="135" t="s">
        <v>111</v>
      </c>
      <c r="B108" s="166">
        <v>0.11069999635219574</v>
      </c>
      <c r="C108" s="166">
        <v>0.11069999635219574</v>
      </c>
      <c r="D108" s="166">
        <v>0.11069999635219574</v>
      </c>
      <c r="E108" s="166">
        <v>0.11140000075101852</v>
      </c>
      <c r="F108" s="166">
        <v>0.11249999701976776</v>
      </c>
      <c r="G108" s="166">
        <v>0.11519999802112579</v>
      </c>
      <c r="H108" s="166">
        <v>0.11940000206232071</v>
      </c>
      <c r="I108" s="166">
        <v>0.12649999558925629</v>
      </c>
      <c r="J108" s="166">
        <v>0.13760000467300415</v>
      </c>
      <c r="K108" s="166">
        <v>0.15410000085830688</v>
      </c>
      <c r="L108" s="166">
        <v>0.17769999802112579</v>
      </c>
      <c r="M108" s="166">
        <v>0.20790000259876251</v>
      </c>
      <c r="N108" s="166">
        <v>0.2468000054359436</v>
      </c>
      <c r="O108" s="166">
        <v>0.2937999963760376</v>
      </c>
      <c r="P108" s="166">
        <v>0.34209999442100525</v>
      </c>
      <c r="Q108" s="166">
        <v>0.38820001482963562</v>
      </c>
      <c r="R108" s="166">
        <v>0.43160000443458557</v>
      </c>
      <c r="S108" s="166">
        <v>0.46759998798370361</v>
      </c>
      <c r="T108" s="166">
        <v>0.49779999256134033</v>
      </c>
      <c r="U108" s="166">
        <v>0.50520002841949463</v>
      </c>
      <c r="V108" s="166">
        <f t="shared" si="1"/>
        <v>0.51280000805854797</v>
      </c>
      <c r="W108" s="166">
        <v>0.52039998769760132</v>
      </c>
      <c r="X108" s="166">
        <v>0.53369998931884766</v>
      </c>
      <c r="Y108" s="166">
        <v>0.53939998149871826</v>
      </c>
      <c r="Z108" s="166">
        <v>0.54129999876022339</v>
      </c>
      <c r="AA108" s="166">
        <v>0.54220002889633179</v>
      </c>
      <c r="AB108" s="166">
        <v>0.54269999265670776</v>
      </c>
      <c r="AC108" s="166">
        <v>0.54519999027252197</v>
      </c>
      <c r="AD108" s="166">
        <v>0.55010002851486206</v>
      </c>
      <c r="AE108" s="166">
        <v>0.553600013256073</v>
      </c>
      <c r="AF108" s="166">
        <v>0.55839997529983521</v>
      </c>
      <c r="AG108" s="164"/>
      <c r="AH108" s="164"/>
      <c r="AI108" s="164"/>
      <c r="AJ108" s="164"/>
      <c r="AK108" s="164"/>
      <c r="AL108" s="164"/>
      <c r="AM108" s="164"/>
      <c r="AN108" s="164"/>
      <c r="AO108" s="164"/>
      <c r="AP108" s="164"/>
      <c r="AQ108" s="164"/>
      <c r="AR108" s="164"/>
      <c r="AS108" s="164"/>
      <c r="AT108" s="164"/>
      <c r="AU108" s="164"/>
      <c r="AV108" s="164"/>
      <c r="AW108" s="164"/>
      <c r="AX108" s="164"/>
      <c r="AY108" s="164"/>
      <c r="AZ108" s="164"/>
      <c r="BA108" s="164"/>
      <c r="BB108" s="164"/>
      <c r="BC108" s="164"/>
      <c r="BD108" s="164"/>
      <c r="BE108" s="164"/>
      <c r="BF108" s="164"/>
      <c r="BG108" s="164"/>
      <c r="BH108" s="164"/>
      <c r="BI108" s="164"/>
      <c r="BJ108" s="164"/>
      <c r="BK108" s="164"/>
    </row>
    <row r="109" spans="1:63" x14ac:dyDescent="0.2">
      <c r="A109" s="135" t="s">
        <v>112</v>
      </c>
      <c r="B109" s="166">
        <v>0.10949999839067459</v>
      </c>
      <c r="C109" s="166">
        <v>0.10939999669790268</v>
      </c>
      <c r="D109" s="166">
        <v>0.10939999669790268</v>
      </c>
      <c r="E109" s="166">
        <v>0.11029999703168869</v>
      </c>
      <c r="F109" s="166">
        <v>0.11169999837875366</v>
      </c>
      <c r="G109" s="166">
        <v>0.11479999870061874</v>
      </c>
      <c r="H109" s="166">
        <v>0.11980000138282776</v>
      </c>
      <c r="I109" s="166">
        <v>0.12829999625682831</v>
      </c>
      <c r="J109" s="166">
        <v>0.14149999618530273</v>
      </c>
      <c r="K109" s="166">
        <v>0.16030000150203705</v>
      </c>
      <c r="L109" s="166">
        <v>0.1859000027179718</v>
      </c>
      <c r="M109" s="166">
        <v>0.21860000491142273</v>
      </c>
      <c r="N109" s="166">
        <v>0.25699999928474426</v>
      </c>
      <c r="O109" s="166">
        <v>0.30320000648498535</v>
      </c>
      <c r="P109" s="166">
        <v>0.34959998726844788</v>
      </c>
      <c r="Q109" s="166">
        <v>0.40209999680519104</v>
      </c>
      <c r="R109" s="166">
        <v>0.44209998846054077</v>
      </c>
      <c r="S109" s="166">
        <v>0.47879999876022339</v>
      </c>
      <c r="T109" s="166">
        <v>0.49779999256134033</v>
      </c>
      <c r="U109" s="166">
        <v>0.5065000057220459</v>
      </c>
      <c r="V109" s="166">
        <f t="shared" si="1"/>
        <v>0.51324999332427979</v>
      </c>
      <c r="W109" s="166">
        <v>0.51999998092651367</v>
      </c>
      <c r="X109" s="166">
        <v>0.53130000829696655</v>
      </c>
      <c r="Y109" s="166">
        <v>0.53270000219345093</v>
      </c>
      <c r="Z109" s="166">
        <v>0.53390002250671387</v>
      </c>
      <c r="AA109" s="166">
        <v>0.5372999906539917</v>
      </c>
      <c r="AB109" s="166">
        <v>0.54089999198913574</v>
      </c>
      <c r="AC109" s="166">
        <v>0.544700026512146</v>
      </c>
      <c r="AD109" s="166">
        <v>0.54979997873306274</v>
      </c>
      <c r="AE109" s="166">
        <v>0.55529999732971191</v>
      </c>
      <c r="AF109" s="166">
        <v>0.56089997291564941</v>
      </c>
      <c r="AG109" s="164"/>
      <c r="AH109" s="164"/>
      <c r="AI109" s="164"/>
      <c r="AJ109" s="164"/>
      <c r="AK109" s="164"/>
      <c r="AL109" s="164"/>
      <c r="AM109" s="164"/>
      <c r="AN109" s="164"/>
      <c r="AO109" s="164"/>
      <c r="AP109" s="164"/>
      <c r="AQ109" s="164"/>
      <c r="AR109" s="164"/>
      <c r="AS109" s="164"/>
      <c r="AT109" s="164"/>
      <c r="AU109" s="164"/>
      <c r="AV109" s="164"/>
      <c r="AW109" s="164"/>
      <c r="AX109" s="164"/>
      <c r="AY109" s="164"/>
      <c r="AZ109" s="164"/>
      <c r="BA109" s="164"/>
      <c r="BB109" s="164"/>
      <c r="BC109" s="164"/>
      <c r="BD109" s="164"/>
      <c r="BE109" s="164"/>
      <c r="BF109" s="164"/>
      <c r="BG109" s="164"/>
      <c r="BH109" s="164"/>
      <c r="BI109" s="164"/>
      <c r="BJ109" s="164"/>
      <c r="BK109" s="164"/>
    </row>
    <row r="110" spans="1:63" x14ac:dyDescent="0.2">
      <c r="A110" s="135" t="s">
        <v>113</v>
      </c>
      <c r="B110" s="166">
        <v>0.10639999806880951</v>
      </c>
      <c r="C110" s="166">
        <v>0.10589999705553055</v>
      </c>
      <c r="D110" s="166">
        <v>0.10570000112056732</v>
      </c>
      <c r="E110" s="166">
        <v>0.10570000112056732</v>
      </c>
      <c r="F110" s="166">
        <v>0.1054999977350235</v>
      </c>
      <c r="G110" s="166">
        <v>0.10559999942779541</v>
      </c>
      <c r="H110" s="166">
        <v>0.10540000349283218</v>
      </c>
      <c r="I110" s="166">
        <v>0.10530000180006027</v>
      </c>
      <c r="J110" s="166">
        <v>0.10509999841451645</v>
      </c>
      <c r="K110" s="166">
        <v>0.10520000010728836</v>
      </c>
      <c r="L110" s="166">
        <v>0.10520000010728836</v>
      </c>
      <c r="M110" s="166">
        <v>0.10499999672174454</v>
      </c>
      <c r="N110" s="166">
        <v>0.10480000078678131</v>
      </c>
      <c r="O110" s="166">
        <v>0.10450000315904617</v>
      </c>
      <c r="P110" s="166">
        <v>0.10429999977350235</v>
      </c>
      <c r="Q110" s="166">
        <v>0.10429999977350235</v>
      </c>
      <c r="R110" s="166">
        <v>0.10429999977350235</v>
      </c>
      <c r="S110" s="166">
        <v>0.10440000146627426</v>
      </c>
      <c r="T110" s="166">
        <v>0.10459999740123749</v>
      </c>
      <c r="U110" s="166">
        <v>0.1046999990940094</v>
      </c>
      <c r="V110" s="166">
        <f t="shared" si="1"/>
        <v>0.10520000010728836</v>
      </c>
      <c r="W110" s="166">
        <v>0.10570000112056732</v>
      </c>
      <c r="X110" s="166">
        <v>0.10540000349283218</v>
      </c>
      <c r="Y110" s="166">
        <v>0.10509999841451645</v>
      </c>
      <c r="Z110" s="166">
        <v>0.10499999672174454</v>
      </c>
      <c r="AA110" s="166">
        <v>0.10480000078678131</v>
      </c>
      <c r="AB110" s="166">
        <v>0.1046999990940094</v>
      </c>
      <c r="AC110" s="166">
        <v>0.10459999740123749</v>
      </c>
      <c r="AD110" s="166">
        <v>0.10459999740123749</v>
      </c>
      <c r="AE110" s="166">
        <v>0.1046999990940094</v>
      </c>
      <c r="AF110" s="166">
        <v>0.10400000214576721</v>
      </c>
      <c r="AG110" s="164"/>
      <c r="AH110" s="164"/>
      <c r="AI110" s="164"/>
      <c r="AJ110" s="164"/>
      <c r="AK110" s="164"/>
      <c r="AL110" s="164"/>
      <c r="AM110" s="164"/>
      <c r="AN110" s="164"/>
      <c r="AO110" s="164"/>
      <c r="AP110" s="164"/>
      <c r="AQ110" s="164"/>
      <c r="AR110" s="164"/>
      <c r="AS110" s="164"/>
      <c r="AT110" s="164"/>
      <c r="AU110" s="164"/>
      <c r="AV110" s="164"/>
      <c r="AW110" s="164"/>
      <c r="AX110" s="164"/>
      <c r="AY110" s="164"/>
      <c r="AZ110" s="164"/>
      <c r="BA110" s="164"/>
      <c r="BB110" s="164"/>
      <c r="BC110" s="164"/>
      <c r="BD110" s="164"/>
      <c r="BE110" s="164"/>
      <c r="BF110" s="164"/>
      <c r="BG110" s="164"/>
      <c r="BH110" s="164"/>
      <c r="BI110" s="164"/>
      <c r="BJ110" s="164"/>
      <c r="BK110" s="164"/>
    </row>
    <row r="111" spans="1:63" x14ac:dyDescent="0.2">
      <c r="A111" s="135" t="s">
        <v>114</v>
      </c>
      <c r="B111" s="166">
        <v>0.10719999670982361</v>
      </c>
      <c r="C111" s="166">
        <v>0.10679999738931656</v>
      </c>
      <c r="D111" s="166">
        <v>0.10670000314712524</v>
      </c>
      <c r="E111" s="166">
        <v>0.10660000145435333</v>
      </c>
      <c r="F111" s="166">
        <v>0.10660000145435333</v>
      </c>
      <c r="G111" s="166">
        <v>0.10679999738931656</v>
      </c>
      <c r="H111" s="166">
        <v>0.10670000314712524</v>
      </c>
      <c r="I111" s="166">
        <v>0.10670000314712524</v>
      </c>
      <c r="J111" s="166">
        <v>0.10660000145435333</v>
      </c>
      <c r="K111" s="166">
        <v>0.10679999738931656</v>
      </c>
      <c r="L111" s="166">
        <v>0.10660000145435333</v>
      </c>
      <c r="M111" s="166">
        <v>0.10639999806880951</v>
      </c>
      <c r="N111" s="166">
        <v>0.10620000213384628</v>
      </c>
      <c r="O111" s="166">
        <v>0.10599999874830246</v>
      </c>
      <c r="P111" s="166">
        <v>0.10580000281333923</v>
      </c>
      <c r="Q111" s="166">
        <v>0.10580000281333923</v>
      </c>
      <c r="R111" s="166">
        <v>0.10580000281333923</v>
      </c>
      <c r="S111" s="166">
        <v>0.10599999874830246</v>
      </c>
      <c r="T111" s="166">
        <v>0.10620000213384628</v>
      </c>
      <c r="U111" s="166">
        <v>0.1062999963760376</v>
      </c>
      <c r="V111" s="166">
        <f t="shared" si="1"/>
        <v>0.1062999963760376</v>
      </c>
      <c r="W111" s="166">
        <v>0.1062999963760376</v>
      </c>
      <c r="X111" s="166">
        <v>0.10610000044107437</v>
      </c>
      <c r="Y111" s="166">
        <v>0.10580000281333923</v>
      </c>
      <c r="Z111" s="166">
        <v>0.10559999942779541</v>
      </c>
      <c r="AA111" s="166">
        <v>0.10540000349283218</v>
      </c>
      <c r="AB111" s="166">
        <v>0.10530000180006027</v>
      </c>
      <c r="AC111" s="166">
        <v>0.10520000010728836</v>
      </c>
      <c r="AD111" s="166">
        <v>0.10520000010728836</v>
      </c>
      <c r="AE111" s="166">
        <v>0.10530000180006027</v>
      </c>
      <c r="AF111" s="166">
        <v>0.10530000180006027</v>
      </c>
      <c r="AG111" s="164"/>
      <c r="AH111" s="164"/>
      <c r="AI111" s="164"/>
      <c r="AJ111" s="164"/>
      <c r="AK111" s="164"/>
      <c r="AL111" s="164"/>
      <c r="AM111" s="164"/>
      <c r="AN111" s="164"/>
      <c r="AO111" s="164"/>
      <c r="AP111" s="164"/>
      <c r="AQ111" s="164"/>
      <c r="AR111" s="164"/>
      <c r="AS111" s="164"/>
      <c r="AT111" s="164"/>
      <c r="AU111" s="164"/>
      <c r="AV111" s="164"/>
      <c r="AW111" s="164"/>
      <c r="AX111" s="164"/>
      <c r="AY111" s="164"/>
      <c r="AZ111" s="164"/>
      <c r="BA111" s="164"/>
      <c r="BB111" s="164"/>
      <c r="BC111" s="164"/>
      <c r="BD111" s="164"/>
      <c r="BE111" s="164"/>
      <c r="BF111" s="164"/>
      <c r="BG111" s="164"/>
      <c r="BH111" s="164"/>
      <c r="BI111" s="164"/>
      <c r="BJ111" s="164"/>
      <c r="BK111" s="164"/>
    </row>
    <row r="112" spans="1:63" x14ac:dyDescent="0.2">
      <c r="A112" s="135" t="s">
        <v>115</v>
      </c>
      <c r="B112" s="166">
        <v>0.10859999805688858</v>
      </c>
      <c r="C112" s="166">
        <v>0.10859999805688858</v>
      </c>
      <c r="D112" s="166">
        <v>0.10899999737739563</v>
      </c>
      <c r="E112" s="166">
        <v>0.10930000245571136</v>
      </c>
      <c r="F112" s="166">
        <v>0.11020000278949738</v>
      </c>
      <c r="G112" s="166">
        <v>0.11240000277757645</v>
      </c>
      <c r="H112" s="166">
        <v>0.11590000241994858</v>
      </c>
      <c r="I112" s="166">
        <v>0.12160000205039978</v>
      </c>
      <c r="J112" s="166">
        <v>0.13089999556541443</v>
      </c>
      <c r="K112" s="166">
        <v>0.14460000395774841</v>
      </c>
      <c r="L112" s="166">
        <v>0.16359999775886536</v>
      </c>
      <c r="M112" s="166">
        <v>0.18799999356269836</v>
      </c>
      <c r="N112" s="166">
        <v>0.21639999747276306</v>
      </c>
      <c r="O112" s="166">
        <v>0.24969999492168427</v>
      </c>
      <c r="P112" s="166">
        <v>0.289000004529953</v>
      </c>
      <c r="Q112" s="166">
        <v>0.33140000700950623</v>
      </c>
      <c r="R112" s="166">
        <v>0.37610000371932983</v>
      </c>
      <c r="S112" s="166">
        <v>0.41539999842643738</v>
      </c>
      <c r="T112" s="166">
        <v>0.4546000063419342</v>
      </c>
      <c r="U112" s="166">
        <v>0.47530001401901245</v>
      </c>
      <c r="V112" s="166">
        <f t="shared" si="1"/>
        <v>0.48765000700950623</v>
      </c>
      <c r="W112" s="166">
        <v>0.5</v>
      </c>
      <c r="X112" s="166">
        <v>0.51050001382827759</v>
      </c>
      <c r="Y112" s="166">
        <v>0.52120000123977661</v>
      </c>
      <c r="Z112" s="166">
        <v>0.53259998559951782</v>
      </c>
      <c r="AA112" s="166">
        <v>0.54079997539520264</v>
      </c>
      <c r="AB112" s="166">
        <v>0.54559999704360962</v>
      </c>
      <c r="AC112" s="166">
        <v>0.55220001935958862</v>
      </c>
      <c r="AD112" s="166">
        <v>0.5591999888420105</v>
      </c>
      <c r="AE112" s="166">
        <v>0.56550002098083496</v>
      </c>
      <c r="AF112" s="166">
        <v>0.57209998369216919</v>
      </c>
      <c r="AG112" s="164"/>
      <c r="AH112" s="164"/>
      <c r="AI112" s="164"/>
      <c r="AJ112" s="164"/>
      <c r="AK112" s="164"/>
      <c r="AL112" s="164"/>
      <c r="AM112" s="164"/>
      <c r="AN112" s="164"/>
      <c r="AO112" s="164"/>
      <c r="AP112" s="164"/>
      <c r="AQ112" s="164"/>
      <c r="AR112" s="164"/>
      <c r="AS112" s="164"/>
      <c r="AT112" s="164"/>
      <c r="AU112" s="164"/>
      <c r="AV112" s="164"/>
      <c r="AW112" s="164"/>
      <c r="AX112" s="164"/>
      <c r="AY112" s="164"/>
      <c r="AZ112" s="164"/>
      <c r="BA112" s="164"/>
      <c r="BB112" s="164"/>
      <c r="BC112" s="164"/>
      <c r="BD112" s="164"/>
      <c r="BE112" s="164"/>
      <c r="BF112" s="164"/>
      <c r="BG112" s="164"/>
      <c r="BH112" s="164"/>
      <c r="BI112" s="164"/>
      <c r="BJ112" s="164"/>
      <c r="BK112" s="164"/>
    </row>
    <row r="113" spans="1:63" x14ac:dyDescent="0.2">
      <c r="A113" s="135" t="s">
        <v>116</v>
      </c>
      <c r="B113" s="166">
        <v>0.10819999873638153</v>
      </c>
      <c r="C113" s="166">
        <v>0.10819999873638153</v>
      </c>
      <c r="D113" s="166">
        <v>0.10830000042915344</v>
      </c>
      <c r="E113" s="166">
        <v>0.1088000014424324</v>
      </c>
      <c r="F113" s="166">
        <v>0.10980000346899033</v>
      </c>
      <c r="G113" s="166">
        <v>0.11180000007152557</v>
      </c>
      <c r="H113" s="166">
        <v>0.11519999802112579</v>
      </c>
      <c r="I113" s="166">
        <v>0.12099999934434891</v>
      </c>
      <c r="J113" s="166">
        <v>0.13009999692440033</v>
      </c>
      <c r="K113" s="166">
        <v>0.14360000193119049</v>
      </c>
      <c r="L113" s="166">
        <v>0.16259999573230743</v>
      </c>
      <c r="M113" s="166">
        <v>0.18719999492168427</v>
      </c>
      <c r="N113" s="166">
        <v>0.21529999375343323</v>
      </c>
      <c r="O113" s="166">
        <v>0.24869999289512634</v>
      </c>
      <c r="P113" s="166">
        <v>0.28839999437332153</v>
      </c>
      <c r="Q113" s="166">
        <v>0.33039999008178711</v>
      </c>
      <c r="R113" s="166">
        <v>0.37560001015663147</v>
      </c>
      <c r="S113" s="166">
        <v>0.41490000486373901</v>
      </c>
      <c r="T113" s="166">
        <v>0.45390000939369202</v>
      </c>
      <c r="U113" s="166">
        <v>0.47459998726844788</v>
      </c>
      <c r="V113" s="166">
        <f t="shared" si="1"/>
        <v>0.48709999024868011</v>
      </c>
      <c r="W113" s="166">
        <v>0.49959999322891235</v>
      </c>
      <c r="X113" s="166">
        <v>0.50919997692108154</v>
      </c>
      <c r="Y113" s="166">
        <v>0.52029997110366821</v>
      </c>
      <c r="Z113" s="166">
        <v>0.53140002489089966</v>
      </c>
      <c r="AA113" s="166">
        <v>0.53909999132156372</v>
      </c>
      <c r="AB113" s="166">
        <v>0.54439997673034668</v>
      </c>
      <c r="AC113" s="166">
        <v>0.5504000186920166</v>
      </c>
      <c r="AD113" s="166">
        <v>0.55610001087188721</v>
      </c>
      <c r="AE113" s="166">
        <v>0.56410002708435059</v>
      </c>
      <c r="AF113" s="166">
        <v>0.57039999961853027</v>
      </c>
      <c r="AG113" s="164"/>
      <c r="AH113" s="164"/>
      <c r="AI113" s="164"/>
      <c r="AJ113" s="164"/>
      <c r="AK113" s="164"/>
      <c r="AL113" s="164"/>
      <c r="AM113" s="164"/>
      <c r="AN113" s="164"/>
      <c r="AO113" s="164"/>
      <c r="AP113" s="164"/>
      <c r="AQ113" s="164"/>
      <c r="AR113" s="164"/>
      <c r="AS113" s="164"/>
      <c r="AT113" s="164"/>
      <c r="AU113" s="164"/>
      <c r="AV113" s="164"/>
      <c r="AW113" s="164"/>
      <c r="AX113" s="164"/>
      <c r="AY113" s="164"/>
      <c r="AZ113" s="164"/>
      <c r="BA113" s="164"/>
      <c r="BB113" s="164"/>
      <c r="BC113" s="164"/>
      <c r="BD113" s="164"/>
      <c r="BE113" s="164"/>
      <c r="BF113" s="164"/>
      <c r="BG113" s="164"/>
      <c r="BH113" s="164"/>
      <c r="BI113" s="164"/>
      <c r="BJ113" s="164"/>
      <c r="BK113" s="164"/>
    </row>
    <row r="114" spans="1:63" x14ac:dyDescent="0.2">
      <c r="A114" s="135" t="s">
        <v>117</v>
      </c>
      <c r="B114" s="166">
        <v>0.10840000212192535</v>
      </c>
      <c r="C114" s="166">
        <v>0.10830000042915344</v>
      </c>
      <c r="D114" s="166">
        <v>0.10830000042915344</v>
      </c>
      <c r="E114" s="166">
        <v>0.10890000313520432</v>
      </c>
      <c r="F114" s="166">
        <v>0.10970000177621841</v>
      </c>
      <c r="G114" s="166">
        <v>0.11190000176429749</v>
      </c>
      <c r="H114" s="166">
        <v>0.11509999632835388</v>
      </c>
      <c r="I114" s="166">
        <v>0.120899997651577</v>
      </c>
      <c r="J114" s="166">
        <v>0.12980000674724579</v>
      </c>
      <c r="K114" s="166">
        <v>0.14329999685287476</v>
      </c>
      <c r="L114" s="166">
        <v>0.16210000216960907</v>
      </c>
      <c r="M114" s="166">
        <v>0.1867000013589859</v>
      </c>
      <c r="N114" s="166">
        <v>0.21490000188350677</v>
      </c>
      <c r="O114" s="166">
        <v>0.24740000069141388</v>
      </c>
      <c r="P114" s="166">
        <v>0.28690001368522644</v>
      </c>
      <c r="Q114" s="166">
        <v>0.32989999651908875</v>
      </c>
      <c r="R114" s="166">
        <v>0.37349998950958252</v>
      </c>
      <c r="S114" s="166">
        <v>0.41290000081062317</v>
      </c>
      <c r="T114" s="166">
        <v>0.45230001211166382</v>
      </c>
      <c r="U114" s="166">
        <v>0.4731999933719635</v>
      </c>
      <c r="V114" s="166">
        <f t="shared" si="1"/>
        <v>0.4857499897480011</v>
      </c>
      <c r="W114" s="166">
        <v>0.4982999861240387</v>
      </c>
      <c r="X114" s="166">
        <v>0.50819998979568481</v>
      </c>
      <c r="Y114" s="166">
        <v>0.51829999685287476</v>
      </c>
      <c r="Z114" s="166">
        <v>0.52950000762939453</v>
      </c>
      <c r="AA114" s="166">
        <v>0.53769999742507935</v>
      </c>
      <c r="AB114" s="166">
        <v>0.54180002212524414</v>
      </c>
      <c r="AC114" s="166">
        <v>0.54799997806549072</v>
      </c>
      <c r="AD114" s="166">
        <v>0.55470001697540283</v>
      </c>
      <c r="AE114" s="166">
        <v>0.56209999322891235</v>
      </c>
      <c r="AF114" s="166">
        <v>0.5680999755859375</v>
      </c>
      <c r="AG114" s="164"/>
      <c r="AH114" s="164"/>
      <c r="AI114" s="164"/>
      <c r="AJ114" s="164"/>
      <c r="AK114" s="164"/>
      <c r="AL114" s="164"/>
      <c r="AM114" s="164"/>
      <c r="AN114" s="164"/>
      <c r="AO114" s="164"/>
      <c r="AP114" s="164"/>
      <c r="AQ114" s="164"/>
      <c r="AR114" s="164"/>
      <c r="AS114" s="164"/>
      <c r="AT114" s="164"/>
      <c r="AU114" s="164"/>
      <c r="AV114" s="164"/>
      <c r="AW114" s="164"/>
      <c r="AX114" s="164"/>
      <c r="AY114" s="164"/>
      <c r="AZ114" s="164"/>
      <c r="BA114" s="164"/>
      <c r="BB114" s="164"/>
      <c r="BC114" s="164"/>
      <c r="BD114" s="164"/>
      <c r="BE114" s="164"/>
      <c r="BF114" s="164"/>
      <c r="BG114" s="164"/>
      <c r="BH114" s="164"/>
      <c r="BI114" s="164"/>
      <c r="BJ114" s="164"/>
      <c r="BK114" s="164"/>
    </row>
    <row r="115" spans="1:63" x14ac:dyDescent="0.2">
      <c r="A115" s="135" t="s">
        <v>118</v>
      </c>
      <c r="B115" s="166">
        <v>0.11129999905824661</v>
      </c>
      <c r="C115" s="166">
        <v>0.11289999634027481</v>
      </c>
      <c r="D115" s="166">
        <v>0.11230000108480453</v>
      </c>
      <c r="E115" s="166">
        <v>0.11159999668598175</v>
      </c>
      <c r="F115" s="166">
        <v>0.11259999871253967</v>
      </c>
      <c r="G115" s="166">
        <v>0.11439999938011169</v>
      </c>
      <c r="H115" s="166">
        <v>0.1177000030875206</v>
      </c>
      <c r="I115" s="166">
        <v>0.1234000027179718</v>
      </c>
      <c r="J115" s="166">
        <v>0.13240000605583191</v>
      </c>
      <c r="K115" s="166">
        <v>0.1460999995470047</v>
      </c>
      <c r="L115" s="166">
        <v>0.16519999504089355</v>
      </c>
      <c r="M115" s="166">
        <v>0.19009999930858612</v>
      </c>
      <c r="N115" s="166">
        <v>0.21920000016689301</v>
      </c>
      <c r="O115" s="166">
        <v>0.25350001454353333</v>
      </c>
      <c r="P115" s="166">
        <v>0.29449999332427979</v>
      </c>
      <c r="Q115" s="166">
        <v>0.33919999003410339</v>
      </c>
      <c r="R115" s="166">
        <v>0.38539999723434448</v>
      </c>
      <c r="S115" s="166">
        <v>0.42260000109672546</v>
      </c>
      <c r="T115" s="166">
        <v>0.46070000529289246</v>
      </c>
      <c r="U115" s="166">
        <v>0.48210000991821289</v>
      </c>
      <c r="V115" s="166">
        <f t="shared" si="1"/>
        <v>0.49435001611709595</v>
      </c>
      <c r="W115" s="166">
        <v>0.506600022315979</v>
      </c>
      <c r="X115" s="166">
        <v>0.51700001955032349</v>
      </c>
      <c r="Y115" s="166">
        <v>0.52679997682571411</v>
      </c>
      <c r="Z115" s="166">
        <v>0.53780001401901245</v>
      </c>
      <c r="AA115" s="166">
        <v>0.54369997978210449</v>
      </c>
      <c r="AB115" s="166">
        <v>0.54799997806549072</v>
      </c>
      <c r="AC115" s="166">
        <v>0.55369997024536133</v>
      </c>
      <c r="AD115" s="166">
        <v>0.56029999256134033</v>
      </c>
      <c r="AE115" s="166">
        <v>0.56639999151229858</v>
      </c>
      <c r="AF115" s="166">
        <v>0.57620000839233398</v>
      </c>
      <c r="AG115" s="164"/>
      <c r="AH115" s="164"/>
      <c r="AI115" s="164"/>
      <c r="AJ115" s="164"/>
      <c r="AK115" s="164"/>
      <c r="AL115" s="164"/>
      <c r="AM115" s="164"/>
      <c r="AN115" s="164"/>
      <c r="AO115" s="164"/>
      <c r="AP115" s="164"/>
      <c r="AQ115" s="164"/>
      <c r="AR115" s="164"/>
      <c r="AS115" s="164"/>
      <c r="AT115" s="164"/>
      <c r="AU115" s="164"/>
      <c r="AV115" s="164"/>
      <c r="AW115" s="164"/>
      <c r="AX115" s="164"/>
      <c r="AY115" s="164"/>
      <c r="AZ115" s="164"/>
      <c r="BA115" s="164"/>
      <c r="BB115" s="164"/>
      <c r="BC115" s="164"/>
      <c r="BD115" s="164"/>
      <c r="BE115" s="164"/>
      <c r="BF115" s="164"/>
      <c r="BG115" s="164"/>
      <c r="BH115" s="164"/>
      <c r="BI115" s="164"/>
      <c r="BJ115" s="164"/>
      <c r="BK115" s="164"/>
    </row>
    <row r="116" spans="1:63" x14ac:dyDescent="0.2">
      <c r="A116" s="135" t="s">
        <v>119</v>
      </c>
      <c r="B116" s="166">
        <v>0.10869999974966049</v>
      </c>
      <c r="C116" s="166">
        <v>0.10849999636411667</v>
      </c>
      <c r="D116" s="166">
        <v>0.10859999805688858</v>
      </c>
      <c r="E116" s="166">
        <v>0.10920000076293945</v>
      </c>
      <c r="F116" s="166">
        <v>0.10999999940395355</v>
      </c>
      <c r="G116" s="166">
        <v>0.11240000277757645</v>
      </c>
      <c r="H116" s="166">
        <v>0.11620000004768372</v>
      </c>
      <c r="I116" s="166">
        <v>0.12240000069141388</v>
      </c>
      <c r="J116" s="166">
        <v>0.13259999454021454</v>
      </c>
      <c r="K116" s="166">
        <v>0.14749999344348907</v>
      </c>
      <c r="L116" s="166">
        <v>0.16850000619888306</v>
      </c>
      <c r="M116" s="166">
        <v>0.19539999961853027</v>
      </c>
      <c r="N116" s="166">
        <v>0.22640000283718109</v>
      </c>
      <c r="O116" s="166">
        <v>0.26289999485015869</v>
      </c>
      <c r="P116" s="166">
        <v>0.30649998784065247</v>
      </c>
      <c r="Q116" s="166">
        <v>0.35019999742507935</v>
      </c>
      <c r="R116" s="166">
        <v>0.39480000734329224</v>
      </c>
      <c r="S116" s="166">
        <v>0.43169999122619629</v>
      </c>
      <c r="T116" s="166">
        <v>0.46880000829696655</v>
      </c>
      <c r="U116" s="166">
        <v>0.48480001091957092</v>
      </c>
      <c r="V116" s="166">
        <f t="shared" si="1"/>
        <v>0.49644999206066132</v>
      </c>
      <c r="W116" s="166">
        <v>0.50809997320175171</v>
      </c>
      <c r="X116" s="166">
        <v>0.51700001955032349</v>
      </c>
      <c r="Y116" s="166">
        <v>0.52670001983642578</v>
      </c>
      <c r="Z116" s="166">
        <v>0.53619998693466187</v>
      </c>
      <c r="AA116" s="166">
        <v>0.54030001163482666</v>
      </c>
      <c r="AB116" s="166">
        <v>0.54559999704360962</v>
      </c>
      <c r="AC116" s="166">
        <v>0.5504000186920166</v>
      </c>
      <c r="AD116" s="166">
        <v>0.55540001392364502</v>
      </c>
      <c r="AE116" s="166">
        <v>0.56180000305175781</v>
      </c>
      <c r="AF116" s="166">
        <v>0.56730002164840698</v>
      </c>
      <c r="AG116" s="164"/>
      <c r="AH116" s="164"/>
      <c r="AI116" s="164"/>
      <c r="AJ116" s="164"/>
      <c r="AK116" s="164"/>
      <c r="AL116" s="164"/>
      <c r="AM116" s="164"/>
      <c r="AN116" s="164"/>
      <c r="AO116" s="164"/>
      <c r="AP116" s="164"/>
      <c r="AQ116" s="164"/>
      <c r="AR116" s="164"/>
      <c r="AS116" s="164"/>
      <c r="AT116" s="164"/>
      <c r="AU116" s="164"/>
      <c r="AV116" s="164"/>
      <c r="AW116" s="164"/>
      <c r="AX116" s="164"/>
      <c r="AY116" s="164"/>
      <c r="AZ116" s="164"/>
      <c r="BA116" s="164"/>
      <c r="BB116" s="164"/>
      <c r="BC116" s="164"/>
      <c r="BD116" s="164"/>
      <c r="BE116" s="164"/>
      <c r="BF116" s="164"/>
      <c r="BG116" s="164"/>
      <c r="BH116" s="164"/>
      <c r="BI116" s="164"/>
      <c r="BJ116" s="164"/>
      <c r="BK116" s="164"/>
    </row>
    <row r="117" spans="1:63" x14ac:dyDescent="0.2">
      <c r="A117" s="135" t="s">
        <v>120</v>
      </c>
      <c r="B117" s="166">
        <v>0.10869999974966049</v>
      </c>
      <c r="C117" s="166">
        <v>0.10849999636411667</v>
      </c>
      <c r="D117" s="166">
        <v>0.10859999805688858</v>
      </c>
      <c r="E117" s="166">
        <v>0.10920000076293945</v>
      </c>
      <c r="F117" s="166">
        <v>0.11029999703168869</v>
      </c>
      <c r="G117" s="166">
        <v>0.11270000040531158</v>
      </c>
      <c r="H117" s="166">
        <v>0.11659999936819077</v>
      </c>
      <c r="I117" s="166">
        <v>0.12330000102519989</v>
      </c>
      <c r="J117" s="166">
        <v>0.13379999995231628</v>
      </c>
      <c r="K117" s="166">
        <v>0.14920000731945038</v>
      </c>
      <c r="L117" s="166">
        <v>0.17069999873638153</v>
      </c>
      <c r="M117" s="166">
        <v>0.19820000231266022</v>
      </c>
      <c r="N117" s="166">
        <v>0.2296999990940094</v>
      </c>
      <c r="O117" s="166">
        <v>0.26789999008178711</v>
      </c>
      <c r="P117" s="166">
        <v>0.31159999966621399</v>
      </c>
      <c r="Q117" s="166">
        <v>0.35519999265670776</v>
      </c>
      <c r="R117" s="166">
        <v>0.39770001173019409</v>
      </c>
      <c r="S117" s="166">
        <v>0.43459999561309814</v>
      </c>
      <c r="T117" s="166">
        <v>0.47110000252723694</v>
      </c>
      <c r="U117" s="166">
        <v>0.48390001058578491</v>
      </c>
      <c r="V117" s="166">
        <f t="shared" si="1"/>
        <v>0.49465000629425049</v>
      </c>
      <c r="W117" s="166">
        <v>0.50540000200271606</v>
      </c>
      <c r="X117" s="166">
        <v>0.51520001888275146</v>
      </c>
      <c r="Y117" s="166">
        <v>0.52549999952316284</v>
      </c>
      <c r="Z117" s="166">
        <v>0.53289997577667236</v>
      </c>
      <c r="AA117" s="166">
        <v>0.53719997406005859</v>
      </c>
      <c r="AB117" s="166">
        <v>0.54199999570846558</v>
      </c>
      <c r="AC117" s="166">
        <v>0.54570001363754272</v>
      </c>
      <c r="AD117" s="166">
        <v>0.55229997634887695</v>
      </c>
      <c r="AE117" s="166">
        <v>0.55820000171661377</v>
      </c>
      <c r="AF117" s="166">
        <v>0.56370002031326294</v>
      </c>
      <c r="AG117" s="164"/>
      <c r="AH117" s="164"/>
      <c r="AI117" s="164"/>
      <c r="AJ117" s="164"/>
      <c r="AK117" s="164"/>
      <c r="AL117" s="164"/>
      <c r="AM117" s="164"/>
      <c r="AN117" s="164"/>
      <c r="AO117" s="164"/>
      <c r="AP117" s="164"/>
      <c r="AQ117" s="164"/>
      <c r="AR117" s="164"/>
      <c r="AS117" s="164"/>
      <c r="AT117" s="164"/>
      <c r="AU117" s="164"/>
      <c r="AV117" s="164"/>
      <c r="AW117" s="164"/>
      <c r="AX117" s="164"/>
      <c r="AY117" s="164"/>
      <c r="AZ117" s="164"/>
      <c r="BA117" s="164"/>
      <c r="BB117" s="164"/>
      <c r="BC117" s="164"/>
      <c r="BD117" s="164"/>
      <c r="BE117" s="164"/>
      <c r="BF117" s="164"/>
      <c r="BG117" s="164"/>
      <c r="BH117" s="164"/>
      <c r="BI117" s="164"/>
      <c r="BJ117" s="164"/>
      <c r="BK117" s="164"/>
    </row>
    <row r="118" spans="1:63" x14ac:dyDescent="0.2">
      <c r="A118" s="135" t="s">
        <v>121</v>
      </c>
      <c r="B118" s="166">
        <v>0.10999999940395355</v>
      </c>
      <c r="C118" s="166">
        <v>0.10989999771118164</v>
      </c>
      <c r="D118" s="166">
        <v>0.10989999771118164</v>
      </c>
      <c r="E118" s="166">
        <v>0.11069999635219574</v>
      </c>
      <c r="F118" s="166">
        <v>0.1120000034570694</v>
      </c>
      <c r="G118" s="166">
        <v>0.11500000208616257</v>
      </c>
      <c r="H118" s="166">
        <v>0.11980000138282776</v>
      </c>
      <c r="I118" s="166">
        <v>0.12770000100135803</v>
      </c>
      <c r="J118" s="166">
        <v>0.14030000567436218</v>
      </c>
      <c r="K118" s="166">
        <v>0.15809999406337738</v>
      </c>
      <c r="L118" s="166">
        <v>0.18240000307559967</v>
      </c>
      <c r="M118" s="166">
        <v>0.21310000121593475</v>
      </c>
      <c r="N118" s="166">
        <v>0.24819999933242798</v>
      </c>
      <c r="O118" s="166">
        <v>0.28979998826980591</v>
      </c>
      <c r="P118" s="166">
        <v>0.33180001378059387</v>
      </c>
      <c r="Q118" s="166">
        <v>0.37639999389648438</v>
      </c>
      <c r="R118" s="166">
        <v>0.4154999852180481</v>
      </c>
      <c r="S118" s="166">
        <v>0.45219999551773071</v>
      </c>
      <c r="T118" s="166">
        <v>0.47859999537467957</v>
      </c>
      <c r="U118" s="166">
        <v>0.49290001392364502</v>
      </c>
      <c r="V118" s="166">
        <f t="shared" si="1"/>
        <v>0.5033000111579895</v>
      </c>
      <c r="W118" s="166">
        <v>0.51370000839233398</v>
      </c>
      <c r="X118" s="166">
        <v>0.52359998226165771</v>
      </c>
      <c r="Y118" s="166">
        <v>0.53189998865127563</v>
      </c>
      <c r="Z118" s="166">
        <v>0.53570002317428589</v>
      </c>
      <c r="AA118" s="166">
        <v>0.54000002145767212</v>
      </c>
      <c r="AB118" s="166">
        <v>0.54430001974105835</v>
      </c>
      <c r="AC118" s="166">
        <v>0.55010002851486206</v>
      </c>
      <c r="AD118" s="166">
        <v>0.55479997396469116</v>
      </c>
      <c r="AE118" s="166">
        <v>0.56089997291564941</v>
      </c>
      <c r="AF118" s="166">
        <v>0.56519997119903564</v>
      </c>
      <c r="AG118" s="164"/>
      <c r="AH118" s="164"/>
      <c r="AI118" s="164"/>
      <c r="AJ118" s="164"/>
      <c r="AK118" s="164"/>
      <c r="AL118" s="164"/>
      <c r="AM118" s="164"/>
      <c r="AN118" s="164"/>
      <c r="AO118" s="164"/>
      <c r="AP118" s="164"/>
      <c r="AQ118" s="164"/>
      <c r="AR118" s="164"/>
      <c r="AS118" s="164"/>
      <c r="AT118" s="164"/>
      <c r="AU118" s="164"/>
      <c r="AV118" s="164"/>
      <c r="AW118" s="164"/>
      <c r="AX118" s="164"/>
      <c r="AY118" s="164"/>
      <c r="AZ118" s="164"/>
      <c r="BA118" s="164"/>
      <c r="BB118" s="164"/>
      <c r="BC118" s="164"/>
      <c r="BD118" s="164"/>
      <c r="BE118" s="164"/>
      <c r="BF118" s="164"/>
      <c r="BG118" s="164"/>
      <c r="BH118" s="164"/>
      <c r="BI118" s="164"/>
      <c r="BJ118" s="164"/>
      <c r="BK118" s="164"/>
    </row>
    <row r="119" spans="1:63" x14ac:dyDescent="0.2">
      <c r="A119" s="135" t="s">
        <v>122</v>
      </c>
      <c r="B119" s="166">
        <v>0.10949999839067459</v>
      </c>
      <c r="C119" s="166">
        <v>0.1096000000834465</v>
      </c>
      <c r="D119" s="166">
        <v>0.10999999940395355</v>
      </c>
      <c r="E119" s="166">
        <v>0.11050000041723251</v>
      </c>
      <c r="F119" s="166">
        <v>0.11259999871253967</v>
      </c>
      <c r="G119" s="166">
        <v>0.11490000039339066</v>
      </c>
      <c r="H119" s="166">
        <v>0.1193000003695488</v>
      </c>
      <c r="I119" s="166">
        <v>0.12729999423027039</v>
      </c>
      <c r="J119" s="166">
        <v>0.14030000567436218</v>
      </c>
      <c r="K119" s="166">
        <v>0.15809999406337738</v>
      </c>
      <c r="L119" s="166">
        <v>0.18299999833106995</v>
      </c>
      <c r="M119" s="166">
        <v>0.21310000121593475</v>
      </c>
      <c r="N119" s="166">
        <v>0.24879999458789825</v>
      </c>
      <c r="O119" s="166">
        <v>0.29080000519752502</v>
      </c>
      <c r="P119" s="166">
        <v>0.33509999513626099</v>
      </c>
      <c r="Q119" s="166">
        <v>0.37950000166893005</v>
      </c>
      <c r="R119" s="166">
        <v>0.41670000553131104</v>
      </c>
      <c r="S119" s="166">
        <v>0.45260000228881836</v>
      </c>
      <c r="T119" s="166">
        <v>0.4781000018119812</v>
      </c>
      <c r="U119" s="166">
        <v>0.49340000748634338</v>
      </c>
      <c r="V119" s="166">
        <f t="shared" si="1"/>
        <v>0.50329999625682831</v>
      </c>
      <c r="W119" s="166">
        <v>0.51319998502731323</v>
      </c>
      <c r="X119" s="166">
        <v>0.5228000283241272</v>
      </c>
      <c r="Y119" s="166">
        <v>0.53100001811981201</v>
      </c>
      <c r="Z119" s="166">
        <v>0.53560000658035278</v>
      </c>
      <c r="AA119" s="166">
        <v>0.54129999876022339</v>
      </c>
      <c r="AB119" s="166">
        <v>0.54559999704360962</v>
      </c>
      <c r="AC119" s="166">
        <v>0.54900002479553223</v>
      </c>
      <c r="AD119" s="166">
        <v>0.55460000038146973</v>
      </c>
      <c r="AE119" s="166">
        <v>0.56180000305175781</v>
      </c>
      <c r="AF119" s="166">
        <v>0.56629997491836548</v>
      </c>
      <c r="AG119" s="164"/>
      <c r="AH119" s="164"/>
      <c r="AI119" s="164"/>
      <c r="AJ119" s="164"/>
      <c r="AK119" s="164"/>
      <c r="AL119" s="164"/>
      <c r="AM119" s="164"/>
      <c r="AN119" s="164"/>
      <c r="AO119" s="164"/>
      <c r="AP119" s="164"/>
      <c r="AQ119" s="164"/>
      <c r="AR119" s="164"/>
      <c r="AS119" s="164"/>
      <c r="AT119" s="164"/>
      <c r="AU119" s="164"/>
      <c r="AV119" s="164"/>
      <c r="AW119" s="164"/>
      <c r="AX119" s="164"/>
      <c r="AY119" s="164"/>
      <c r="AZ119" s="164"/>
      <c r="BA119" s="164"/>
      <c r="BB119" s="164"/>
      <c r="BC119" s="164"/>
      <c r="BD119" s="164"/>
      <c r="BE119" s="164"/>
      <c r="BF119" s="164"/>
      <c r="BG119" s="164"/>
      <c r="BH119" s="164"/>
      <c r="BI119" s="164"/>
      <c r="BJ119" s="164"/>
      <c r="BK119" s="164"/>
    </row>
    <row r="120" spans="1:63" x14ac:dyDescent="0.2">
      <c r="A120" s="135" t="s">
        <v>123</v>
      </c>
      <c r="B120" s="166">
        <v>0.10999999940395355</v>
      </c>
      <c r="C120" s="166">
        <v>0.10970000177621841</v>
      </c>
      <c r="D120" s="166">
        <v>0.10980000346899033</v>
      </c>
      <c r="E120" s="166">
        <v>0.11050000041723251</v>
      </c>
      <c r="F120" s="166">
        <v>0.11159999668598175</v>
      </c>
      <c r="G120" s="166">
        <v>0.11429999768733978</v>
      </c>
      <c r="H120" s="166">
        <v>0.11869999766349792</v>
      </c>
      <c r="I120" s="166">
        <v>0.12590000033378601</v>
      </c>
      <c r="J120" s="166">
        <v>0.13740000128746033</v>
      </c>
      <c r="K120" s="166">
        <v>0.15440000593662262</v>
      </c>
      <c r="L120" s="166">
        <v>0.1785999983549118</v>
      </c>
      <c r="M120" s="166">
        <v>0.20800000429153442</v>
      </c>
      <c r="N120" s="166">
        <v>0.24390000104904175</v>
      </c>
      <c r="O120" s="166">
        <v>0.28720000386238098</v>
      </c>
      <c r="P120" s="166">
        <v>0.33410000801086426</v>
      </c>
      <c r="Q120" s="166">
        <v>0.37929999828338623</v>
      </c>
      <c r="R120" s="166">
        <v>0.42590001225471497</v>
      </c>
      <c r="S120" s="166">
        <v>0.46419999003410339</v>
      </c>
      <c r="T120" s="166">
        <v>0.49500000476837158</v>
      </c>
      <c r="U120" s="166">
        <v>0.50349998474121094</v>
      </c>
      <c r="V120" s="166">
        <f t="shared" si="1"/>
        <v>0.51109999418258667</v>
      </c>
      <c r="W120" s="166">
        <v>0.5187000036239624</v>
      </c>
      <c r="X120" s="166">
        <v>0.53189998865127563</v>
      </c>
      <c r="Y120" s="166">
        <v>0.53780001401901245</v>
      </c>
      <c r="Z120" s="166">
        <v>0.53960001468658447</v>
      </c>
      <c r="AA120" s="166">
        <v>0.54250001907348633</v>
      </c>
      <c r="AB120" s="166">
        <v>0.54640001058578491</v>
      </c>
      <c r="AC120" s="166">
        <v>0.54930001497268677</v>
      </c>
      <c r="AD120" s="166">
        <v>0.55470001697540283</v>
      </c>
      <c r="AE120" s="166">
        <v>0.56180000305175781</v>
      </c>
      <c r="AF120" s="166">
        <v>0.56590002775192261</v>
      </c>
      <c r="AG120" s="164"/>
      <c r="AH120" s="164"/>
      <c r="AI120" s="164"/>
      <c r="AJ120" s="164"/>
      <c r="AK120" s="164"/>
      <c r="AL120" s="164"/>
      <c r="AM120" s="164"/>
      <c r="AN120" s="164"/>
      <c r="AO120" s="164"/>
      <c r="AP120" s="164"/>
      <c r="AQ120" s="164"/>
      <c r="AR120" s="164"/>
      <c r="AS120" s="164"/>
      <c r="AT120" s="164"/>
      <c r="AU120" s="164"/>
      <c r="AV120" s="164"/>
      <c r="AW120" s="164"/>
      <c r="AX120" s="164"/>
      <c r="AY120" s="164"/>
      <c r="AZ120" s="164"/>
      <c r="BA120" s="164"/>
      <c r="BB120" s="164"/>
      <c r="BC120" s="164"/>
      <c r="BD120" s="164"/>
      <c r="BE120" s="164"/>
      <c r="BF120" s="164"/>
      <c r="BG120" s="164"/>
      <c r="BH120" s="164"/>
      <c r="BI120" s="164"/>
      <c r="BJ120" s="164"/>
      <c r="BK120" s="164"/>
    </row>
    <row r="121" spans="1:63" x14ac:dyDescent="0.2">
      <c r="A121" s="135" t="s">
        <v>124</v>
      </c>
      <c r="B121" s="166">
        <v>0.10830000042915344</v>
      </c>
      <c r="C121" s="166">
        <v>0.10769999772310257</v>
      </c>
      <c r="D121" s="166">
        <v>0.10779999941587448</v>
      </c>
      <c r="E121" s="166">
        <v>0.10840000212192535</v>
      </c>
      <c r="F121" s="166">
        <v>0.10930000245571136</v>
      </c>
      <c r="G121" s="166">
        <v>0.11159999668598175</v>
      </c>
      <c r="H121" s="166">
        <v>0.11540000140666962</v>
      </c>
      <c r="I121" s="166">
        <v>0.12179999798536301</v>
      </c>
      <c r="J121" s="166">
        <v>0.13189999759197235</v>
      </c>
      <c r="K121" s="166">
        <v>0.14710000157356262</v>
      </c>
      <c r="L121" s="166">
        <v>0.1695999950170517</v>
      </c>
      <c r="M121" s="166">
        <v>0.19650000333786011</v>
      </c>
      <c r="N121" s="166">
        <v>0.23119999468326569</v>
      </c>
      <c r="O121" s="166">
        <v>0.27279999852180481</v>
      </c>
      <c r="P121" s="166">
        <v>0.3190000057220459</v>
      </c>
      <c r="Q121" s="166">
        <v>0.36500000953674316</v>
      </c>
      <c r="R121" s="166">
        <v>0.41010001301765442</v>
      </c>
      <c r="S121" s="166">
        <v>0.45120000839233398</v>
      </c>
      <c r="T121" s="166">
        <v>0.48269999027252197</v>
      </c>
      <c r="U121" s="166">
        <v>0.4918999969959259</v>
      </c>
      <c r="V121" s="166">
        <f t="shared" si="1"/>
        <v>0.50010000169277191</v>
      </c>
      <c r="W121" s="166">
        <v>0.50830000638961792</v>
      </c>
      <c r="X121" s="166">
        <v>0.51709997653961182</v>
      </c>
      <c r="Y121" s="166">
        <v>0.52689999341964722</v>
      </c>
      <c r="Z121" s="166">
        <v>0.53329998254776001</v>
      </c>
      <c r="AA121" s="166">
        <v>0.53670001029968262</v>
      </c>
      <c r="AB121" s="166">
        <v>0.54110002517700195</v>
      </c>
      <c r="AC121" s="166">
        <v>0.544700026512146</v>
      </c>
      <c r="AD121" s="166">
        <v>0.55089998245239258</v>
      </c>
      <c r="AE121" s="166">
        <v>0.55709999799728394</v>
      </c>
      <c r="AF121" s="166">
        <v>0.56279999017715454</v>
      </c>
      <c r="AG121" s="164"/>
      <c r="AH121" s="164"/>
      <c r="AI121" s="164"/>
      <c r="AJ121" s="164"/>
      <c r="AK121" s="164"/>
      <c r="AL121" s="164"/>
      <c r="AM121" s="164"/>
      <c r="AN121" s="164"/>
      <c r="AO121" s="164"/>
      <c r="AP121" s="164"/>
      <c r="AQ121" s="164"/>
      <c r="AR121" s="164"/>
      <c r="AS121" s="164"/>
      <c r="AT121" s="164"/>
      <c r="AU121" s="164"/>
      <c r="AV121" s="164"/>
      <c r="AW121" s="164"/>
      <c r="AX121" s="164"/>
      <c r="AY121" s="164"/>
      <c r="AZ121" s="164"/>
      <c r="BA121" s="164"/>
      <c r="BB121" s="164"/>
      <c r="BC121" s="164"/>
      <c r="BD121" s="164"/>
      <c r="BE121" s="164"/>
      <c r="BF121" s="164"/>
      <c r="BG121" s="164"/>
      <c r="BH121" s="164"/>
      <c r="BI121" s="164"/>
      <c r="BJ121" s="164"/>
      <c r="BK121" s="164"/>
    </row>
    <row r="122" spans="1:63" x14ac:dyDescent="0.2">
      <c r="A122" s="135" t="s">
        <v>125</v>
      </c>
      <c r="B122" s="166">
        <v>0.10719999670982361</v>
      </c>
      <c r="C122" s="166">
        <v>0.10660000145435333</v>
      </c>
      <c r="D122" s="166">
        <v>0.1062999963760376</v>
      </c>
      <c r="E122" s="166">
        <v>0.1062999963760376</v>
      </c>
      <c r="F122" s="166">
        <v>0.10620000213384628</v>
      </c>
      <c r="G122" s="166">
        <v>0.1062999963760376</v>
      </c>
      <c r="H122" s="166">
        <v>0.10620000213384628</v>
      </c>
      <c r="I122" s="166">
        <v>0.10610000044107437</v>
      </c>
      <c r="J122" s="166">
        <v>0.10599999874830246</v>
      </c>
      <c r="K122" s="166">
        <v>0.10599999874830246</v>
      </c>
      <c r="L122" s="166">
        <v>0.10599999874830246</v>
      </c>
      <c r="M122" s="166">
        <v>0.10570000112056732</v>
      </c>
      <c r="N122" s="166">
        <v>0.1054999977350235</v>
      </c>
      <c r="O122" s="166">
        <v>0.10520000010728836</v>
      </c>
      <c r="P122" s="166">
        <v>0.10499999672174454</v>
      </c>
      <c r="Q122" s="166">
        <v>0.10499999672174454</v>
      </c>
      <c r="R122" s="166">
        <v>0.10499999672174454</v>
      </c>
      <c r="S122" s="166">
        <v>0.10520000010728836</v>
      </c>
      <c r="T122" s="166">
        <v>0.10540000349283218</v>
      </c>
      <c r="U122" s="166">
        <v>0.1054999977350235</v>
      </c>
      <c r="V122" s="166">
        <f t="shared" si="1"/>
        <v>0.10545000061392784</v>
      </c>
      <c r="W122" s="166">
        <v>0.10540000349283218</v>
      </c>
      <c r="X122" s="166">
        <v>0.10520000010728836</v>
      </c>
      <c r="Y122" s="166">
        <v>0.10490000247955322</v>
      </c>
      <c r="Z122" s="166">
        <v>0.10459999740123749</v>
      </c>
      <c r="AA122" s="166">
        <v>0.10440000146627426</v>
      </c>
      <c r="AB122" s="166">
        <v>0.10429999977350235</v>
      </c>
      <c r="AC122" s="166">
        <v>0.10419999808073044</v>
      </c>
      <c r="AD122" s="166">
        <v>0.10419999808073044</v>
      </c>
      <c r="AE122" s="166">
        <v>0.10419999808073044</v>
      </c>
      <c r="AF122" s="166">
        <v>0.10440000146627426</v>
      </c>
      <c r="AG122" s="164"/>
      <c r="AH122" s="164"/>
      <c r="AI122" s="164"/>
      <c r="AJ122" s="164"/>
      <c r="AK122" s="164"/>
      <c r="AL122" s="164"/>
      <c r="AM122" s="164"/>
      <c r="AN122" s="164"/>
      <c r="AO122" s="164"/>
      <c r="AP122" s="164"/>
      <c r="AQ122" s="164"/>
      <c r="AR122" s="164"/>
      <c r="AS122" s="164"/>
      <c r="AT122" s="164"/>
      <c r="AU122" s="164"/>
      <c r="AV122" s="164"/>
      <c r="AW122" s="164"/>
      <c r="AX122" s="164"/>
      <c r="AY122" s="164"/>
      <c r="AZ122" s="164"/>
      <c r="BA122" s="164"/>
      <c r="BB122" s="164"/>
      <c r="BC122" s="164"/>
      <c r="BD122" s="164"/>
      <c r="BE122" s="164"/>
      <c r="BF122" s="164"/>
      <c r="BG122" s="164"/>
      <c r="BH122" s="164"/>
      <c r="BI122" s="164"/>
      <c r="BJ122" s="164"/>
      <c r="BK122" s="164"/>
    </row>
    <row r="123" spans="1:63" x14ac:dyDescent="0.2">
      <c r="A123" s="135" t="s">
        <v>126</v>
      </c>
      <c r="B123" s="166">
        <v>0.10769999772310257</v>
      </c>
      <c r="C123" s="166">
        <v>0.10729999840259552</v>
      </c>
      <c r="D123" s="166">
        <v>0.10689999908208847</v>
      </c>
      <c r="E123" s="166">
        <v>0.10689999908208847</v>
      </c>
      <c r="F123" s="166">
        <v>0.10689999908208847</v>
      </c>
      <c r="G123" s="166">
        <v>0.10719999670982361</v>
      </c>
      <c r="H123" s="166">
        <v>0.10710000246763229</v>
      </c>
      <c r="I123" s="166">
        <v>0.10710000246763229</v>
      </c>
      <c r="J123" s="166">
        <v>0.10700000077486038</v>
      </c>
      <c r="K123" s="166">
        <v>0.10700000077486038</v>
      </c>
      <c r="L123" s="166">
        <v>0.10689999908208847</v>
      </c>
      <c r="M123" s="166">
        <v>0.10670000314712524</v>
      </c>
      <c r="N123" s="166">
        <v>0.10639999806880951</v>
      </c>
      <c r="O123" s="166">
        <v>0.10620000213384628</v>
      </c>
      <c r="P123" s="166">
        <v>0.10599999874830246</v>
      </c>
      <c r="Q123" s="166">
        <v>0.10589999705553055</v>
      </c>
      <c r="R123" s="166">
        <v>0.10599999874830246</v>
      </c>
      <c r="S123" s="166">
        <v>0.10620000213384628</v>
      </c>
      <c r="T123" s="166">
        <v>0.10670000314712524</v>
      </c>
      <c r="U123" s="166">
        <v>0.10660000145435333</v>
      </c>
      <c r="V123" s="166">
        <f t="shared" si="1"/>
        <v>0.10660000145435333</v>
      </c>
      <c r="W123" s="166">
        <v>0.10660000145435333</v>
      </c>
      <c r="X123" s="166">
        <v>0.1062999963760376</v>
      </c>
      <c r="Y123" s="166">
        <v>0.10620000213384628</v>
      </c>
      <c r="Z123" s="166">
        <v>0.10559999942779541</v>
      </c>
      <c r="AA123" s="166">
        <v>0.1054999977350235</v>
      </c>
      <c r="AB123" s="166">
        <v>0.10530000180006027</v>
      </c>
      <c r="AC123" s="166">
        <v>0.10509999841451645</v>
      </c>
      <c r="AD123" s="166">
        <v>0.10509999841451645</v>
      </c>
      <c r="AE123" s="166">
        <v>0.10520000010728836</v>
      </c>
      <c r="AF123" s="166">
        <v>0.10530000180006027</v>
      </c>
      <c r="AG123" s="164"/>
      <c r="AH123" s="164"/>
      <c r="AI123" s="164"/>
      <c r="AJ123" s="164"/>
      <c r="AK123" s="164"/>
      <c r="AL123" s="164"/>
      <c r="AM123" s="164"/>
      <c r="AN123" s="164"/>
      <c r="AO123" s="164"/>
      <c r="AP123" s="164"/>
      <c r="AQ123" s="164"/>
      <c r="AR123" s="164"/>
      <c r="AS123" s="164"/>
      <c r="AT123" s="164"/>
      <c r="AU123" s="164"/>
      <c r="AV123" s="164"/>
      <c r="AW123" s="164"/>
      <c r="AX123" s="164"/>
      <c r="AY123" s="164"/>
      <c r="AZ123" s="164"/>
      <c r="BA123" s="164"/>
      <c r="BB123" s="164"/>
      <c r="BC123" s="164"/>
      <c r="BD123" s="164"/>
      <c r="BE123" s="164"/>
      <c r="BF123" s="164"/>
      <c r="BG123" s="164"/>
      <c r="BH123" s="164"/>
      <c r="BI123" s="164"/>
      <c r="BJ123" s="164"/>
      <c r="BK123" s="164"/>
    </row>
    <row r="124" spans="1:63" x14ac:dyDescent="0.2">
      <c r="A124" s="135" t="s">
        <v>127</v>
      </c>
      <c r="B124" s="166">
        <v>0.10710000246763229</v>
      </c>
      <c r="C124" s="166">
        <v>0.10679999738931656</v>
      </c>
      <c r="D124" s="166">
        <v>0.10639999806880951</v>
      </c>
      <c r="E124" s="166">
        <v>0.10639999806880951</v>
      </c>
      <c r="F124" s="166">
        <v>0.1062999963760376</v>
      </c>
      <c r="G124" s="166">
        <v>0.10649999976158142</v>
      </c>
      <c r="H124" s="166">
        <v>0.10639999806880951</v>
      </c>
      <c r="I124" s="166">
        <v>0.1062999963760376</v>
      </c>
      <c r="J124" s="166">
        <v>0.10639999806880951</v>
      </c>
      <c r="K124" s="166">
        <v>0.10620000213384628</v>
      </c>
      <c r="L124" s="166">
        <v>0.10620000213384628</v>
      </c>
      <c r="M124" s="166">
        <v>0.10599999874830246</v>
      </c>
      <c r="N124" s="166">
        <v>0.10580000281333923</v>
      </c>
      <c r="O124" s="166">
        <v>0.1054999977350235</v>
      </c>
      <c r="P124" s="166">
        <v>0.10530000180006027</v>
      </c>
      <c r="Q124" s="166">
        <v>0.10530000180006027</v>
      </c>
      <c r="R124" s="166">
        <v>0.10540000349283218</v>
      </c>
      <c r="S124" s="166">
        <v>0.10559999942779541</v>
      </c>
      <c r="T124" s="166">
        <v>0.10580000281333923</v>
      </c>
      <c r="U124" s="166">
        <v>0.10589999705553055</v>
      </c>
      <c r="V124" s="166">
        <f t="shared" si="1"/>
        <v>0.10589999705553055</v>
      </c>
      <c r="W124" s="166">
        <v>0.10589999705553055</v>
      </c>
      <c r="X124" s="166">
        <v>0.10570000112056732</v>
      </c>
      <c r="Y124" s="166">
        <v>0.10530000180006027</v>
      </c>
      <c r="Z124" s="166">
        <v>0.10509999841451645</v>
      </c>
      <c r="AA124" s="166">
        <v>0.10520000010728836</v>
      </c>
      <c r="AB124" s="166">
        <v>0.10480000078678131</v>
      </c>
      <c r="AC124" s="166">
        <v>0.10459999740123749</v>
      </c>
      <c r="AD124" s="166">
        <v>0.1046999990940094</v>
      </c>
      <c r="AE124" s="166">
        <v>0.1046999990940094</v>
      </c>
      <c r="AF124" s="166">
        <v>0.10509999841451645</v>
      </c>
      <c r="AG124" s="164"/>
      <c r="AH124" s="164"/>
      <c r="AI124" s="164"/>
      <c r="AJ124" s="164"/>
      <c r="AK124" s="164"/>
      <c r="AL124" s="164"/>
      <c r="AM124" s="164"/>
      <c r="AN124" s="164"/>
      <c r="AO124" s="164"/>
      <c r="AP124" s="164"/>
      <c r="AQ124" s="164"/>
      <c r="AR124" s="164"/>
      <c r="AS124" s="164"/>
      <c r="AT124" s="164"/>
      <c r="AU124" s="164"/>
      <c r="AV124" s="164"/>
      <c r="AW124" s="164"/>
      <c r="AX124" s="164"/>
      <c r="AY124" s="164"/>
      <c r="AZ124" s="164"/>
      <c r="BA124" s="164"/>
      <c r="BB124" s="164"/>
      <c r="BC124" s="164"/>
      <c r="BD124" s="164"/>
      <c r="BE124" s="164"/>
      <c r="BF124" s="164"/>
      <c r="BG124" s="164"/>
      <c r="BH124" s="164"/>
      <c r="BI124" s="164"/>
      <c r="BJ124" s="164"/>
      <c r="BK124" s="164"/>
    </row>
    <row r="125" spans="1:63" x14ac:dyDescent="0.2">
      <c r="A125" s="135" t="s">
        <v>128</v>
      </c>
      <c r="B125" s="166">
        <v>0.10719999670982361</v>
      </c>
      <c r="C125" s="166">
        <v>0.10679999738931656</v>
      </c>
      <c r="D125" s="166">
        <v>0.10670000314712524</v>
      </c>
      <c r="E125" s="166">
        <v>0.10649999976158142</v>
      </c>
      <c r="F125" s="166">
        <v>0.10639999806880951</v>
      </c>
      <c r="G125" s="166">
        <v>0.10670000314712524</v>
      </c>
      <c r="H125" s="166">
        <v>0.10660000145435333</v>
      </c>
      <c r="I125" s="166">
        <v>0.10639999806880951</v>
      </c>
      <c r="J125" s="166">
        <v>0.10639999806880951</v>
      </c>
      <c r="K125" s="166">
        <v>0.10639999806880951</v>
      </c>
      <c r="L125" s="166">
        <v>0.10639999806880951</v>
      </c>
      <c r="M125" s="166">
        <v>0.10610000044107437</v>
      </c>
      <c r="N125" s="166">
        <v>0.10580000281333923</v>
      </c>
      <c r="O125" s="166">
        <v>0.10559999942779541</v>
      </c>
      <c r="P125" s="166">
        <v>0.10540000349283218</v>
      </c>
      <c r="Q125" s="166">
        <v>0.10540000349283218</v>
      </c>
      <c r="R125" s="166">
        <v>0.1054999977350235</v>
      </c>
      <c r="S125" s="166">
        <v>0.10559999942779541</v>
      </c>
      <c r="T125" s="166">
        <v>0.10589999705553055</v>
      </c>
      <c r="U125" s="166">
        <v>0.10599999874830246</v>
      </c>
      <c r="V125" s="166">
        <f t="shared" si="1"/>
        <v>0.10604999959468842</v>
      </c>
      <c r="W125" s="166">
        <v>0.10610000044107437</v>
      </c>
      <c r="X125" s="166">
        <v>0.10580000281333923</v>
      </c>
      <c r="Y125" s="166">
        <v>0.1054999977350235</v>
      </c>
      <c r="Z125" s="166">
        <v>0.10520000010728836</v>
      </c>
      <c r="AA125" s="166">
        <v>0.10499999672174454</v>
      </c>
      <c r="AB125" s="166">
        <v>0.10490000247955322</v>
      </c>
      <c r="AC125" s="166">
        <v>0.1046999990940094</v>
      </c>
      <c r="AD125" s="166">
        <v>0.10480000078678131</v>
      </c>
      <c r="AE125" s="166">
        <v>0.10480000078678131</v>
      </c>
      <c r="AF125" s="166">
        <v>0.10499999672174454</v>
      </c>
      <c r="AG125" s="164"/>
      <c r="AH125" s="164"/>
      <c r="AI125" s="164"/>
      <c r="AJ125" s="164"/>
      <c r="AK125" s="164"/>
      <c r="AL125" s="164"/>
      <c r="AM125" s="164"/>
      <c r="AN125" s="164"/>
      <c r="AO125" s="164"/>
      <c r="AP125" s="164"/>
      <c r="AQ125" s="164"/>
      <c r="AR125" s="164"/>
      <c r="AS125" s="164"/>
      <c r="AT125" s="164"/>
      <c r="AU125" s="164"/>
      <c r="AV125" s="164"/>
      <c r="AW125" s="164"/>
      <c r="AX125" s="164"/>
      <c r="AY125" s="164"/>
      <c r="AZ125" s="164"/>
      <c r="BA125" s="164"/>
      <c r="BB125" s="164"/>
      <c r="BC125" s="164"/>
      <c r="BD125" s="164"/>
      <c r="BE125" s="164"/>
      <c r="BF125" s="164"/>
      <c r="BG125" s="164"/>
      <c r="BH125" s="164"/>
      <c r="BI125" s="164"/>
      <c r="BJ125" s="164"/>
      <c r="BK125" s="164"/>
    </row>
    <row r="126" spans="1:63" x14ac:dyDescent="0.2">
      <c r="A126" s="135" t="s">
        <v>129</v>
      </c>
      <c r="B126" s="166">
        <v>0.10639999806880951</v>
      </c>
      <c r="C126" s="166">
        <v>0.10599999874830246</v>
      </c>
      <c r="D126" s="166">
        <v>0.10580000281333923</v>
      </c>
      <c r="E126" s="166">
        <v>0.10580000281333923</v>
      </c>
      <c r="F126" s="166">
        <v>0.10610000044107437</v>
      </c>
      <c r="G126" s="166">
        <v>0.10620000213384628</v>
      </c>
      <c r="H126" s="166">
        <v>0.10610000044107437</v>
      </c>
      <c r="I126" s="166">
        <v>0.10599999874830246</v>
      </c>
      <c r="J126" s="166">
        <v>0.10580000281333923</v>
      </c>
      <c r="K126" s="166">
        <v>0.10580000281333923</v>
      </c>
      <c r="L126" s="166">
        <v>0.10580000281333923</v>
      </c>
      <c r="M126" s="166">
        <v>0.10559999942779541</v>
      </c>
      <c r="N126" s="166">
        <v>0.10530000180006027</v>
      </c>
      <c r="O126" s="166">
        <v>0.10490000247955322</v>
      </c>
      <c r="P126" s="166">
        <v>0.10490000247955322</v>
      </c>
      <c r="Q126" s="166">
        <v>0.10480000078678131</v>
      </c>
      <c r="R126" s="166">
        <v>0.10480000078678131</v>
      </c>
      <c r="S126" s="166">
        <v>0.10509999841451645</v>
      </c>
      <c r="T126" s="166">
        <v>0.10530000180006027</v>
      </c>
      <c r="U126" s="166">
        <v>0.10559999942779541</v>
      </c>
      <c r="V126" s="166">
        <f t="shared" si="1"/>
        <v>0.10619999840855598</v>
      </c>
      <c r="W126" s="166">
        <v>0.10679999738931656</v>
      </c>
      <c r="X126" s="166">
        <v>0.1062999963760376</v>
      </c>
      <c r="Y126" s="166">
        <v>0.10589999705553055</v>
      </c>
      <c r="Z126" s="166">
        <v>0.10580000281333923</v>
      </c>
      <c r="AA126" s="166">
        <v>0.10570000112056732</v>
      </c>
      <c r="AB126" s="166">
        <v>0.10540000349283218</v>
      </c>
      <c r="AC126" s="166">
        <v>0.1054999977350235</v>
      </c>
      <c r="AD126" s="166">
        <v>0.10520000010728836</v>
      </c>
      <c r="AE126" s="166">
        <v>0.10540000349283218</v>
      </c>
      <c r="AF126" s="166">
        <v>0.10480000078678131</v>
      </c>
      <c r="AG126" s="164"/>
      <c r="AH126" s="164"/>
      <c r="AI126" s="164"/>
      <c r="AJ126" s="164"/>
      <c r="AK126" s="164"/>
      <c r="AL126" s="164"/>
      <c r="AM126" s="164"/>
      <c r="AN126" s="164"/>
      <c r="AO126" s="164"/>
      <c r="AP126" s="164"/>
      <c r="AQ126" s="164"/>
      <c r="AR126" s="164"/>
      <c r="AS126" s="164"/>
      <c r="AT126" s="164"/>
      <c r="AU126" s="164"/>
      <c r="AV126" s="164"/>
      <c r="AW126" s="164"/>
      <c r="AX126" s="164"/>
      <c r="AY126" s="164"/>
      <c r="AZ126" s="164"/>
      <c r="BA126" s="164"/>
      <c r="BB126" s="164"/>
      <c r="BC126" s="164"/>
      <c r="BD126" s="164"/>
      <c r="BE126" s="164"/>
      <c r="BF126" s="164"/>
      <c r="BG126" s="164"/>
      <c r="BH126" s="164"/>
      <c r="BI126" s="164"/>
      <c r="BJ126" s="164"/>
      <c r="BK126" s="164"/>
    </row>
    <row r="127" spans="1:63" x14ac:dyDescent="0.2">
      <c r="A127" s="135" t="s">
        <v>130</v>
      </c>
      <c r="B127" s="166">
        <v>0.10670000314712524</v>
      </c>
      <c r="C127" s="166">
        <v>0.1062999963760376</v>
      </c>
      <c r="D127" s="166">
        <v>0.10620000213384628</v>
      </c>
      <c r="E127" s="166">
        <v>0.10610000044107437</v>
      </c>
      <c r="F127" s="166">
        <v>0.10599999874830246</v>
      </c>
      <c r="G127" s="166">
        <v>0.1062999963760376</v>
      </c>
      <c r="H127" s="166">
        <v>0.10620000213384628</v>
      </c>
      <c r="I127" s="166">
        <v>0.10610000044107437</v>
      </c>
      <c r="J127" s="166">
        <v>0.10649999976158142</v>
      </c>
      <c r="K127" s="166">
        <v>0.10599999874830246</v>
      </c>
      <c r="L127" s="166">
        <v>0.10610000044107437</v>
      </c>
      <c r="M127" s="166">
        <v>0.10589999705553055</v>
      </c>
      <c r="N127" s="166">
        <v>0.1054999977350235</v>
      </c>
      <c r="O127" s="166">
        <v>0.10520000010728836</v>
      </c>
      <c r="P127" s="166">
        <v>0.10499999672174454</v>
      </c>
      <c r="Q127" s="166">
        <v>0.10499999672174454</v>
      </c>
      <c r="R127" s="166">
        <v>0.10509999841451645</v>
      </c>
      <c r="S127" s="166">
        <v>0.10520000010728836</v>
      </c>
      <c r="T127" s="166">
        <v>0.1054999977350235</v>
      </c>
      <c r="U127" s="166">
        <v>0.10559999942779541</v>
      </c>
      <c r="V127" s="166">
        <f t="shared" si="1"/>
        <v>0.10559999942779541</v>
      </c>
      <c r="W127" s="166">
        <v>0.10559999942779541</v>
      </c>
      <c r="X127" s="166">
        <v>0.10540000349283218</v>
      </c>
      <c r="Y127" s="166">
        <v>0.10509999841451645</v>
      </c>
      <c r="Z127" s="166">
        <v>0.10480000078678131</v>
      </c>
      <c r="AA127" s="166">
        <v>0.10459999740123749</v>
      </c>
      <c r="AB127" s="166">
        <v>0.10440000146627426</v>
      </c>
      <c r="AC127" s="166">
        <v>0.10429999977350235</v>
      </c>
      <c r="AD127" s="166">
        <v>0.10429999977350235</v>
      </c>
      <c r="AE127" s="166">
        <v>0.10440000146627426</v>
      </c>
      <c r="AF127" s="166">
        <v>0.10459999740123749</v>
      </c>
      <c r="AG127" s="164"/>
      <c r="AH127" s="164"/>
      <c r="AI127" s="164"/>
      <c r="AJ127" s="164"/>
      <c r="AK127" s="164"/>
      <c r="AL127" s="164"/>
      <c r="AM127" s="164"/>
      <c r="AN127" s="164"/>
      <c r="AO127" s="164"/>
      <c r="AP127" s="164"/>
      <c r="AQ127" s="164"/>
      <c r="AR127" s="164"/>
      <c r="AS127" s="164"/>
      <c r="AT127" s="164"/>
      <c r="AU127" s="164"/>
      <c r="AV127" s="164"/>
      <c r="AW127" s="164"/>
      <c r="AX127" s="164"/>
      <c r="AY127" s="164"/>
      <c r="AZ127" s="164"/>
      <c r="BA127" s="164"/>
      <c r="BB127" s="164"/>
      <c r="BC127" s="164"/>
      <c r="BD127" s="164"/>
      <c r="BE127" s="164"/>
      <c r="BF127" s="164"/>
      <c r="BG127" s="164"/>
      <c r="BH127" s="164"/>
      <c r="BI127" s="164"/>
      <c r="BJ127" s="164"/>
      <c r="BK127" s="164"/>
    </row>
    <row r="128" spans="1:63" x14ac:dyDescent="0.2">
      <c r="A128" s="135" t="s">
        <v>131</v>
      </c>
      <c r="B128" s="166">
        <v>0.10679999738931656</v>
      </c>
      <c r="C128" s="166">
        <v>0.10649999976158142</v>
      </c>
      <c r="D128" s="166">
        <v>0.10639999806880951</v>
      </c>
      <c r="E128" s="166">
        <v>0.1062999963760376</v>
      </c>
      <c r="F128" s="166">
        <v>0.10620000213384628</v>
      </c>
      <c r="G128" s="166">
        <v>0.10639999806880951</v>
      </c>
      <c r="H128" s="166">
        <v>0.1062999963760376</v>
      </c>
      <c r="I128" s="166">
        <v>0.10620000213384628</v>
      </c>
      <c r="J128" s="166">
        <v>0.10610000044107437</v>
      </c>
      <c r="K128" s="166">
        <v>0.10610000044107437</v>
      </c>
      <c r="L128" s="166">
        <v>0.10610000044107437</v>
      </c>
      <c r="M128" s="166">
        <v>0.10580000281333923</v>
      </c>
      <c r="N128" s="166">
        <v>0.10559999942779541</v>
      </c>
      <c r="O128" s="166">
        <v>0.1054999977350235</v>
      </c>
      <c r="P128" s="166">
        <v>0.10509999841451645</v>
      </c>
      <c r="Q128" s="166">
        <v>0.10509999841451645</v>
      </c>
      <c r="R128" s="166">
        <v>0.10520000010728836</v>
      </c>
      <c r="S128" s="166">
        <v>0.10530000180006027</v>
      </c>
      <c r="T128" s="166">
        <v>0.10559999942779541</v>
      </c>
      <c r="U128" s="166">
        <v>0.10559999942779541</v>
      </c>
      <c r="V128" s="166">
        <f t="shared" si="1"/>
        <v>0.10565000027418137</v>
      </c>
      <c r="W128" s="166">
        <v>0.10570000112056732</v>
      </c>
      <c r="X128" s="166">
        <v>0.10540000349283218</v>
      </c>
      <c r="Y128" s="166">
        <v>0.10509999841451645</v>
      </c>
      <c r="Z128" s="166">
        <v>0.10490000247955322</v>
      </c>
      <c r="AA128" s="166">
        <v>0.10459999740123749</v>
      </c>
      <c r="AB128" s="166">
        <v>0.10450000315904617</v>
      </c>
      <c r="AC128" s="166">
        <v>0.10440000146627426</v>
      </c>
      <c r="AD128" s="166">
        <v>0.10440000146627426</v>
      </c>
      <c r="AE128" s="166">
        <v>0.10440000146627426</v>
      </c>
      <c r="AF128" s="166">
        <v>0.10459999740123749</v>
      </c>
      <c r="AG128" s="164"/>
      <c r="AH128" s="164"/>
      <c r="AI128" s="164"/>
      <c r="AJ128" s="164"/>
      <c r="AK128" s="164"/>
      <c r="AL128" s="164"/>
      <c r="AM128" s="164"/>
      <c r="AN128" s="164"/>
      <c r="AO128" s="164"/>
      <c r="AP128" s="164"/>
      <c r="AQ128" s="164"/>
      <c r="AR128" s="164"/>
      <c r="AS128" s="164"/>
      <c r="AT128" s="164"/>
      <c r="AU128" s="164"/>
      <c r="AV128" s="164"/>
      <c r="AW128" s="164"/>
      <c r="AX128" s="164"/>
      <c r="AY128" s="164"/>
      <c r="AZ128" s="164"/>
      <c r="BA128" s="164"/>
      <c r="BB128" s="164"/>
      <c r="BC128" s="164"/>
      <c r="BD128" s="164"/>
      <c r="BE128" s="164"/>
      <c r="BF128" s="164"/>
      <c r="BG128" s="164"/>
      <c r="BH128" s="164"/>
      <c r="BI128" s="164"/>
      <c r="BJ128" s="164"/>
      <c r="BK128" s="164"/>
    </row>
    <row r="129" spans="1:63" x14ac:dyDescent="0.2">
      <c r="A129" s="135" t="s">
        <v>132</v>
      </c>
      <c r="B129" s="166">
        <v>0.10679999738931656</v>
      </c>
      <c r="C129" s="166">
        <v>0.1062999963760376</v>
      </c>
      <c r="D129" s="166">
        <v>0.10620000213384628</v>
      </c>
      <c r="E129" s="166">
        <v>0.10610000044107437</v>
      </c>
      <c r="F129" s="166">
        <v>0.10610000044107437</v>
      </c>
      <c r="G129" s="166">
        <v>0.10620000213384628</v>
      </c>
      <c r="H129" s="166">
        <v>0.10620000213384628</v>
      </c>
      <c r="I129" s="166">
        <v>0.10599999874830246</v>
      </c>
      <c r="J129" s="166">
        <v>0.10589999705553055</v>
      </c>
      <c r="K129" s="166">
        <v>0.10589999705553055</v>
      </c>
      <c r="L129" s="166">
        <v>0.10589999705553055</v>
      </c>
      <c r="M129" s="166">
        <v>0.10570000112056732</v>
      </c>
      <c r="N129" s="166">
        <v>0.10540000349283218</v>
      </c>
      <c r="O129" s="166">
        <v>0.10520000010728836</v>
      </c>
      <c r="P129" s="166">
        <v>0.10490000247955322</v>
      </c>
      <c r="Q129" s="166">
        <v>0.10499999672174454</v>
      </c>
      <c r="R129" s="166">
        <v>0.10499999672174454</v>
      </c>
      <c r="S129" s="166">
        <v>0.10520000010728836</v>
      </c>
      <c r="T129" s="166">
        <v>0.1054999977350235</v>
      </c>
      <c r="U129" s="166">
        <v>0.1054999977350235</v>
      </c>
      <c r="V129" s="166">
        <f t="shared" si="1"/>
        <v>0.1054999977350235</v>
      </c>
      <c r="W129" s="166">
        <v>0.1054999977350235</v>
      </c>
      <c r="X129" s="166">
        <v>0.10520000010728836</v>
      </c>
      <c r="Y129" s="166">
        <v>0.10499999672174454</v>
      </c>
      <c r="Z129" s="166">
        <v>0.1046999990940094</v>
      </c>
      <c r="AA129" s="166">
        <v>0.10450000315904617</v>
      </c>
      <c r="AB129" s="166">
        <v>0.10440000146627426</v>
      </c>
      <c r="AC129" s="166">
        <v>0.10429999977350235</v>
      </c>
      <c r="AD129" s="166">
        <v>0.10419999808073044</v>
      </c>
      <c r="AE129" s="166">
        <v>0.10429999977350235</v>
      </c>
      <c r="AF129" s="166">
        <v>0.10450000315904617</v>
      </c>
      <c r="AG129" s="164"/>
      <c r="AH129" s="164"/>
      <c r="AI129" s="164"/>
      <c r="AJ129" s="164"/>
      <c r="AK129" s="164"/>
      <c r="AL129" s="164"/>
      <c r="AM129" s="164"/>
      <c r="AN129" s="164"/>
      <c r="AO129" s="164"/>
      <c r="AP129" s="164"/>
      <c r="AQ129" s="164"/>
      <c r="AR129" s="164"/>
      <c r="AS129" s="164"/>
      <c r="AT129" s="164"/>
      <c r="AU129" s="164"/>
      <c r="AV129" s="164"/>
      <c r="AW129" s="164"/>
      <c r="AX129" s="164"/>
      <c r="AY129" s="164"/>
      <c r="AZ129" s="164"/>
      <c r="BA129" s="164"/>
      <c r="BB129" s="164"/>
      <c r="BC129" s="164"/>
      <c r="BD129" s="164"/>
      <c r="BE129" s="164"/>
      <c r="BF129" s="164"/>
      <c r="BG129" s="164"/>
      <c r="BH129" s="164"/>
      <c r="BI129" s="164"/>
      <c r="BJ129" s="164"/>
      <c r="BK129" s="164"/>
    </row>
    <row r="130" spans="1:63" x14ac:dyDescent="0.2">
      <c r="A130" s="135" t="s">
        <v>133</v>
      </c>
      <c r="B130" s="166">
        <v>0.10649999976158142</v>
      </c>
      <c r="C130" s="166">
        <v>0.10610000044107437</v>
      </c>
      <c r="D130" s="166">
        <v>0.10589999705553055</v>
      </c>
      <c r="E130" s="166">
        <v>0.10589999705553055</v>
      </c>
      <c r="F130" s="166">
        <v>0.10589999705553055</v>
      </c>
      <c r="G130" s="166">
        <v>0.10599999874830246</v>
      </c>
      <c r="H130" s="166">
        <v>0.10620000213384628</v>
      </c>
      <c r="I130" s="166">
        <v>0.10570000112056732</v>
      </c>
      <c r="J130" s="166">
        <v>0.10570000112056732</v>
      </c>
      <c r="K130" s="166">
        <v>0.10559999942779541</v>
      </c>
      <c r="L130" s="166">
        <v>0.10570000112056732</v>
      </c>
      <c r="M130" s="166">
        <v>0.10540000349283218</v>
      </c>
      <c r="N130" s="166">
        <v>0.10520000010728836</v>
      </c>
      <c r="O130" s="166">
        <v>0.10490000247955322</v>
      </c>
      <c r="P130" s="166">
        <v>0.1046999990940094</v>
      </c>
      <c r="Q130" s="166">
        <v>0.1046999990940094</v>
      </c>
      <c r="R130" s="166">
        <v>0.1046999990940094</v>
      </c>
      <c r="S130" s="166">
        <v>0.10509999841451645</v>
      </c>
      <c r="T130" s="166">
        <v>0.10520000010728836</v>
      </c>
      <c r="U130" s="166">
        <v>0.10530000180006027</v>
      </c>
      <c r="V130" s="166">
        <f t="shared" si="1"/>
        <v>0.10530000180006027</v>
      </c>
      <c r="W130" s="166">
        <v>0.10530000180006027</v>
      </c>
      <c r="X130" s="166">
        <v>0.10499999672174454</v>
      </c>
      <c r="Y130" s="166">
        <v>0.10480000078678131</v>
      </c>
      <c r="Z130" s="166">
        <v>0.10450000315904617</v>
      </c>
      <c r="AA130" s="166">
        <v>0.10419999808073044</v>
      </c>
      <c r="AB130" s="166">
        <v>0.10409999638795853</v>
      </c>
      <c r="AC130" s="166">
        <v>0.10400000214576721</v>
      </c>
      <c r="AD130" s="166">
        <v>0.10400000214576721</v>
      </c>
      <c r="AE130" s="166">
        <v>0.10409999638795853</v>
      </c>
      <c r="AF130" s="166">
        <v>0.10419999808073044</v>
      </c>
      <c r="AG130" s="164"/>
      <c r="AH130" s="164"/>
      <c r="AI130" s="164"/>
      <c r="AJ130" s="164"/>
      <c r="AK130" s="164"/>
      <c r="AL130" s="164"/>
      <c r="AM130" s="164"/>
      <c r="AN130" s="164"/>
      <c r="AO130" s="164"/>
      <c r="AP130" s="164"/>
      <c r="AQ130" s="164"/>
      <c r="AR130" s="164"/>
      <c r="AS130" s="164"/>
      <c r="AT130" s="164"/>
      <c r="AU130" s="164"/>
      <c r="AV130" s="164"/>
      <c r="AW130" s="164"/>
      <c r="AX130" s="164"/>
      <c r="AY130" s="164"/>
      <c r="AZ130" s="164"/>
      <c r="BA130" s="164"/>
      <c r="BB130" s="164"/>
      <c r="BC130" s="164"/>
      <c r="BD130" s="164"/>
      <c r="BE130" s="164"/>
      <c r="BF130" s="164"/>
      <c r="BG130" s="164"/>
      <c r="BH130" s="164"/>
      <c r="BI130" s="164"/>
      <c r="BJ130" s="164"/>
      <c r="BK130" s="164"/>
    </row>
    <row r="131" spans="1:63" x14ac:dyDescent="0.2">
      <c r="A131" s="135" t="s">
        <v>134</v>
      </c>
      <c r="B131" s="166">
        <v>0.10740000009536743</v>
      </c>
      <c r="C131" s="166">
        <v>0.10700000077486038</v>
      </c>
      <c r="D131" s="166">
        <v>0.10700000077486038</v>
      </c>
      <c r="E131" s="166">
        <v>0.10670000314712524</v>
      </c>
      <c r="F131" s="166">
        <v>0.10660000145435333</v>
      </c>
      <c r="G131" s="166">
        <v>0.10689999908208847</v>
      </c>
      <c r="H131" s="166">
        <v>0.10670000314712524</v>
      </c>
      <c r="I131" s="166">
        <v>0.10660000145435333</v>
      </c>
      <c r="J131" s="166">
        <v>0.10649999976158142</v>
      </c>
      <c r="K131" s="166">
        <v>0.10649999976158142</v>
      </c>
      <c r="L131" s="166">
        <v>0.10679999738931656</v>
      </c>
      <c r="M131" s="166">
        <v>0.1062999963760376</v>
      </c>
      <c r="N131" s="166">
        <v>0.10599999874830246</v>
      </c>
      <c r="O131" s="166">
        <v>0.10580000281333923</v>
      </c>
      <c r="P131" s="166">
        <v>0.1054999977350235</v>
      </c>
      <c r="Q131" s="166">
        <v>0.1054999977350235</v>
      </c>
      <c r="R131" s="166">
        <v>0.10559999942779541</v>
      </c>
      <c r="S131" s="166">
        <v>0.10570000112056732</v>
      </c>
      <c r="T131" s="166">
        <v>0.10599999874830246</v>
      </c>
      <c r="U131" s="166">
        <v>0.10610000044107437</v>
      </c>
      <c r="V131" s="166">
        <f t="shared" si="1"/>
        <v>0.10610000044107437</v>
      </c>
      <c r="W131" s="166">
        <v>0.10610000044107437</v>
      </c>
      <c r="X131" s="166">
        <v>0.10580000281333923</v>
      </c>
      <c r="Y131" s="166">
        <v>0.1054999977350235</v>
      </c>
      <c r="Z131" s="166">
        <v>0.10530000180006027</v>
      </c>
      <c r="AA131" s="166">
        <v>0.10499999672174454</v>
      </c>
      <c r="AB131" s="166">
        <v>0.10490000247955322</v>
      </c>
      <c r="AC131" s="166">
        <v>0.10480000078678131</v>
      </c>
      <c r="AD131" s="166">
        <v>0.10490000247955322</v>
      </c>
      <c r="AE131" s="166">
        <v>0.10480000078678131</v>
      </c>
      <c r="AF131" s="166">
        <v>0.10499999672174454</v>
      </c>
      <c r="AG131" s="164"/>
      <c r="AH131" s="164"/>
      <c r="AI131" s="164"/>
      <c r="AJ131" s="164"/>
      <c r="AK131" s="164"/>
      <c r="AL131" s="164"/>
      <c r="AM131" s="164"/>
      <c r="AN131" s="164"/>
      <c r="AO131" s="164"/>
      <c r="AP131" s="164"/>
      <c r="AQ131" s="164"/>
      <c r="AR131" s="164"/>
      <c r="AS131" s="164"/>
      <c r="AT131" s="164"/>
      <c r="AU131" s="164"/>
      <c r="AV131" s="164"/>
      <c r="AW131" s="164"/>
      <c r="AX131" s="164"/>
      <c r="AY131" s="164"/>
      <c r="AZ131" s="164"/>
      <c r="BA131" s="164"/>
      <c r="BB131" s="164"/>
      <c r="BC131" s="164"/>
      <c r="BD131" s="164"/>
      <c r="BE131" s="164"/>
      <c r="BF131" s="164"/>
      <c r="BG131" s="164"/>
      <c r="BH131" s="164"/>
      <c r="BI131" s="164"/>
      <c r="BJ131" s="164"/>
      <c r="BK131" s="164"/>
    </row>
    <row r="132" spans="1:63" x14ac:dyDescent="0.2">
      <c r="A132" s="135" t="s">
        <v>135</v>
      </c>
      <c r="B132" s="166">
        <v>0.10719999670982361</v>
      </c>
      <c r="C132" s="166">
        <v>0.10660000145435333</v>
      </c>
      <c r="D132" s="166">
        <v>0.10639999806880951</v>
      </c>
      <c r="E132" s="166">
        <v>0.10639999806880951</v>
      </c>
      <c r="F132" s="166">
        <v>0.10620000213384628</v>
      </c>
      <c r="G132" s="166">
        <v>0.10639999806880951</v>
      </c>
      <c r="H132" s="166">
        <v>0.10620000213384628</v>
      </c>
      <c r="I132" s="166">
        <v>0.10610000044107437</v>
      </c>
      <c r="J132" s="166">
        <v>0.10599999874830246</v>
      </c>
      <c r="K132" s="166">
        <v>0.10610000044107437</v>
      </c>
      <c r="L132" s="166">
        <v>0.10599999874830246</v>
      </c>
      <c r="M132" s="166">
        <v>0.10580000281333923</v>
      </c>
      <c r="N132" s="166">
        <v>0.1054999977350235</v>
      </c>
      <c r="O132" s="166">
        <v>0.10540000349283218</v>
      </c>
      <c r="P132" s="166">
        <v>0.10499999672174454</v>
      </c>
      <c r="Q132" s="166">
        <v>0.10509999841451645</v>
      </c>
      <c r="R132" s="166">
        <v>0.10509999841451645</v>
      </c>
      <c r="S132" s="166">
        <v>0.10520000010728836</v>
      </c>
      <c r="T132" s="166">
        <v>0.1054999977350235</v>
      </c>
      <c r="U132" s="166">
        <v>0.10559999942779541</v>
      </c>
      <c r="V132" s="166">
        <f t="shared" si="1"/>
        <v>0.10559999942779541</v>
      </c>
      <c r="W132" s="166">
        <v>0.10559999942779541</v>
      </c>
      <c r="X132" s="166">
        <v>0.10540000349283218</v>
      </c>
      <c r="Y132" s="166">
        <v>0.10509999841451645</v>
      </c>
      <c r="Z132" s="166">
        <v>0.10490000247955322</v>
      </c>
      <c r="AA132" s="166">
        <v>0.10459999740123749</v>
      </c>
      <c r="AB132" s="166">
        <v>0.10440000146627426</v>
      </c>
      <c r="AC132" s="166">
        <v>0.10440000146627426</v>
      </c>
      <c r="AD132" s="166">
        <v>0.10440000146627426</v>
      </c>
      <c r="AE132" s="166">
        <v>0.10440000146627426</v>
      </c>
      <c r="AF132" s="166">
        <v>0.10459999740123749</v>
      </c>
      <c r="AG132" s="164"/>
      <c r="AH132" s="164"/>
      <c r="AI132" s="164"/>
      <c r="AJ132" s="164"/>
      <c r="AK132" s="164"/>
      <c r="AL132" s="164"/>
      <c r="AM132" s="164"/>
      <c r="AN132" s="164"/>
      <c r="AO132" s="164"/>
      <c r="AP132" s="164"/>
      <c r="AQ132" s="164"/>
      <c r="AR132" s="164"/>
      <c r="AS132" s="164"/>
      <c r="AT132" s="164"/>
      <c r="AU132" s="164"/>
      <c r="AV132" s="164"/>
      <c r="AW132" s="164"/>
      <c r="AX132" s="164"/>
      <c r="AY132" s="164"/>
      <c r="AZ132" s="164"/>
      <c r="BA132" s="164"/>
      <c r="BB132" s="164"/>
      <c r="BC132" s="164"/>
      <c r="BD132" s="164"/>
      <c r="BE132" s="164"/>
      <c r="BF132" s="164"/>
      <c r="BG132" s="164"/>
      <c r="BH132" s="164"/>
      <c r="BI132" s="164"/>
      <c r="BJ132" s="164"/>
      <c r="BK132" s="164"/>
    </row>
    <row r="133" spans="1:63" x14ac:dyDescent="0.2">
      <c r="A133" s="135" t="s">
        <v>136</v>
      </c>
      <c r="B133" s="166">
        <v>0.10740000009536743</v>
      </c>
      <c r="C133" s="166">
        <v>0.10679999738931656</v>
      </c>
      <c r="D133" s="166">
        <v>0.10660000145435333</v>
      </c>
      <c r="E133" s="166">
        <v>0.10639999806880951</v>
      </c>
      <c r="F133" s="166">
        <v>0.1062999963760376</v>
      </c>
      <c r="G133" s="166">
        <v>0.10649999976158142</v>
      </c>
      <c r="H133" s="166">
        <v>0.1062999963760376</v>
      </c>
      <c r="I133" s="166">
        <v>0.10620000213384628</v>
      </c>
      <c r="J133" s="166">
        <v>0.10610000044107437</v>
      </c>
      <c r="K133" s="166">
        <v>0.10610000044107437</v>
      </c>
      <c r="L133" s="166">
        <v>0.10599999874830246</v>
      </c>
      <c r="M133" s="166">
        <v>0.10580000281333923</v>
      </c>
      <c r="N133" s="166">
        <v>0.1054999977350235</v>
      </c>
      <c r="O133" s="166">
        <v>0.10530000180006027</v>
      </c>
      <c r="P133" s="166">
        <v>0.10499999672174454</v>
      </c>
      <c r="Q133" s="166">
        <v>0.10499999672174454</v>
      </c>
      <c r="R133" s="166">
        <v>0.10509999841451645</v>
      </c>
      <c r="S133" s="166">
        <v>0.10520000010728836</v>
      </c>
      <c r="T133" s="166">
        <v>0.1054999977350235</v>
      </c>
      <c r="U133" s="166">
        <v>0.10559999942779541</v>
      </c>
      <c r="V133" s="166">
        <f t="shared" si="1"/>
        <v>0.10559999942779541</v>
      </c>
      <c r="W133" s="166">
        <v>0.10559999942779541</v>
      </c>
      <c r="X133" s="166">
        <v>0.10530000180006027</v>
      </c>
      <c r="Y133" s="166">
        <v>0.10509999841451645</v>
      </c>
      <c r="Z133" s="166">
        <v>0.10480000078678131</v>
      </c>
      <c r="AA133" s="166">
        <v>0.10450000315904617</v>
      </c>
      <c r="AB133" s="166">
        <v>0.10440000146627426</v>
      </c>
      <c r="AC133" s="166">
        <v>0.10429999977350235</v>
      </c>
      <c r="AD133" s="166">
        <v>0.10429999977350235</v>
      </c>
      <c r="AE133" s="166">
        <v>0.10429999977350235</v>
      </c>
      <c r="AF133" s="166">
        <v>0.10450000315904617</v>
      </c>
      <c r="AG133" s="164"/>
      <c r="AH133" s="164"/>
      <c r="AI133" s="164"/>
      <c r="AJ133" s="164"/>
      <c r="AK133" s="164"/>
      <c r="AL133" s="164"/>
      <c r="AM133" s="164"/>
      <c r="AN133" s="164"/>
      <c r="AO133" s="164"/>
      <c r="AP133" s="164"/>
      <c r="AQ133" s="164"/>
      <c r="AR133" s="164"/>
      <c r="AS133" s="164"/>
      <c r="AT133" s="164"/>
      <c r="AU133" s="164"/>
      <c r="AV133" s="164"/>
      <c r="AW133" s="164"/>
      <c r="AX133" s="164"/>
      <c r="AY133" s="164"/>
      <c r="AZ133" s="164"/>
      <c r="BA133" s="164"/>
      <c r="BB133" s="164"/>
      <c r="BC133" s="164"/>
      <c r="BD133" s="164"/>
      <c r="BE133" s="164"/>
      <c r="BF133" s="164"/>
      <c r="BG133" s="164"/>
      <c r="BH133" s="164"/>
      <c r="BI133" s="164"/>
      <c r="BJ133" s="164"/>
      <c r="BK133" s="164"/>
    </row>
    <row r="134" spans="1:63" x14ac:dyDescent="0.2">
      <c r="A134" s="135" t="s">
        <v>137</v>
      </c>
      <c r="B134" s="166">
        <v>0.10750000178813934</v>
      </c>
      <c r="C134" s="166">
        <v>0.10639999806880951</v>
      </c>
      <c r="D134" s="166">
        <v>0.10639999806880951</v>
      </c>
      <c r="E134" s="166">
        <v>0.10670000314712524</v>
      </c>
      <c r="F134" s="166">
        <v>0.10639999806880951</v>
      </c>
      <c r="G134" s="166">
        <v>0.10660000145435333</v>
      </c>
      <c r="H134" s="166">
        <v>0.1062999963760376</v>
      </c>
      <c r="I134" s="166">
        <v>0.10620000213384628</v>
      </c>
      <c r="J134" s="166">
        <v>0.10599999874830246</v>
      </c>
      <c r="K134" s="166">
        <v>0.10599999874830246</v>
      </c>
      <c r="L134" s="166">
        <v>0.10599999874830246</v>
      </c>
      <c r="M134" s="166">
        <v>0.10570000112056732</v>
      </c>
      <c r="N134" s="166">
        <v>0.1054999977350235</v>
      </c>
      <c r="O134" s="166">
        <v>0.10530000180006027</v>
      </c>
      <c r="P134" s="166">
        <v>0.10490000247955322</v>
      </c>
      <c r="Q134" s="166">
        <v>0.10490000247955322</v>
      </c>
      <c r="R134" s="166">
        <v>0.10499999672174454</v>
      </c>
      <c r="S134" s="166">
        <v>0.10509999841451645</v>
      </c>
      <c r="T134" s="166">
        <v>0.10530000180006027</v>
      </c>
      <c r="U134" s="166">
        <v>0.10530000180006027</v>
      </c>
      <c r="V134" s="166">
        <f t="shared" si="1"/>
        <v>0.10530000180006027</v>
      </c>
      <c r="W134" s="166">
        <v>0.10530000180006027</v>
      </c>
      <c r="X134" s="166">
        <v>0.10499999672174454</v>
      </c>
      <c r="Y134" s="166">
        <v>0.1046999990940094</v>
      </c>
      <c r="Z134" s="166">
        <v>0.10450000315904617</v>
      </c>
      <c r="AA134" s="166">
        <v>0.10419999808073044</v>
      </c>
      <c r="AB134" s="166">
        <v>0.10400000214576721</v>
      </c>
      <c r="AC134" s="166">
        <v>0.10400000214576721</v>
      </c>
      <c r="AD134" s="166">
        <v>0.10409999638795853</v>
      </c>
      <c r="AE134" s="166">
        <v>0.1039000004529953</v>
      </c>
      <c r="AF134" s="166">
        <v>0.10350000113248825</v>
      </c>
      <c r="AG134" s="164"/>
      <c r="AH134" s="164"/>
      <c r="AI134" s="164"/>
      <c r="AJ134" s="164"/>
      <c r="AK134" s="164"/>
      <c r="AL134" s="164"/>
      <c r="AM134" s="164"/>
      <c r="AN134" s="164"/>
      <c r="AO134" s="164"/>
      <c r="AP134" s="164"/>
      <c r="AQ134" s="164"/>
      <c r="AR134" s="164"/>
      <c r="AS134" s="164"/>
      <c r="AT134" s="164"/>
      <c r="AU134" s="164"/>
      <c r="AV134" s="164"/>
      <c r="AW134" s="164"/>
      <c r="AX134" s="164"/>
      <c r="AY134" s="164"/>
      <c r="AZ134" s="164"/>
      <c r="BA134" s="164"/>
      <c r="BB134" s="164"/>
      <c r="BC134" s="164"/>
      <c r="BD134" s="164"/>
      <c r="BE134" s="164"/>
      <c r="BF134" s="164"/>
      <c r="BG134" s="164"/>
      <c r="BH134" s="164"/>
      <c r="BI134" s="164"/>
      <c r="BJ134" s="164"/>
      <c r="BK134" s="164"/>
    </row>
    <row r="135" spans="1:63" x14ac:dyDescent="0.2">
      <c r="A135" s="130"/>
      <c r="B135" s="130"/>
      <c r="C135" s="130"/>
      <c r="D135" s="130"/>
      <c r="E135" s="130"/>
      <c r="F135" s="130"/>
      <c r="G135" s="130"/>
      <c r="H135" s="130"/>
      <c r="I135" s="130"/>
      <c r="J135" s="130"/>
      <c r="K135" s="130"/>
      <c r="L135" s="130"/>
      <c r="M135" s="130"/>
      <c r="N135" s="130"/>
      <c r="O135" s="130"/>
      <c r="P135" s="130"/>
      <c r="Q135" s="130"/>
      <c r="R135" s="130"/>
      <c r="S135" s="130"/>
      <c r="T135" s="130"/>
      <c r="U135" s="130"/>
      <c r="V135" s="130"/>
      <c r="W135" s="130"/>
      <c r="X135" s="130"/>
      <c r="Y135" s="130"/>
      <c r="Z135" s="130"/>
      <c r="AA135" s="130"/>
      <c r="AB135" s="130"/>
      <c r="AC135" s="130"/>
      <c r="AD135" s="130"/>
      <c r="AE135" s="130"/>
      <c r="AF135" s="130"/>
      <c r="AG135" s="130"/>
    </row>
    <row r="136" spans="1:63" x14ac:dyDescent="0.2">
      <c r="A136" s="130"/>
      <c r="B136" s="130"/>
      <c r="C136" s="130"/>
      <c r="D136" s="130"/>
      <c r="E136" s="130"/>
      <c r="F136" s="130"/>
      <c r="G136" s="130"/>
      <c r="H136" s="130"/>
      <c r="I136" s="130"/>
      <c r="J136" s="130"/>
      <c r="K136" s="130"/>
      <c r="L136" s="130"/>
      <c r="M136" s="130"/>
      <c r="N136" s="130"/>
      <c r="O136" s="130"/>
      <c r="P136" s="130"/>
      <c r="Q136" s="130"/>
      <c r="R136" s="130"/>
      <c r="S136" s="130"/>
      <c r="T136" s="130"/>
      <c r="U136" s="130"/>
      <c r="V136" s="130"/>
      <c r="W136" s="130"/>
      <c r="X136" s="130"/>
      <c r="Y136" s="130"/>
      <c r="Z136" s="130"/>
      <c r="AA136" s="130"/>
      <c r="AB136" s="130"/>
      <c r="AC136" s="130"/>
      <c r="AD136" s="130"/>
      <c r="AE136" s="130"/>
      <c r="AF136" s="130"/>
      <c r="AG136" s="130"/>
    </row>
    <row r="137" spans="1:63" x14ac:dyDescent="0.2">
      <c r="A137" s="130"/>
      <c r="B137" s="130"/>
      <c r="C137" s="130"/>
      <c r="D137" s="130"/>
      <c r="E137" s="130"/>
      <c r="F137" s="130"/>
      <c r="G137" s="130"/>
      <c r="H137" s="130"/>
      <c r="I137" s="130"/>
      <c r="J137" s="130"/>
      <c r="K137" s="130"/>
      <c r="L137" s="130"/>
      <c r="M137" s="130"/>
      <c r="N137" s="130"/>
      <c r="O137" s="130"/>
      <c r="P137" s="130"/>
      <c r="Q137" s="130"/>
      <c r="R137" s="130"/>
      <c r="S137" s="130"/>
      <c r="T137" s="130"/>
      <c r="U137" s="130"/>
      <c r="V137" s="130"/>
      <c r="W137" s="130"/>
      <c r="X137" s="130"/>
      <c r="Y137" s="130"/>
      <c r="Z137" s="130"/>
      <c r="AA137" s="130"/>
      <c r="AB137" s="130"/>
      <c r="AC137" s="130"/>
      <c r="AD137" s="130"/>
      <c r="AE137" s="130"/>
      <c r="AF137" s="130"/>
      <c r="AG137" s="130"/>
    </row>
    <row r="138" spans="1:63" x14ac:dyDescent="0.2">
      <c r="A138" s="130"/>
      <c r="B138" s="130"/>
      <c r="C138" s="130"/>
      <c r="D138" s="130"/>
      <c r="E138" s="130"/>
      <c r="F138" s="130"/>
      <c r="G138" s="130"/>
      <c r="H138" s="130"/>
      <c r="I138" s="130"/>
      <c r="J138" s="130"/>
      <c r="K138" s="130"/>
      <c r="L138" s="130"/>
      <c r="M138" s="130"/>
      <c r="N138" s="130"/>
      <c r="O138" s="130"/>
      <c r="P138" s="130"/>
      <c r="Q138" s="130"/>
      <c r="R138" s="130"/>
      <c r="S138" s="130"/>
      <c r="T138" s="130"/>
      <c r="U138" s="130"/>
      <c r="V138" s="130"/>
      <c r="W138" s="130"/>
      <c r="X138" s="130"/>
      <c r="Y138" s="130"/>
      <c r="Z138" s="130"/>
      <c r="AA138" s="130"/>
      <c r="AB138" s="130"/>
      <c r="AC138" s="130"/>
      <c r="AD138" s="130"/>
      <c r="AE138" s="130"/>
      <c r="AF138" s="130"/>
      <c r="AG138" s="130"/>
    </row>
    <row r="139" spans="1:63" x14ac:dyDescent="0.2">
      <c r="A139" s="130" t="s">
        <v>138</v>
      </c>
      <c r="B139" s="132">
        <v>43202.713969907411</v>
      </c>
      <c r="C139" s="130"/>
      <c r="D139" s="130"/>
      <c r="E139" s="130"/>
      <c r="F139" s="130"/>
      <c r="G139" s="130"/>
      <c r="H139" s="130"/>
      <c r="I139" s="130"/>
      <c r="J139" s="130"/>
      <c r="K139" s="130"/>
      <c r="L139" s="130"/>
      <c r="M139" s="130"/>
      <c r="N139" s="130"/>
      <c r="O139" s="130"/>
      <c r="P139" s="130"/>
      <c r="Q139" s="130"/>
      <c r="R139" s="130"/>
      <c r="S139" s="130"/>
      <c r="T139" s="130"/>
      <c r="U139" s="130"/>
      <c r="V139" s="130"/>
      <c r="W139" s="130"/>
      <c r="X139" s="130"/>
      <c r="Y139" s="130"/>
      <c r="Z139" s="130"/>
      <c r="AA139" s="130"/>
      <c r="AB139" s="130"/>
      <c r="AC139" s="130"/>
      <c r="AD139" s="130"/>
      <c r="AE139" s="130"/>
      <c r="AF139" s="130"/>
      <c r="AG139" s="130"/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1C212-33B0-CA42-8EC9-747347A4278C}">
  <sheetPr codeName="Sheet37"/>
  <dimension ref="A1:F57"/>
  <sheetViews>
    <sheetView workbookViewId="0"/>
  </sheetViews>
  <sheetFormatPr baseColWidth="10" defaultRowHeight="15" x14ac:dyDescent="0.2"/>
  <sheetData>
    <row r="1" spans="1:6" x14ac:dyDescent="0.2">
      <c r="A1" t="s">
        <v>200</v>
      </c>
      <c r="B1" t="s">
        <v>201</v>
      </c>
      <c r="C1" t="s">
        <v>202</v>
      </c>
      <c r="D1" t="s">
        <v>203</v>
      </c>
      <c r="E1" t="s">
        <v>204</v>
      </c>
      <c r="F1" t="s">
        <v>205</v>
      </c>
    </row>
    <row r="2" spans="1:6" x14ac:dyDescent="0.2">
      <c r="A2">
        <v>1</v>
      </c>
      <c r="B2">
        <v>0</v>
      </c>
      <c r="C2" t="s">
        <v>264</v>
      </c>
      <c r="D2" s="156" t="s">
        <v>56</v>
      </c>
      <c r="E2">
        <f>'1077std-BHI'!$J$51</f>
        <v>25.3</v>
      </c>
      <c r="F2">
        <f>'1077std-BHI'!$J$45</f>
        <v>0.99176333789687421</v>
      </c>
    </row>
    <row r="3" spans="1:6" x14ac:dyDescent="0.2">
      <c r="A3">
        <v>1</v>
      </c>
      <c r="B3">
        <v>0</v>
      </c>
      <c r="C3" t="s">
        <v>264</v>
      </c>
      <c r="D3" s="157" t="s">
        <v>56</v>
      </c>
      <c r="E3">
        <f>'1077std-BHI'!$P$51</f>
        <v>27.8</v>
      </c>
      <c r="F3">
        <f>'1077std-BHI'!$P$45</f>
        <v>0.99139451723262506</v>
      </c>
    </row>
    <row r="4" spans="1:6" x14ac:dyDescent="0.2">
      <c r="A4">
        <v>2</v>
      </c>
      <c r="B4">
        <v>0</v>
      </c>
      <c r="C4" t="s">
        <v>265</v>
      </c>
      <c r="D4" s="156" t="s">
        <v>57</v>
      </c>
      <c r="E4">
        <f>'1077std-V1'!$J$51</f>
        <v>39.700000000000003</v>
      </c>
      <c r="F4">
        <f>'1077std-V1'!$J$45</f>
        <v>0.99688171522379676</v>
      </c>
    </row>
    <row r="5" spans="1:6" x14ac:dyDescent="0.2">
      <c r="A5">
        <v>3</v>
      </c>
      <c r="B5">
        <v>0</v>
      </c>
      <c r="C5" t="s">
        <v>266</v>
      </c>
      <c r="D5" s="156" t="s">
        <v>62</v>
      </c>
      <c r="E5">
        <f>'1077std-V0,5'!$J$51</f>
        <v>24.5</v>
      </c>
      <c r="F5">
        <f>'1077std-V0,5'!$J$45</f>
        <v>0.99528133136736097</v>
      </c>
    </row>
    <row r="6" spans="1:6" x14ac:dyDescent="0.2">
      <c r="A6">
        <v>4</v>
      </c>
      <c r="B6">
        <v>0</v>
      </c>
      <c r="C6" t="s">
        <v>267</v>
      </c>
      <c r="D6" s="156" t="s">
        <v>69</v>
      </c>
      <c r="E6">
        <f>'1077std-V0,25'!$J$51</f>
        <v>25.7</v>
      </c>
      <c r="F6">
        <f>'1077std-V0,25'!$J$45</f>
        <v>0.99200585296953059</v>
      </c>
    </row>
    <row r="7" spans="1:6" x14ac:dyDescent="0.2">
      <c r="A7">
        <v>4</v>
      </c>
      <c r="B7">
        <v>0</v>
      </c>
      <c r="C7" t="s">
        <v>267</v>
      </c>
      <c r="D7" s="157" t="s">
        <v>69</v>
      </c>
      <c r="E7">
        <f>'1077std-V0,25'!$P$51</f>
        <v>26.6</v>
      </c>
      <c r="F7">
        <f>'1077std-V0,25'!$P$45</f>
        <v>0.99168839445181323</v>
      </c>
    </row>
    <row r="8" spans="1:6" x14ac:dyDescent="0.2">
      <c r="A8">
        <v>4</v>
      </c>
      <c r="B8">
        <v>0</v>
      </c>
      <c r="C8" t="s">
        <v>267</v>
      </c>
      <c r="D8" s="168" t="s">
        <v>69</v>
      </c>
      <c r="E8">
        <f>'1077std-V0,25'!$V$51</f>
        <v>25.6</v>
      </c>
      <c r="F8">
        <f>'1077std-V0,25'!$V$45</f>
        <v>0.99207667686204459</v>
      </c>
    </row>
    <row r="9" spans="1:6" x14ac:dyDescent="0.2">
      <c r="A9">
        <v>5</v>
      </c>
      <c r="B9">
        <v>0</v>
      </c>
      <c r="C9" t="s">
        <v>268</v>
      </c>
      <c r="D9" s="156" t="s">
        <v>72</v>
      </c>
      <c r="E9">
        <f>'1077std-V0,125'!$J$51</f>
        <v>23.6</v>
      </c>
      <c r="F9">
        <f>'1077std-V0,125'!$J$45</f>
        <v>0.99618986097288265</v>
      </c>
    </row>
    <row r="10" spans="1:6" x14ac:dyDescent="0.2">
      <c r="A10">
        <v>5</v>
      </c>
      <c r="B10">
        <v>0</v>
      </c>
      <c r="C10" t="s">
        <v>268</v>
      </c>
      <c r="D10" s="157" t="s">
        <v>72</v>
      </c>
      <c r="E10">
        <f>'1077std-V0,125'!$P$51</f>
        <v>23.2</v>
      </c>
      <c r="F10">
        <f>'1077std-V0,125'!$P$45</f>
        <v>0.99684050600545104</v>
      </c>
    </row>
    <row r="11" spans="1:6" x14ac:dyDescent="0.2">
      <c r="A11">
        <v>5</v>
      </c>
      <c r="B11">
        <v>0</v>
      </c>
      <c r="C11" t="s">
        <v>268</v>
      </c>
      <c r="D11" s="168" t="s">
        <v>72</v>
      </c>
      <c r="E11">
        <f>'1077std-V0,125'!$V$51</f>
        <v>28.7</v>
      </c>
      <c r="F11">
        <f>'1077std-V0,125'!$V$45</f>
        <v>0.96559151123813836</v>
      </c>
    </row>
    <row r="12" spans="1:6" x14ac:dyDescent="0.2">
      <c r="A12">
        <v>6</v>
      </c>
      <c r="B12">
        <v>0</v>
      </c>
      <c r="C12" t="s">
        <v>269</v>
      </c>
      <c r="D12" s="156" t="s">
        <v>75</v>
      </c>
      <c r="E12">
        <f>'1077std-V0,06'!$J$51</f>
        <v>26.6</v>
      </c>
      <c r="F12">
        <f>'1077std-V0,06'!$J$45</f>
        <v>0.9909616389958259</v>
      </c>
    </row>
    <row r="13" spans="1:6" x14ac:dyDescent="0.2">
      <c r="A13">
        <v>6</v>
      </c>
      <c r="B13">
        <v>0</v>
      </c>
      <c r="C13" t="s">
        <v>269</v>
      </c>
      <c r="D13" s="157" t="s">
        <v>75</v>
      </c>
      <c r="E13">
        <f>'1077std-V0,06'!$P$51</f>
        <v>23.6</v>
      </c>
      <c r="F13">
        <f>'1077std-V0,06'!$P$45</f>
        <v>0.9958510063901872</v>
      </c>
    </row>
    <row r="14" spans="1:6" x14ac:dyDescent="0.2">
      <c r="A14">
        <v>6</v>
      </c>
      <c r="B14">
        <v>0</v>
      </c>
      <c r="C14" t="s">
        <v>269</v>
      </c>
      <c r="D14" s="168" t="s">
        <v>75</v>
      </c>
      <c r="E14">
        <f>'1077std-V0,06'!$V$51</f>
        <v>25.9</v>
      </c>
      <c r="F14">
        <f>'1077std-V0,06'!$V$45</f>
        <v>0.98732064107281048</v>
      </c>
    </row>
    <row r="15" spans="1:6" x14ac:dyDescent="0.2">
      <c r="A15">
        <v>7</v>
      </c>
      <c r="B15">
        <v>0</v>
      </c>
      <c r="C15" t="s">
        <v>270</v>
      </c>
      <c r="D15" s="156" t="s">
        <v>81</v>
      </c>
      <c r="E15">
        <f>'1077std-V0,03'!$J$51</f>
        <v>25.3</v>
      </c>
      <c r="F15">
        <f>'1077std-V0,03'!$J$45</f>
        <v>0.99668861294260525</v>
      </c>
    </row>
    <row r="16" spans="1:6" x14ac:dyDescent="0.2">
      <c r="A16">
        <v>7</v>
      </c>
      <c r="B16">
        <v>0</v>
      </c>
      <c r="C16" t="s">
        <v>270</v>
      </c>
      <c r="D16" s="157" t="s">
        <v>81</v>
      </c>
      <c r="E16">
        <f>'1077std-V0,03'!$P$51</f>
        <v>24.6</v>
      </c>
      <c r="F16">
        <f>'1077std-V0,03'!$P$45</f>
        <v>0.9937055897614876</v>
      </c>
    </row>
    <row r="17" spans="1:6" x14ac:dyDescent="0.2">
      <c r="A17">
        <v>7</v>
      </c>
      <c r="B17">
        <v>0</v>
      </c>
      <c r="C17" t="s">
        <v>270</v>
      </c>
      <c r="D17" s="168" t="s">
        <v>81</v>
      </c>
      <c r="E17">
        <f>'1077std-V0,03'!$V$51</f>
        <v>25.4</v>
      </c>
      <c r="F17">
        <f>'1077std-V0,03'!$V$45</f>
        <v>0.99054031844024959</v>
      </c>
    </row>
    <row r="18" spans="1:6" x14ac:dyDescent="0.2">
      <c r="A18">
        <v>8</v>
      </c>
      <c r="B18">
        <v>0</v>
      </c>
      <c r="C18" t="s">
        <v>271</v>
      </c>
      <c r="D18" s="156" t="s">
        <v>64</v>
      </c>
      <c r="E18">
        <f>'1077V24-BHI'!$J$51</f>
        <v>26.7</v>
      </c>
      <c r="F18">
        <f>'1077V24-BHI'!$J$45</f>
        <v>0.9908408103523566</v>
      </c>
    </row>
    <row r="19" spans="1:6" x14ac:dyDescent="0.2">
      <c r="A19">
        <v>8</v>
      </c>
      <c r="B19">
        <v>0</v>
      </c>
      <c r="C19" t="s">
        <v>271</v>
      </c>
      <c r="D19" s="157" t="s">
        <v>64</v>
      </c>
      <c r="E19">
        <f>'1077V24-BHI'!$P$51</f>
        <v>31.5</v>
      </c>
      <c r="F19">
        <f>'1077V24-BHI'!$P$45</f>
        <v>0.98183845284485916</v>
      </c>
    </row>
    <row r="20" spans="1:6" x14ac:dyDescent="0.2">
      <c r="A20">
        <v>9</v>
      </c>
      <c r="B20">
        <v>0</v>
      </c>
      <c r="C20" t="s">
        <v>272</v>
      </c>
      <c r="D20" s="156" t="s">
        <v>84</v>
      </c>
      <c r="E20">
        <f>'1077V24-V1'!$J$51</f>
        <v>34.1</v>
      </c>
      <c r="F20">
        <f>'1077V24-V1'!$J$45</f>
        <v>0.99687637407297292</v>
      </c>
    </row>
    <row r="21" spans="1:6" x14ac:dyDescent="0.2">
      <c r="A21">
        <v>9</v>
      </c>
      <c r="B21">
        <v>0</v>
      </c>
      <c r="C21" t="s">
        <v>272</v>
      </c>
      <c r="D21" s="157" t="s">
        <v>84</v>
      </c>
      <c r="E21">
        <f>'1077V24-V1'!$P$51</f>
        <v>33.200000000000003</v>
      </c>
      <c r="F21">
        <f>'1077V24-V1'!$P$45</f>
        <v>0.9970613520902516</v>
      </c>
    </row>
    <row r="22" spans="1:6" x14ac:dyDescent="0.2">
      <c r="A22">
        <v>9</v>
      </c>
      <c r="B22">
        <v>0</v>
      </c>
      <c r="C22" t="s">
        <v>272</v>
      </c>
      <c r="D22" s="168" t="s">
        <v>84</v>
      </c>
      <c r="E22">
        <f>'1077V24-V1'!$V$51</f>
        <v>35.1</v>
      </c>
      <c r="F22">
        <f>'1077V24-V1'!$V$45</f>
        <v>0.99549888547959076</v>
      </c>
    </row>
    <row r="23" spans="1:6" x14ac:dyDescent="0.2">
      <c r="A23">
        <v>10</v>
      </c>
      <c r="B23">
        <v>0</v>
      </c>
      <c r="C23" t="s">
        <v>273</v>
      </c>
      <c r="D23" s="156" t="s">
        <v>87</v>
      </c>
      <c r="E23">
        <f>'1077V24-V0,5'!$J$51</f>
        <v>24.4</v>
      </c>
      <c r="F23">
        <f>'1077V24-V0,5'!$J$45</f>
        <v>0.9954354052583495</v>
      </c>
    </row>
    <row r="24" spans="1:6" x14ac:dyDescent="0.2">
      <c r="A24">
        <v>10</v>
      </c>
      <c r="B24">
        <v>0</v>
      </c>
      <c r="C24" t="s">
        <v>273</v>
      </c>
      <c r="D24" s="157" t="s">
        <v>87</v>
      </c>
      <c r="E24">
        <f>'1077V24-V0,5'!$P$51</f>
        <v>26.7</v>
      </c>
      <c r="F24">
        <f>'1077V24-V0,5'!$P$45</f>
        <v>0.98721237383323324</v>
      </c>
    </row>
    <row r="25" spans="1:6" x14ac:dyDescent="0.2">
      <c r="A25">
        <v>10</v>
      </c>
      <c r="B25">
        <v>0</v>
      </c>
      <c r="C25" t="s">
        <v>273</v>
      </c>
      <c r="D25" s="168" t="s">
        <v>87</v>
      </c>
      <c r="E25">
        <f>'1077V24-V0,5'!$V$51</f>
        <v>27.8</v>
      </c>
      <c r="F25">
        <f>'1077V24-V0,5'!$V$45</f>
        <v>0.98831843239224182</v>
      </c>
    </row>
    <row r="26" spans="1:6" x14ac:dyDescent="0.2">
      <c r="A26">
        <v>11</v>
      </c>
      <c r="B26">
        <v>0</v>
      </c>
      <c r="C26" t="s">
        <v>274</v>
      </c>
      <c r="D26" s="156" t="s">
        <v>93</v>
      </c>
      <c r="E26">
        <f>'1077V24-V0,25'!$J$51</f>
        <v>25.4</v>
      </c>
      <c r="F26">
        <f>'1077V24-V0,25'!$J$45</f>
        <v>0.99601561323925492</v>
      </c>
    </row>
    <row r="27" spans="1:6" x14ac:dyDescent="0.2">
      <c r="A27">
        <v>11</v>
      </c>
      <c r="B27">
        <v>0</v>
      </c>
      <c r="C27" t="s">
        <v>274</v>
      </c>
      <c r="D27" s="157" t="s">
        <v>93</v>
      </c>
      <c r="E27">
        <f>'1077V24-V0,25'!$P$51</f>
        <v>26.3</v>
      </c>
      <c r="F27">
        <f>'1077V24-V0,25'!$P$45</f>
        <v>0.99409149377749606</v>
      </c>
    </row>
    <row r="28" spans="1:6" x14ac:dyDescent="0.2">
      <c r="A28">
        <v>11</v>
      </c>
      <c r="B28">
        <v>0</v>
      </c>
      <c r="C28" t="s">
        <v>274</v>
      </c>
      <c r="D28" s="168" t="s">
        <v>93</v>
      </c>
      <c r="E28">
        <f>'1077V24-V0,25'!$V$51</f>
        <v>25.5</v>
      </c>
      <c r="F28">
        <f>'1077V24-V0,25'!$V$45</f>
        <v>0.99396999669690644</v>
      </c>
    </row>
    <row r="29" spans="1:6" x14ac:dyDescent="0.2">
      <c r="A29">
        <v>12</v>
      </c>
      <c r="B29">
        <v>0</v>
      </c>
      <c r="C29" t="s">
        <v>275</v>
      </c>
      <c r="D29" s="156" t="s">
        <v>96</v>
      </c>
      <c r="E29">
        <f>'1077V24-V0,125'!$J$51</f>
        <v>24.5</v>
      </c>
      <c r="F29">
        <f>'1077V24-V0,125'!$J$45</f>
        <v>0.99508455170291721</v>
      </c>
    </row>
    <row r="30" spans="1:6" x14ac:dyDescent="0.2">
      <c r="A30">
        <v>12</v>
      </c>
      <c r="B30">
        <v>0</v>
      </c>
      <c r="C30" t="s">
        <v>275</v>
      </c>
      <c r="D30" s="157" t="s">
        <v>96</v>
      </c>
      <c r="E30">
        <f>'1077V24-V0,125'!$P$51</f>
        <v>23.8</v>
      </c>
      <c r="F30">
        <f>'1077V24-V0,125'!$P$45</f>
        <v>0.99664501486747947</v>
      </c>
    </row>
    <row r="31" spans="1:6" x14ac:dyDescent="0.2">
      <c r="A31">
        <v>12</v>
      </c>
      <c r="B31">
        <v>0</v>
      </c>
      <c r="C31" t="s">
        <v>275</v>
      </c>
      <c r="D31" s="168" t="s">
        <v>96</v>
      </c>
      <c r="E31">
        <f>'1077V24-V0,125'!$V$51</f>
        <v>23.5</v>
      </c>
      <c r="F31">
        <f>'1077V24-V0,125'!$V$45</f>
        <v>0.99507018353624987</v>
      </c>
    </row>
    <row r="32" spans="1:6" x14ac:dyDescent="0.2">
      <c r="A32">
        <v>13</v>
      </c>
      <c r="B32">
        <v>0</v>
      </c>
      <c r="C32" t="s">
        <v>276</v>
      </c>
      <c r="D32" s="156" t="s">
        <v>99</v>
      </c>
      <c r="E32">
        <f>'1077V24-V0,06'!$J$51</f>
        <v>26.4</v>
      </c>
      <c r="F32">
        <f>'1077V24-V0,06'!$J$45</f>
        <v>0.99055094873691341</v>
      </c>
    </row>
    <row r="33" spans="1:6" x14ac:dyDescent="0.2">
      <c r="A33">
        <v>13</v>
      </c>
      <c r="B33">
        <v>0</v>
      </c>
      <c r="C33" t="s">
        <v>276</v>
      </c>
      <c r="D33" s="157" t="s">
        <v>99</v>
      </c>
      <c r="E33">
        <f>'1077V24-V0,06'!$P$51</f>
        <v>29.4</v>
      </c>
      <c r="F33">
        <f>'1077V24-V0,06'!$P$45</f>
        <v>0.98684855707277097</v>
      </c>
    </row>
    <row r="34" spans="1:6" x14ac:dyDescent="0.2">
      <c r="A34">
        <v>13</v>
      </c>
      <c r="B34">
        <v>0</v>
      </c>
      <c r="C34" t="s">
        <v>276</v>
      </c>
      <c r="D34" s="168" t="s">
        <v>99</v>
      </c>
      <c r="E34">
        <f>'1077V24-V0,06'!$V$51</f>
        <v>26.9</v>
      </c>
      <c r="F34">
        <f>'1077V24-V0,06'!$V$45</f>
        <v>0.9930325721291462</v>
      </c>
    </row>
    <row r="35" spans="1:6" x14ac:dyDescent="0.2">
      <c r="A35">
        <v>14</v>
      </c>
      <c r="B35">
        <v>0</v>
      </c>
      <c r="C35" t="s">
        <v>277</v>
      </c>
      <c r="D35" s="156" t="s">
        <v>105</v>
      </c>
      <c r="E35">
        <f>'1077V24-V0,03'!$J$51</f>
        <v>26.6</v>
      </c>
      <c r="F35">
        <f>'1077V24-V0,03'!$J$45</f>
        <v>0.98755449464735301</v>
      </c>
    </row>
    <row r="36" spans="1:6" x14ac:dyDescent="0.2">
      <c r="A36">
        <v>14</v>
      </c>
      <c r="B36">
        <v>0</v>
      </c>
      <c r="C36" t="s">
        <v>277</v>
      </c>
      <c r="D36" s="157" t="s">
        <v>105</v>
      </c>
      <c r="E36">
        <f>'1077V24-V0,03'!$P$51</f>
        <v>28.9</v>
      </c>
      <c r="F36">
        <f>'1077V24-V0,03'!$P$45</f>
        <v>0.98914510035281911</v>
      </c>
    </row>
    <row r="37" spans="1:6" x14ac:dyDescent="0.2">
      <c r="A37">
        <v>14</v>
      </c>
      <c r="B37">
        <v>0</v>
      </c>
      <c r="C37" t="s">
        <v>277</v>
      </c>
      <c r="D37" s="168" t="s">
        <v>105</v>
      </c>
      <c r="E37">
        <f>'1077V24-V0,03'!$V$51</f>
        <v>41.6</v>
      </c>
      <c r="F37">
        <f>'1077V24-V0,03'!$V$45</f>
        <v>0.96964650098949867</v>
      </c>
    </row>
    <row r="38" spans="1:6" x14ac:dyDescent="0.2">
      <c r="A38">
        <v>15</v>
      </c>
      <c r="B38">
        <v>0</v>
      </c>
      <c r="C38" t="s">
        <v>278</v>
      </c>
      <c r="D38" s="156" t="s">
        <v>88</v>
      </c>
      <c r="E38">
        <f>'1077V16-BHI'!$J$51</f>
        <v>32</v>
      </c>
      <c r="F38">
        <f>'1077V16-BHI'!$J$45</f>
        <v>0.98107528501732755</v>
      </c>
    </row>
    <row r="39" spans="1:6" x14ac:dyDescent="0.2">
      <c r="A39">
        <v>15</v>
      </c>
      <c r="B39">
        <v>0</v>
      </c>
      <c r="C39" t="s">
        <v>278</v>
      </c>
      <c r="D39" s="157" t="s">
        <v>88</v>
      </c>
      <c r="E39">
        <f>'1077V16-BHI'!$P$51</f>
        <v>34.700000000000003</v>
      </c>
      <c r="F39">
        <f>'1077V16-BHI'!$P$45</f>
        <v>0.97985712152064075</v>
      </c>
    </row>
    <row r="40" spans="1:6" x14ac:dyDescent="0.2">
      <c r="A40">
        <v>16</v>
      </c>
      <c r="B40">
        <v>0</v>
      </c>
      <c r="C40" t="s">
        <v>279</v>
      </c>
      <c r="D40" s="156" t="s">
        <v>108</v>
      </c>
      <c r="E40">
        <f>'1077V16-V1'!$J$51</f>
        <v>32</v>
      </c>
      <c r="F40">
        <f>'1077V16-V1'!$J$45</f>
        <v>0.98866313307774822</v>
      </c>
    </row>
    <row r="41" spans="1:6" x14ac:dyDescent="0.2">
      <c r="A41">
        <v>16</v>
      </c>
      <c r="B41">
        <v>0</v>
      </c>
      <c r="C41" t="s">
        <v>279</v>
      </c>
      <c r="D41" s="157" t="s">
        <v>108</v>
      </c>
      <c r="E41">
        <f>'1077V16-V1'!$P$51</f>
        <v>30.7</v>
      </c>
      <c r="F41">
        <f>'1077V16-V1'!$P$45</f>
        <v>0.99283816230961353</v>
      </c>
    </row>
    <row r="42" spans="1:6" x14ac:dyDescent="0.2">
      <c r="A42">
        <v>16</v>
      </c>
      <c r="B42">
        <v>0</v>
      </c>
      <c r="C42" t="s">
        <v>279</v>
      </c>
      <c r="D42" s="168" t="s">
        <v>108</v>
      </c>
      <c r="E42">
        <f>'1077V16-V1'!$V$51</f>
        <v>28.4</v>
      </c>
      <c r="F42">
        <f>'1077V16-V1'!$V$45</f>
        <v>0.99280281012112526</v>
      </c>
    </row>
    <row r="43" spans="1:6" x14ac:dyDescent="0.2">
      <c r="A43">
        <v>17</v>
      </c>
      <c r="B43">
        <v>0</v>
      </c>
      <c r="C43" t="s">
        <v>280</v>
      </c>
      <c r="D43" s="156" t="s">
        <v>111</v>
      </c>
      <c r="E43">
        <f>'1077V16-V0,5'!$J$51</f>
        <v>27.3</v>
      </c>
      <c r="F43">
        <f>'1077V16-V0,5'!$J$45</f>
        <v>0.98555943462192641</v>
      </c>
    </row>
    <row r="44" spans="1:6" x14ac:dyDescent="0.2">
      <c r="A44">
        <v>17</v>
      </c>
      <c r="B44">
        <v>0</v>
      </c>
      <c r="C44" t="s">
        <v>280</v>
      </c>
      <c r="D44" s="157" t="s">
        <v>111</v>
      </c>
      <c r="E44">
        <f>'1077V16-V0,5'!$P$51</f>
        <v>26.4</v>
      </c>
      <c r="F44">
        <f>'1077V16-V0,5'!$P$45</f>
        <v>0.98710804385445239</v>
      </c>
    </row>
    <row r="45" spans="1:6" x14ac:dyDescent="0.2">
      <c r="A45">
        <v>17</v>
      </c>
      <c r="B45">
        <v>0</v>
      </c>
      <c r="C45" t="s">
        <v>280</v>
      </c>
      <c r="D45" s="168" t="s">
        <v>111</v>
      </c>
      <c r="E45">
        <f>'1077V16-V0,5'!$V$51</f>
        <v>32</v>
      </c>
      <c r="F45">
        <f>'1077V16-V0,5'!$V$45</f>
        <v>0.98044800543776545</v>
      </c>
    </row>
    <row r="46" spans="1:6" x14ac:dyDescent="0.2">
      <c r="A46">
        <v>18</v>
      </c>
      <c r="B46">
        <v>0</v>
      </c>
      <c r="C46" t="s">
        <v>281</v>
      </c>
      <c r="D46" s="156" t="s">
        <v>117</v>
      </c>
      <c r="E46">
        <f>'1077V16-V0,25'!$J$51</f>
        <v>28.7</v>
      </c>
      <c r="F46">
        <f>'1077V16-V0,25'!$J$45</f>
        <v>0.98670429672658433</v>
      </c>
    </row>
    <row r="47" spans="1:6" x14ac:dyDescent="0.2">
      <c r="A47">
        <v>18</v>
      </c>
      <c r="B47">
        <v>0</v>
      </c>
      <c r="C47" t="s">
        <v>281</v>
      </c>
      <c r="D47" s="157" t="s">
        <v>117</v>
      </c>
      <c r="E47">
        <f>'1077V16-V0,25'!$P$51</f>
        <v>26.8</v>
      </c>
      <c r="F47">
        <f>'1077V16-V0,25'!$P$45</f>
        <v>0.98764766469365073</v>
      </c>
    </row>
    <row r="48" spans="1:6" x14ac:dyDescent="0.2">
      <c r="A48">
        <v>18</v>
      </c>
      <c r="B48">
        <v>0</v>
      </c>
      <c r="C48" t="s">
        <v>281</v>
      </c>
      <c r="D48" s="168" t="s">
        <v>117</v>
      </c>
      <c r="E48">
        <f>'1077V16-V0,25'!$V$51</f>
        <v>27.6</v>
      </c>
      <c r="F48">
        <f>'1077V16-V0,25'!$V$45</f>
        <v>0.9852083064778856</v>
      </c>
    </row>
    <row r="49" spans="1:6" x14ac:dyDescent="0.2">
      <c r="A49">
        <v>19</v>
      </c>
      <c r="B49">
        <v>0</v>
      </c>
      <c r="C49" t="s">
        <v>282</v>
      </c>
      <c r="D49" s="156" t="s">
        <v>120</v>
      </c>
      <c r="E49">
        <f>'1077V16-V0,125'!$J$51</f>
        <v>36.700000000000003</v>
      </c>
      <c r="F49">
        <f>'1077V16-V0,125'!$J$45</f>
        <v>0.97028856760354287</v>
      </c>
    </row>
    <row r="50" spans="1:6" x14ac:dyDescent="0.2">
      <c r="A50">
        <v>19</v>
      </c>
      <c r="B50">
        <v>0</v>
      </c>
      <c r="C50" t="s">
        <v>282</v>
      </c>
      <c r="D50" s="157" t="s">
        <v>120</v>
      </c>
      <c r="E50">
        <f>'1077V16-V0,125'!$P$51</f>
        <v>27.7</v>
      </c>
      <c r="F50">
        <f>'1077V16-V0,125'!$P$45</f>
        <v>0.98368301693509863</v>
      </c>
    </row>
    <row r="51" spans="1:6" x14ac:dyDescent="0.2">
      <c r="A51">
        <v>19</v>
      </c>
      <c r="B51">
        <v>0</v>
      </c>
      <c r="C51" t="s">
        <v>282</v>
      </c>
      <c r="D51" s="168" t="s">
        <v>120</v>
      </c>
      <c r="E51">
        <f>'1077V16-V0,125'!$V$51</f>
        <v>27</v>
      </c>
      <c r="F51">
        <f>'1077V16-V0,125'!$V$45</f>
        <v>0.98459296696430509</v>
      </c>
    </row>
    <row r="52" spans="1:6" x14ac:dyDescent="0.2">
      <c r="A52">
        <v>20</v>
      </c>
      <c r="B52">
        <v>0</v>
      </c>
      <c r="C52" t="s">
        <v>283</v>
      </c>
      <c r="D52" s="156" t="s">
        <v>123</v>
      </c>
      <c r="E52">
        <f>'1077V16-V0,06'!$J$51</f>
        <v>30.2</v>
      </c>
      <c r="F52">
        <f>'1077V16-V0,06'!$J$45</f>
        <v>0.98152916900308229</v>
      </c>
    </row>
    <row r="53" spans="1:6" x14ac:dyDescent="0.2">
      <c r="A53">
        <v>20</v>
      </c>
      <c r="B53">
        <v>0</v>
      </c>
      <c r="C53" t="s">
        <v>283</v>
      </c>
      <c r="D53" s="157" t="s">
        <v>123</v>
      </c>
      <c r="E53">
        <f>'1077V16-V0,06'!$P$51</f>
        <v>29.1</v>
      </c>
      <c r="F53">
        <f>'1077V16-V0,06'!$P$45</f>
        <v>0.98653072489120319</v>
      </c>
    </row>
    <row r="54" spans="1:6" x14ac:dyDescent="0.2">
      <c r="A54">
        <v>20</v>
      </c>
      <c r="B54">
        <v>0</v>
      </c>
      <c r="C54" t="s">
        <v>283</v>
      </c>
      <c r="D54" s="168" t="s">
        <v>123</v>
      </c>
      <c r="E54">
        <f>'1077V16-V0,06'!$V$51</f>
        <v>30</v>
      </c>
      <c r="F54">
        <f>'1077V16-V0,06'!$V$45</f>
        <v>0.98050823804456366</v>
      </c>
    </row>
    <row r="55" spans="1:6" x14ac:dyDescent="0.2">
      <c r="A55">
        <v>21</v>
      </c>
      <c r="B55">
        <v>0</v>
      </c>
      <c r="C55" t="s">
        <v>284</v>
      </c>
      <c r="D55" s="156" t="s">
        <v>124</v>
      </c>
      <c r="E55">
        <f>'1077V16-V0,03'!$J$51</f>
        <v>32.200000000000003</v>
      </c>
      <c r="F55">
        <f>'1077V16-V0,03'!$J$45</f>
        <v>0.97847609600373708</v>
      </c>
    </row>
    <row r="56" spans="1:6" x14ac:dyDescent="0.2">
      <c r="A56">
        <v>21</v>
      </c>
      <c r="B56">
        <v>0</v>
      </c>
      <c r="C56" t="s">
        <v>284</v>
      </c>
      <c r="D56" s="157" t="s">
        <v>124</v>
      </c>
      <c r="E56">
        <f>'1077V16-V0,03'!$P$51</f>
        <v>28.7</v>
      </c>
      <c r="F56">
        <f>'1077V16-V0,03'!$P$45</f>
        <v>0.9836331834689952</v>
      </c>
    </row>
    <row r="57" spans="1:6" x14ac:dyDescent="0.2">
      <c r="A57">
        <v>21</v>
      </c>
      <c r="B57">
        <v>0</v>
      </c>
      <c r="C57" t="s">
        <v>284</v>
      </c>
      <c r="D57" s="168" t="s">
        <v>124</v>
      </c>
      <c r="E57">
        <f>'1077V16-V0,03'!$V$51</f>
        <v>24.9</v>
      </c>
      <c r="F57">
        <f>'1077V16-V0,03'!$V$45</f>
        <v>0.98181587473648468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667FE-219E-B740-81F1-F59128300E99}">
  <sheetPr codeName="Sheet38"/>
  <dimension ref="A42:AF98"/>
  <sheetViews>
    <sheetView workbookViewId="0"/>
  </sheetViews>
  <sheetFormatPr baseColWidth="10" defaultRowHeight="15" x14ac:dyDescent="0.2"/>
  <sheetData>
    <row r="42" spans="9:18" x14ac:dyDescent="0.2">
      <c r="I42" t="s">
        <v>249</v>
      </c>
      <c r="O42" t="s">
        <v>249</v>
      </c>
    </row>
    <row r="43" spans="9:18" x14ac:dyDescent="0.2">
      <c r="I43" t="s">
        <v>250</v>
      </c>
      <c r="J43" s="159">
        <f t="array" ref="J43:K47">LOGEST($B$93:$Q$93,$B$54:$Q$54,TRUE,TRUE)</f>
        <v>1.0004563145489345</v>
      </c>
      <c r="K43" s="159">
        <v>4.2329439392081595E-4</v>
      </c>
      <c r="L43" t="s">
        <v>255</v>
      </c>
      <c r="O43" t="s">
        <v>250</v>
      </c>
      <c r="P43" s="159">
        <f t="array" ref="P43:Q47">LOGEST($B$94:$S$94,$B$54:$S$54,TRUE,TRUE)</f>
        <v>1.0004158066561866</v>
      </c>
      <c r="Q43" s="159">
        <v>4.8684888572384367E-4</v>
      </c>
      <c r="R43" t="s">
        <v>255</v>
      </c>
    </row>
    <row r="44" spans="9:18" x14ac:dyDescent="0.2">
      <c r="I44" t="s">
        <v>251</v>
      </c>
      <c r="J44" s="159">
        <v>1.1111503553635063E-5</v>
      </c>
      <c r="K44" s="159">
        <v>8.804697556734295E-2</v>
      </c>
      <c r="L44" t="s">
        <v>256</v>
      </c>
      <c r="O44" t="s">
        <v>251</v>
      </c>
      <c r="P44" s="159">
        <v>9.6829019345490075E-6</v>
      </c>
      <c r="Q44" s="159">
        <v>8.6791891415287384E-2</v>
      </c>
      <c r="R44" t="s">
        <v>256</v>
      </c>
    </row>
    <row r="45" spans="9:18" x14ac:dyDescent="0.2">
      <c r="I45" t="s">
        <v>252</v>
      </c>
      <c r="J45" s="159">
        <v>0.99176333789687421</v>
      </c>
      <c r="K45" s="159">
        <v>0.18441789040039147</v>
      </c>
      <c r="L45" t="s">
        <v>257</v>
      </c>
      <c r="O45" t="s">
        <v>252</v>
      </c>
      <c r="P45" s="159">
        <v>0.99139451723262506</v>
      </c>
      <c r="Q45" s="159">
        <v>0.19184177580501516</v>
      </c>
      <c r="R45" t="s">
        <v>257</v>
      </c>
    </row>
    <row r="46" spans="9:18" x14ac:dyDescent="0.2">
      <c r="I46" t="s">
        <v>253</v>
      </c>
      <c r="J46" s="159">
        <v>1685.7176556128356</v>
      </c>
      <c r="K46" s="159">
        <v>14</v>
      </c>
      <c r="L46" t="s">
        <v>258</v>
      </c>
      <c r="O46" t="s">
        <v>253</v>
      </c>
      <c r="P46" s="159">
        <v>1843.2797676219834</v>
      </c>
      <c r="Q46" s="159">
        <v>16</v>
      </c>
      <c r="R46" t="s">
        <v>258</v>
      </c>
    </row>
    <row r="47" spans="9:18" x14ac:dyDescent="0.2">
      <c r="I47" t="s">
        <v>254</v>
      </c>
      <c r="J47" s="159">
        <v>57.331187172512507</v>
      </c>
      <c r="K47" s="159">
        <v>0.47613941619623124</v>
      </c>
      <c r="L47" t="s">
        <v>259</v>
      </c>
      <c r="O47" t="s">
        <v>254</v>
      </c>
      <c r="P47" s="159">
        <v>67.838717340306133</v>
      </c>
      <c r="Q47" s="159">
        <v>0.58885227110434712</v>
      </c>
      <c r="R47" t="s">
        <v>259</v>
      </c>
    </row>
    <row r="49" spans="1:32" x14ac:dyDescent="0.2">
      <c r="I49" t="s">
        <v>260</v>
      </c>
      <c r="J49">
        <f>LN($J$43)</f>
        <v>4.5621046911156993E-4</v>
      </c>
      <c r="O49" t="s">
        <v>260</v>
      </c>
      <c r="P49">
        <f>LN($P$43)</f>
        <v>4.1572023255508777E-4</v>
      </c>
    </row>
    <row r="50" spans="1:32" x14ac:dyDescent="0.2">
      <c r="I50" t="s">
        <v>261</v>
      </c>
      <c r="J50">
        <f>ROUND(LN(2)/$J$49, 1)</f>
        <v>1519.4</v>
      </c>
      <c r="O50" t="s">
        <v>261</v>
      </c>
      <c r="P50">
        <f>ROUND(LN(2)/$P$49, 1)</f>
        <v>1667.3</v>
      </c>
    </row>
    <row r="51" spans="1:32" x14ac:dyDescent="0.2">
      <c r="I51" t="s">
        <v>204</v>
      </c>
      <c r="J51" s="155">
        <f>ROUND($J$50/60, 1)</f>
        <v>25.3</v>
      </c>
      <c r="O51" t="s">
        <v>204</v>
      </c>
      <c r="P51" s="155">
        <f>ROUND($P$50/60, 1)</f>
        <v>27.8</v>
      </c>
    </row>
    <row r="54" spans="1:32" x14ac:dyDescent="0.2">
      <c r="A54" t="s">
        <v>206</v>
      </c>
      <c r="B54" s="166">
        <v>0</v>
      </c>
      <c r="C54" s="166">
        <v>900.1</v>
      </c>
      <c r="D54" s="166">
        <v>1800.2</v>
      </c>
      <c r="E54" s="166">
        <v>2700.3</v>
      </c>
      <c r="F54" s="166">
        <v>3600.4</v>
      </c>
      <c r="G54" s="166">
        <v>4500.5</v>
      </c>
      <c r="H54" s="166">
        <v>5400.6</v>
      </c>
      <c r="I54" s="166">
        <v>6300.7</v>
      </c>
      <c r="J54" s="166">
        <v>7200.8</v>
      </c>
      <c r="K54" s="166">
        <v>8100.9</v>
      </c>
      <c r="L54" s="166">
        <v>9001</v>
      </c>
      <c r="M54" s="166">
        <v>9901.1</v>
      </c>
      <c r="N54" s="166">
        <v>10801.2</v>
      </c>
      <c r="O54" s="166">
        <v>11701.3</v>
      </c>
      <c r="P54" s="166">
        <v>12601.4</v>
      </c>
      <c r="Q54" s="166">
        <v>13501.5</v>
      </c>
      <c r="R54" s="166">
        <v>14401.6</v>
      </c>
      <c r="S54" s="166">
        <v>15301.7</v>
      </c>
      <c r="T54" s="166">
        <v>16201.8</v>
      </c>
      <c r="U54" s="166">
        <v>17101.900000000001</v>
      </c>
      <c r="V54" s="166">
        <v>18002</v>
      </c>
      <c r="W54" s="166">
        <v>18902.099999999999</v>
      </c>
      <c r="X54" s="166">
        <v>19802.2</v>
      </c>
      <c r="Y54" s="166">
        <v>20702.3</v>
      </c>
      <c r="Z54" s="166">
        <v>21602.400000000001</v>
      </c>
      <c r="AA54" s="166">
        <v>22502.5</v>
      </c>
      <c r="AB54" s="166">
        <v>23402.6</v>
      </c>
      <c r="AC54" s="166">
        <v>24302.7</v>
      </c>
      <c r="AD54" s="166">
        <v>25202.799999999999</v>
      </c>
      <c r="AE54" s="166">
        <v>26102.9</v>
      </c>
      <c r="AF54" s="166">
        <v>27003</v>
      </c>
    </row>
    <row r="55" spans="1:32" x14ac:dyDescent="0.2">
      <c r="A55" s="156" t="s">
        <v>207</v>
      </c>
      <c r="B55" s="156">
        <v>0.10729999840259552</v>
      </c>
      <c r="C55" s="156">
        <v>0.10700000077486038</v>
      </c>
      <c r="D55" s="156">
        <v>0.10719999670982361</v>
      </c>
      <c r="E55" s="156">
        <v>0.10740000009536743</v>
      </c>
      <c r="F55" s="156">
        <v>0.10790000110864639</v>
      </c>
      <c r="G55" s="156">
        <v>0.1088000014424324</v>
      </c>
      <c r="H55" s="156">
        <v>0.11029999703168869</v>
      </c>
      <c r="I55" s="156">
        <v>0.11289999634027481</v>
      </c>
      <c r="J55" s="156">
        <v>0.11710000038146973</v>
      </c>
      <c r="K55" s="156">
        <v>0.12409999966621399</v>
      </c>
      <c r="L55" s="156">
        <v>0.13549999892711639</v>
      </c>
      <c r="M55" s="156">
        <v>0.15170000493526459</v>
      </c>
      <c r="N55" s="156">
        <v>0.17409999668598175</v>
      </c>
      <c r="O55" s="156">
        <v>0.20180000364780426</v>
      </c>
      <c r="P55" s="156">
        <v>0.23530000448226929</v>
      </c>
      <c r="Q55" s="156">
        <v>0.27500000596046448</v>
      </c>
      <c r="R55" s="156">
        <v>0.32120001316070557</v>
      </c>
      <c r="S55" s="156">
        <v>0.36809998750686646</v>
      </c>
      <c r="T55" s="156">
        <v>0.40860000252723694</v>
      </c>
      <c r="U55" s="156">
        <v>0.44580000638961792</v>
      </c>
      <c r="V55" s="156">
        <f t="shared" ref="V55:V56" si="0">AVERAGE(U55,W55)</f>
        <v>0.46100001037120819</v>
      </c>
      <c r="W55" s="156">
        <v>0.47620001435279846</v>
      </c>
      <c r="X55" s="156">
        <v>0.48410001397132874</v>
      </c>
      <c r="Y55" s="156">
        <v>0.48849999904632568</v>
      </c>
      <c r="Z55" s="156">
        <v>0.49059998989105225</v>
      </c>
      <c r="AA55" s="156">
        <v>0.49520000815391541</v>
      </c>
      <c r="AB55" s="156">
        <v>0.50220000743865967</v>
      </c>
      <c r="AC55" s="156">
        <v>0.50950002670288086</v>
      </c>
      <c r="AD55" s="156">
        <v>0.51929998397827148</v>
      </c>
      <c r="AE55" s="156">
        <v>0.53090000152587891</v>
      </c>
      <c r="AF55" s="156">
        <v>0.54500001668930054</v>
      </c>
    </row>
    <row r="56" spans="1:32" x14ac:dyDescent="0.2">
      <c r="A56" s="157" t="s">
        <v>208</v>
      </c>
      <c r="B56" s="157">
        <v>0.10700000077486038</v>
      </c>
      <c r="C56" s="157">
        <v>0.10689999908208847</v>
      </c>
      <c r="D56" s="157">
        <v>0.10710000246763229</v>
      </c>
      <c r="E56" s="157">
        <v>0.10769999772310257</v>
      </c>
      <c r="F56" s="157">
        <v>0.10760000348091125</v>
      </c>
      <c r="G56" s="157">
        <v>0.10830000042915344</v>
      </c>
      <c r="H56" s="157">
        <v>0.10930000245571136</v>
      </c>
      <c r="I56" s="157">
        <v>0.1111999973654747</v>
      </c>
      <c r="J56" s="157">
        <v>0.11420000344514847</v>
      </c>
      <c r="K56" s="157">
        <v>0.11949999630451202</v>
      </c>
      <c r="L56" s="157">
        <v>0.12809999287128448</v>
      </c>
      <c r="M56" s="157">
        <v>0.14059999585151672</v>
      </c>
      <c r="N56" s="157">
        <v>0.15880000591278076</v>
      </c>
      <c r="O56" s="157">
        <v>0.18219999969005585</v>
      </c>
      <c r="P56" s="157">
        <v>0.21070000529289246</v>
      </c>
      <c r="Q56" s="157">
        <v>0.24580000340938568</v>
      </c>
      <c r="R56" s="157">
        <v>0.28769999742507935</v>
      </c>
      <c r="S56" s="157">
        <v>0.33579999208450317</v>
      </c>
      <c r="T56" s="157">
        <v>0.38330000638961792</v>
      </c>
      <c r="U56" s="157">
        <v>0.4221000075340271</v>
      </c>
      <c r="V56" s="157">
        <f t="shared" si="0"/>
        <v>0.44950000941753387</v>
      </c>
      <c r="W56" s="157">
        <v>0.47690001130104065</v>
      </c>
      <c r="X56" s="157">
        <v>0.48710000514984131</v>
      </c>
      <c r="Y56" s="157">
        <v>0.49549999833106995</v>
      </c>
      <c r="Z56" s="157">
        <v>0.49900001287460327</v>
      </c>
      <c r="AA56" s="157">
        <v>0.50099998712539673</v>
      </c>
      <c r="AB56" s="157">
        <v>0.50550001859664917</v>
      </c>
      <c r="AC56" s="157">
        <v>0.51029998064041138</v>
      </c>
      <c r="AD56" s="157">
        <v>0.51639997959136963</v>
      </c>
      <c r="AE56" s="157">
        <v>0.52689999341964722</v>
      </c>
      <c r="AF56" s="157">
        <v>0.53979998826980591</v>
      </c>
    </row>
    <row r="57" spans="1:32" x14ac:dyDescent="0.2">
      <c r="A57" s="158" t="s">
        <v>209</v>
      </c>
      <c r="B57" s="158">
        <v>0.10480000078678131</v>
      </c>
      <c r="C57" s="158">
        <v>0.1046999990940094</v>
      </c>
      <c r="D57" s="158">
        <v>0.1046999990940094</v>
      </c>
      <c r="E57" s="158">
        <v>0.10480000078678131</v>
      </c>
      <c r="F57" s="158">
        <v>0.10459999740123749</v>
      </c>
      <c r="G57" s="158">
        <v>0.10450000315904617</v>
      </c>
      <c r="H57" s="158">
        <v>0.10440000146627426</v>
      </c>
      <c r="I57" s="158">
        <v>0.10429999977350235</v>
      </c>
      <c r="J57" s="158">
        <v>0.10419999808073044</v>
      </c>
      <c r="K57" s="158">
        <v>0.10419999808073044</v>
      </c>
      <c r="L57" s="158">
        <v>0.10419999808073044</v>
      </c>
      <c r="M57" s="158">
        <v>0.10409999638795853</v>
      </c>
      <c r="N57" s="158">
        <v>0.10400000214576721</v>
      </c>
      <c r="O57" s="158">
        <v>0.1039000004529953</v>
      </c>
      <c r="P57" s="158">
        <v>0.10379999876022339</v>
      </c>
      <c r="Q57" s="158">
        <v>0.10379999876022339</v>
      </c>
      <c r="R57" s="158">
        <v>0.1039000004529953</v>
      </c>
      <c r="S57" s="158">
        <v>0.10360000282526016</v>
      </c>
      <c r="T57" s="158">
        <v>0.10360000282526016</v>
      </c>
      <c r="U57" s="158">
        <v>0.10379999876022339</v>
      </c>
      <c r="V57" s="158">
        <f>AVERAGE(U57,W57)</f>
        <v>0.10359999909996986</v>
      </c>
      <c r="W57" s="158">
        <v>0.10339999943971634</v>
      </c>
      <c r="X57" s="158">
        <v>0.10329999774694443</v>
      </c>
      <c r="Y57" s="158">
        <v>0.10320000350475311</v>
      </c>
      <c r="Z57" s="158">
        <v>0.10320000350475311</v>
      </c>
      <c r="AA57" s="158">
        <v>0.1031000018119812</v>
      </c>
      <c r="AB57" s="158">
        <v>0.1031000018119812</v>
      </c>
      <c r="AC57" s="158">
        <v>0.10300000011920929</v>
      </c>
      <c r="AD57" s="158">
        <v>0.10300000011920929</v>
      </c>
      <c r="AE57" s="158">
        <v>0.10289999842643738</v>
      </c>
      <c r="AF57" s="158">
        <v>0.10289999842643738</v>
      </c>
    </row>
    <row r="58" spans="1:32" x14ac:dyDescent="0.2">
      <c r="A58" s="158" t="s">
        <v>210</v>
      </c>
      <c r="B58" s="158">
        <v>0.10660000145435333</v>
      </c>
      <c r="C58" s="158">
        <v>0.10649999976158142</v>
      </c>
      <c r="D58" s="158">
        <v>0.10649999976158142</v>
      </c>
      <c r="E58" s="158">
        <v>0.10649999976158142</v>
      </c>
      <c r="F58" s="158">
        <v>0.10639999806880951</v>
      </c>
      <c r="G58" s="158">
        <v>0.1062999963760376</v>
      </c>
      <c r="H58" s="158">
        <v>0.1062999963760376</v>
      </c>
      <c r="I58" s="158">
        <v>0.10610000044107437</v>
      </c>
      <c r="J58" s="158">
        <v>0.10610000044107437</v>
      </c>
      <c r="K58" s="158">
        <v>0.10610000044107437</v>
      </c>
      <c r="L58" s="158">
        <v>0.10610000044107437</v>
      </c>
      <c r="M58" s="158">
        <v>0.10599999874830246</v>
      </c>
      <c r="N58" s="158">
        <v>0.10589999705553055</v>
      </c>
      <c r="O58" s="158">
        <v>0.10589999705553055</v>
      </c>
      <c r="P58" s="158">
        <v>0.10570000112056732</v>
      </c>
      <c r="Q58" s="158">
        <v>0.10570000112056732</v>
      </c>
      <c r="R58" s="158">
        <v>0.10570000112056732</v>
      </c>
      <c r="S58" s="158">
        <v>0.10559999942779541</v>
      </c>
      <c r="T58" s="158">
        <v>0.10559999942779541</v>
      </c>
      <c r="U58" s="158">
        <v>0.10559999942779541</v>
      </c>
      <c r="V58" s="158">
        <f t="shared" ref="V58:V92" si="1">AVERAGE(U58,W58)</f>
        <v>0.1055000014603138</v>
      </c>
      <c r="W58" s="158">
        <v>0.10540000349283218</v>
      </c>
      <c r="X58" s="158">
        <v>0.10540000349283218</v>
      </c>
      <c r="Y58" s="158">
        <v>0.10530000180006027</v>
      </c>
      <c r="Z58" s="158">
        <v>0.10530000180006027</v>
      </c>
      <c r="AA58" s="158">
        <v>0.10520000010728836</v>
      </c>
      <c r="AB58" s="158">
        <v>0.10520000010728836</v>
      </c>
      <c r="AC58" s="158">
        <v>0.10520000010728836</v>
      </c>
      <c r="AD58" s="158">
        <v>0.10509999841451645</v>
      </c>
      <c r="AE58" s="158">
        <v>0.10509999841451645</v>
      </c>
      <c r="AF58" s="158">
        <v>0.10509999841451645</v>
      </c>
    </row>
    <row r="59" spans="1:32" x14ac:dyDescent="0.2">
      <c r="A59" s="158" t="s">
        <v>211</v>
      </c>
      <c r="B59" s="158">
        <v>0.10740000009536743</v>
      </c>
      <c r="C59" s="158">
        <v>0.10740000009536743</v>
      </c>
      <c r="D59" s="158">
        <v>0.10729999840259552</v>
      </c>
      <c r="E59" s="158">
        <v>0.10729999840259552</v>
      </c>
      <c r="F59" s="158">
        <v>0.10719999670982361</v>
      </c>
      <c r="G59" s="158">
        <v>0.10719999670982361</v>
      </c>
      <c r="H59" s="158">
        <v>0.10710000246763229</v>
      </c>
      <c r="I59" s="158">
        <v>0.10689999908208847</v>
      </c>
      <c r="J59" s="158">
        <v>0.10689999908208847</v>
      </c>
      <c r="K59" s="158">
        <v>0.10710000246763229</v>
      </c>
      <c r="L59" s="158">
        <v>0.10679999738931656</v>
      </c>
      <c r="M59" s="158">
        <v>0.10670000314712524</v>
      </c>
      <c r="N59" s="158">
        <v>0.10670000314712524</v>
      </c>
      <c r="O59" s="158">
        <v>0.10660000145435333</v>
      </c>
      <c r="P59" s="158">
        <v>0.10649999976158142</v>
      </c>
      <c r="Q59" s="158">
        <v>0.10649999976158142</v>
      </c>
      <c r="R59" s="158">
        <v>0.10639999806880951</v>
      </c>
      <c r="S59" s="158">
        <v>0.1062999963760376</v>
      </c>
      <c r="T59" s="158">
        <v>0.1062999963760376</v>
      </c>
      <c r="U59" s="158">
        <v>0.1062999963760376</v>
      </c>
      <c r="V59" s="158">
        <f t="shared" si="1"/>
        <v>0.10624999925494194</v>
      </c>
      <c r="W59" s="158">
        <v>0.10620000213384628</v>
      </c>
      <c r="X59" s="158">
        <v>0.10610000044107437</v>
      </c>
      <c r="Y59" s="158">
        <v>0.10610000044107437</v>
      </c>
      <c r="Z59" s="158">
        <v>0.10599999874830246</v>
      </c>
      <c r="AA59" s="158">
        <v>0.10589999705553055</v>
      </c>
      <c r="AB59" s="158">
        <v>0.10589999705553055</v>
      </c>
      <c r="AC59" s="158">
        <v>0.10599999874830246</v>
      </c>
      <c r="AD59" s="158">
        <v>0.10580000281333923</v>
      </c>
      <c r="AE59" s="158">
        <v>0.10580000281333923</v>
      </c>
      <c r="AF59" s="158">
        <v>0.10580000281333923</v>
      </c>
    </row>
    <row r="60" spans="1:32" x14ac:dyDescent="0.2">
      <c r="A60" s="158" t="s">
        <v>212</v>
      </c>
      <c r="B60" s="158">
        <v>0.10700000077486038</v>
      </c>
      <c r="C60" s="158">
        <v>0.10689999908208847</v>
      </c>
      <c r="D60" s="158">
        <v>0.10679999738931656</v>
      </c>
      <c r="E60" s="158">
        <v>0.10689999908208847</v>
      </c>
      <c r="F60" s="158">
        <v>0.10670000314712524</v>
      </c>
      <c r="G60" s="158">
        <v>0.10689999908208847</v>
      </c>
      <c r="H60" s="158">
        <v>0.10660000145435333</v>
      </c>
      <c r="I60" s="158">
        <v>0.10639999806880951</v>
      </c>
      <c r="J60" s="158">
        <v>0.10639999806880951</v>
      </c>
      <c r="K60" s="158">
        <v>0.1062999963760376</v>
      </c>
      <c r="L60" s="158">
        <v>0.1062999963760376</v>
      </c>
      <c r="M60" s="158">
        <v>0.1062999963760376</v>
      </c>
      <c r="N60" s="158">
        <v>0.10620000213384628</v>
      </c>
      <c r="O60" s="158">
        <v>0.10610000044107437</v>
      </c>
      <c r="P60" s="158">
        <v>0.10599999874830246</v>
      </c>
      <c r="Q60" s="158">
        <v>0.10599999874830246</v>
      </c>
      <c r="R60" s="158">
        <v>0.10599999874830246</v>
      </c>
      <c r="S60" s="158">
        <v>0.10580000281333923</v>
      </c>
      <c r="T60" s="158">
        <v>0.10580000281333923</v>
      </c>
      <c r="U60" s="158">
        <v>0.10580000281333923</v>
      </c>
      <c r="V60" s="158">
        <f t="shared" si="1"/>
        <v>0.10575000196695328</v>
      </c>
      <c r="W60" s="158">
        <v>0.10570000112056732</v>
      </c>
      <c r="X60" s="158">
        <v>0.10559999942779541</v>
      </c>
      <c r="Y60" s="158">
        <v>0.10559999942779541</v>
      </c>
      <c r="Z60" s="158">
        <v>0.10559999942779541</v>
      </c>
      <c r="AA60" s="158">
        <v>0.10540000349283218</v>
      </c>
      <c r="AB60" s="158">
        <v>0.10540000349283218</v>
      </c>
      <c r="AC60" s="158">
        <v>0.10540000349283218</v>
      </c>
      <c r="AD60" s="158">
        <v>0.10540000349283218</v>
      </c>
      <c r="AE60" s="158">
        <v>0.10530000180006027</v>
      </c>
      <c r="AF60" s="158">
        <v>0.10530000180006027</v>
      </c>
    </row>
    <row r="61" spans="1:32" x14ac:dyDescent="0.2">
      <c r="A61" s="158" t="s">
        <v>213</v>
      </c>
      <c r="B61" s="158">
        <v>0.10570000112056732</v>
      </c>
      <c r="C61" s="158">
        <v>0.1054999977350235</v>
      </c>
      <c r="D61" s="158">
        <v>0.1054999977350235</v>
      </c>
      <c r="E61" s="158">
        <v>0.1054999977350235</v>
      </c>
      <c r="F61" s="158">
        <v>0.10540000349283218</v>
      </c>
      <c r="G61" s="158">
        <v>0.10530000180006027</v>
      </c>
      <c r="H61" s="158">
        <v>0.10520000010728836</v>
      </c>
      <c r="I61" s="158">
        <v>0.10520000010728836</v>
      </c>
      <c r="J61" s="158">
        <v>0.10499999672174454</v>
      </c>
      <c r="K61" s="158">
        <v>0.10499999672174454</v>
      </c>
      <c r="L61" s="158">
        <v>0.10499999672174454</v>
      </c>
      <c r="M61" s="158">
        <v>0.10490000247955322</v>
      </c>
      <c r="N61" s="158">
        <v>0.10490000247955322</v>
      </c>
      <c r="O61" s="158">
        <v>0.10480000078678131</v>
      </c>
      <c r="P61" s="158">
        <v>0.10459999740123749</v>
      </c>
      <c r="Q61" s="158">
        <v>0.10459999740123749</v>
      </c>
      <c r="R61" s="158">
        <v>0.10459999740123749</v>
      </c>
      <c r="S61" s="158">
        <v>0.10440000146627426</v>
      </c>
      <c r="T61" s="158">
        <v>0.10450000315904617</v>
      </c>
      <c r="U61" s="158">
        <v>0.10450000315904617</v>
      </c>
      <c r="V61" s="158">
        <f t="shared" si="1"/>
        <v>0.10445000231266022</v>
      </c>
      <c r="W61" s="158">
        <v>0.10440000146627426</v>
      </c>
      <c r="X61" s="158">
        <v>0.10440000146627426</v>
      </c>
      <c r="Y61" s="158">
        <v>0.10429999977350235</v>
      </c>
      <c r="Z61" s="158">
        <v>0.10419999808073044</v>
      </c>
      <c r="AA61" s="158">
        <v>0.10419999808073044</v>
      </c>
      <c r="AB61" s="158">
        <v>0.10419999808073044</v>
      </c>
      <c r="AC61" s="158">
        <v>0.10440000146627426</v>
      </c>
      <c r="AD61" s="158">
        <v>0.10409999638795853</v>
      </c>
      <c r="AE61" s="158">
        <v>0.10400000214576721</v>
      </c>
      <c r="AF61" s="158">
        <v>0.10400000214576721</v>
      </c>
    </row>
    <row r="62" spans="1:32" x14ac:dyDescent="0.2">
      <c r="A62" s="158" t="s">
        <v>214</v>
      </c>
      <c r="B62" s="158">
        <v>0.10689999908208847</v>
      </c>
      <c r="C62" s="158">
        <v>0.10679999738931656</v>
      </c>
      <c r="D62" s="158">
        <v>0.10679999738931656</v>
      </c>
      <c r="E62" s="158">
        <v>0.10679999738931656</v>
      </c>
      <c r="F62" s="158">
        <v>0.10670000314712524</v>
      </c>
      <c r="G62" s="158">
        <v>0.10660000145435333</v>
      </c>
      <c r="H62" s="158">
        <v>0.10649999976158142</v>
      </c>
      <c r="I62" s="158">
        <v>0.1062999963760376</v>
      </c>
      <c r="J62" s="158">
        <v>0.1062999963760376</v>
      </c>
      <c r="K62" s="158">
        <v>0.10620000213384628</v>
      </c>
      <c r="L62" s="158">
        <v>0.1062999963760376</v>
      </c>
      <c r="M62" s="158">
        <v>0.10620000213384628</v>
      </c>
      <c r="N62" s="158">
        <v>0.10610000044107437</v>
      </c>
      <c r="O62" s="158">
        <v>0.10610000044107437</v>
      </c>
      <c r="P62" s="158">
        <v>0.10580000281333923</v>
      </c>
      <c r="Q62" s="158">
        <v>0.10589999705553055</v>
      </c>
      <c r="R62" s="158">
        <v>0.10580000281333923</v>
      </c>
      <c r="S62" s="158">
        <v>0.10570000112056732</v>
      </c>
      <c r="T62" s="158">
        <v>0.10570000112056732</v>
      </c>
      <c r="U62" s="158">
        <v>0.10570000112056732</v>
      </c>
      <c r="V62" s="158">
        <f t="shared" si="1"/>
        <v>0.10565000027418137</v>
      </c>
      <c r="W62" s="158">
        <v>0.10559999942779541</v>
      </c>
      <c r="X62" s="158">
        <v>0.1054999977350235</v>
      </c>
      <c r="Y62" s="158">
        <v>0.1054999977350235</v>
      </c>
      <c r="Z62" s="158">
        <v>0.10540000349283218</v>
      </c>
      <c r="AA62" s="158">
        <v>0.10540000349283218</v>
      </c>
      <c r="AB62" s="158">
        <v>0.10540000349283218</v>
      </c>
      <c r="AC62" s="158">
        <v>0.10540000349283218</v>
      </c>
      <c r="AD62" s="158">
        <v>0.10530000180006027</v>
      </c>
      <c r="AE62" s="158">
        <v>0.10520000010728836</v>
      </c>
      <c r="AF62" s="158">
        <v>0.10530000180006027</v>
      </c>
    </row>
    <row r="63" spans="1:32" x14ac:dyDescent="0.2">
      <c r="A63" s="158" t="s">
        <v>215</v>
      </c>
      <c r="B63" s="158">
        <v>0.10819999873638153</v>
      </c>
      <c r="C63" s="158">
        <v>0.10790000110864639</v>
      </c>
      <c r="D63" s="158">
        <v>0.10779999941587448</v>
      </c>
      <c r="E63" s="158">
        <v>0.1080000028014183</v>
      </c>
      <c r="F63" s="158">
        <v>0.10760000348091125</v>
      </c>
      <c r="G63" s="158">
        <v>0.10750000178813934</v>
      </c>
      <c r="H63" s="158">
        <v>0.10740000009536743</v>
      </c>
      <c r="I63" s="158">
        <v>0.10719999670982361</v>
      </c>
      <c r="J63" s="158">
        <v>0.10719999670982361</v>
      </c>
      <c r="K63" s="158">
        <v>0.10710000246763229</v>
      </c>
      <c r="L63" s="158">
        <v>0.10719999670982361</v>
      </c>
      <c r="M63" s="158">
        <v>0.10700000077486038</v>
      </c>
      <c r="N63" s="158">
        <v>0.10700000077486038</v>
      </c>
      <c r="O63" s="158">
        <v>0.10700000077486038</v>
      </c>
      <c r="P63" s="158">
        <v>0.10679999738931656</v>
      </c>
      <c r="Q63" s="158">
        <v>0.10679999738931656</v>
      </c>
      <c r="R63" s="158">
        <v>0.10670000314712524</v>
      </c>
      <c r="S63" s="158">
        <v>0.10660000145435333</v>
      </c>
      <c r="T63" s="158">
        <v>0.10660000145435333</v>
      </c>
      <c r="U63" s="158">
        <v>0.10660000145435333</v>
      </c>
      <c r="V63" s="158">
        <f t="shared" si="1"/>
        <v>0.10655000060796738</v>
      </c>
      <c r="W63" s="158">
        <v>0.10649999976158142</v>
      </c>
      <c r="X63" s="158">
        <v>0.10649999976158142</v>
      </c>
      <c r="Y63" s="158">
        <v>0.1062999963760376</v>
      </c>
      <c r="Z63" s="158">
        <v>0.1062999963760376</v>
      </c>
      <c r="AA63" s="158">
        <v>0.1062999963760376</v>
      </c>
      <c r="AB63" s="158">
        <v>0.1062999963760376</v>
      </c>
      <c r="AC63" s="158">
        <v>0.1062999963760376</v>
      </c>
      <c r="AD63" s="158">
        <v>0.10620000213384628</v>
      </c>
      <c r="AE63" s="158">
        <v>0.10610000044107437</v>
      </c>
      <c r="AF63" s="158">
        <v>0.10610000044107437</v>
      </c>
    </row>
    <row r="64" spans="1:32" x14ac:dyDescent="0.2">
      <c r="A64" s="158" t="s">
        <v>216</v>
      </c>
      <c r="B64" s="158">
        <v>0.10639999806880951</v>
      </c>
      <c r="C64" s="158">
        <v>0.10599999874830246</v>
      </c>
      <c r="D64" s="158">
        <v>0.10589999705553055</v>
      </c>
      <c r="E64" s="158">
        <v>0.10840000212192535</v>
      </c>
      <c r="F64" s="158">
        <v>0.10869999974966049</v>
      </c>
      <c r="G64" s="158">
        <v>0.10819999873638153</v>
      </c>
      <c r="H64" s="158">
        <v>0.10819999873638153</v>
      </c>
      <c r="I64" s="158">
        <v>0.1080000028014183</v>
      </c>
      <c r="J64" s="158">
        <v>0.10779999941587448</v>
      </c>
      <c r="K64" s="158">
        <v>0.1080000028014183</v>
      </c>
      <c r="L64" s="158">
        <v>0.10830000042915344</v>
      </c>
      <c r="M64" s="158">
        <v>0.1080000028014183</v>
      </c>
      <c r="N64" s="158">
        <v>0.10809999704360962</v>
      </c>
      <c r="O64" s="158">
        <v>0.10779999941587448</v>
      </c>
      <c r="P64" s="158">
        <v>0.10740000009536743</v>
      </c>
      <c r="Q64" s="158">
        <v>0.10760000348091125</v>
      </c>
      <c r="R64" s="158">
        <v>0.10760000348091125</v>
      </c>
      <c r="S64" s="158">
        <v>0.1080000028014183</v>
      </c>
      <c r="T64" s="158">
        <v>0.10750000178813934</v>
      </c>
      <c r="U64" s="158">
        <v>0.10750000178813934</v>
      </c>
      <c r="V64" s="158">
        <f t="shared" si="1"/>
        <v>0.1075500026345253</v>
      </c>
      <c r="W64" s="158">
        <v>0.10760000348091125</v>
      </c>
      <c r="X64" s="158">
        <v>0.10779999941587448</v>
      </c>
      <c r="Y64" s="158">
        <v>0.10740000009536743</v>
      </c>
      <c r="Z64" s="158">
        <v>0.10750000178813934</v>
      </c>
      <c r="AA64" s="158">
        <v>0.10920000076293945</v>
      </c>
      <c r="AB64" s="158">
        <v>0.10830000042915344</v>
      </c>
      <c r="AC64" s="158">
        <v>0.10909999907016754</v>
      </c>
      <c r="AD64" s="158">
        <v>0.10819999873638153</v>
      </c>
      <c r="AE64" s="158">
        <v>0.10740000009536743</v>
      </c>
      <c r="AF64" s="158">
        <v>0.10849999636411667</v>
      </c>
    </row>
    <row r="65" spans="1:32" x14ac:dyDescent="0.2">
      <c r="A65" s="158" t="s">
        <v>217</v>
      </c>
      <c r="B65" s="158">
        <v>0.10580000281333923</v>
      </c>
      <c r="C65" s="158">
        <v>0.10570000112056732</v>
      </c>
      <c r="D65" s="158">
        <v>0.10570000112056732</v>
      </c>
      <c r="E65" s="158">
        <v>0.10580000281333923</v>
      </c>
      <c r="F65" s="158">
        <v>0.1054999977350235</v>
      </c>
      <c r="G65" s="158">
        <v>0.10559999942779541</v>
      </c>
      <c r="H65" s="158">
        <v>0.10540000349283218</v>
      </c>
      <c r="I65" s="158">
        <v>0.10530000180006027</v>
      </c>
      <c r="J65" s="158">
        <v>0.10520000010728836</v>
      </c>
      <c r="K65" s="158">
        <v>0.10520000010728836</v>
      </c>
      <c r="L65" s="158">
        <v>0.10520000010728836</v>
      </c>
      <c r="M65" s="158">
        <v>0.10509999841451645</v>
      </c>
      <c r="N65" s="158">
        <v>0.10509999841451645</v>
      </c>
      <c r="O65" s="158">
        <v>0.10499999672174454</v>
      </c>
      <c r="P65" s="158">
        <v>0.10480000078678131</v>
      </c>
      <c r="Q65" s="158">
        <v>0.10480000078678131</v>
      </c>
      <c r="R65" s="158">
        <v>0.10480000078678131</v>
      </c>
      <c r="S65" s="158">
        <v>0.1046999990940094</v>
      </c>
      <c r="T65" s="158">
        <v>0.1046999990940094</v>
      </c>
      <c r="U65" s="158">
        <v>0.1046999990940094</v>
      </c>
      <c r="V65" s="158">
        <f t="shared" si="1"/>
        <v>0.10464999824762344</v>
      </c>
      <c r="W65" s="158">
        <v>0.10459999740123749</v>
      </c>
      <c r="X65" s="158">
        <v>0.10459999740123749</v>
      </c>
      <c r="Y65" s="158">
        <v>0.10450000315904617</v>
      </c>
      <c r="Z65" s="158">
        <v>0.10450000315904617</v>
      </c>
      <c r="AA65" s="158">
        <v>0.10429999977350235</v>
      </c>
      <c r="AB65" s="158">
        <v>0.10429999977350235</v>
      </c>
      <c r="AC65" s="158">
        <v>0.10429999977350235</v>
      </c>
      <c r="AD65" s="158">
        <v>0.10429999977350235</v>
      </c>
      <c r="AE65" s="158">
        <v>0.10419999808073044</v>
      </c>
      <c r="AF65" s="158">
        <v>0.10419999808073044</v>
      </c>
    </row>
    <row r="66" spans="1:32" x14ac:dyDescent="0.2">
      <c r="A66" s="158" t="s">
        <v>218</v>
      </c>
      <c r="B66" s="158">
        <v>0.10999999940395355</v>
      </c>
      <c r="C66" s="158">
        <v>0.10859999805688858</v>
      </c>
      <c r="D66" s="158">
        <v>0.1088000014424324</v>
      </c>
      <c r="E66" s="158">
        <v>0.10869999974966049</v>
      </c>
      <c r="F66" s="158">
        <v>0.10859999805688858</v>
      </c>
      <c r="G66" s="158">
        <v>0.10890000313520432</v>
      </c>
      <c r="H66" s="158">
        <v>0.10849999636411667</v>
      </c>
      <c r="I66" s="158">
        <v>0.10830000042915344</v>
      </c>
      <c r="J66" s="158">
        <v>0.10840000212192535</v>
      </c>
      <c r="K66" s="158">
        <v>0.10809999704360962</v>
      </c>
      <c r="L66" s="158">
        <v>0.10869999974966049</v>
      </c>
      <c r="M66" s="158">
        <v>0.10849999636411667</v>
      </c>
      <c r="N66" s="158">
        <v>0.10859999805688858</v>
      </c>
      <c r="O66" s="158">
        <v>0.10849999636411667</v>
      </c>
      <c r="P66" s="158">
        <v>0.1080000028014183</v>
      </c>
      <c r="Q66" s="158">
        <v>0.10769999772310257</v>
      </c>
      <c r="R66" s="158">
        <v>0.10769999772310257</v>
      </c>
      <c r="S66" s="158">
        <v>0.1080000028014183</v>
      </c>
      <c r="T66" s="158">
        <v>0.10769999772310257</v>
      </c>
      <c r="U66" s="158">
        <v>0.10809999704360962</v>
      </c>
      <c r="V66" s="158">
        <f t="shared" si="1"/>
        <v>0.10794999822974205</v>
      </c>
      <c r="W66" s="158">
        <v>0.10779999941587448</v>
      </c>
      <c r="X66" s="158">
        <v>0.10740000009536743</v>
      </c>
      <c r="Y66" s="158">
        <v>0.10750000178813934</v>
      </c>
      <c r="Z66" s="158">
        <v>0.10750000178813934</v>
      </c>
      <c r="AA66" s="158">
        <v>0.10620000213384628</v>
      </c>
      <c r="AB66" s="158">
        <v>0.10670000314712524</v>
      </c>
      <c r="AC66" s="158">
        <v>0.10620000213384628</v>
      </c>
      <c r="AD66" s="158">
        <v>0.10700000077486038</v>
      </c>
      <c r="AE66" s="158">
        <v>0.10679999738931656</v>
      </c>
      <c r="AF66" s="158">
        <v>0.10639999806880951</v>
      </c>
    </row>
    <row r="67" spans="1:32" x14ac:dyDescent="0.2">
      <c r="A67" s="158" t="s">
        <v>219</v>
      </c>
      <c r="B67" s="158">
        <v>0.10649999976158142</v>
      </c>
      <c r="C67" s="158">
        <v>0.10620000213384628</v>
      </c>
      <c r="D67" s="158">
        <v>0.10610000044107437</v>
      </c>
      <c r="E67" s="158">
        <v>0.10639999806880951</v>
      </c>
      <c r="F67" s="158">
        <v>0.10620000213384628</v>
      </c>
      <c r="G67" s="158">
        <v>0.10620000213384628</v>
      </c>
      <c r="H67" s="158">
        <v>0.10610000044107437</v>
      </c>
      <c r="I67" s="158">
        <v>0.10589999705553055</v>
      </c>
      <c r="J67" s="158">
        <v>0.10610000044107437</v>
      </c>
      <c r="K67" s="158">
        <v>0.10589999705553055</v>
      </c>
      <c r="L67" s="158">
        <v>0.10589999705553055</v>
      </c>
      <c r="M67" s="158">
        <v>0.10570000112056732</v>
      </c>
      <c r="N67" s="158">
        <v>0.10570000112056732</v>
      </c>
      <c r="O67" s="158">
        <v>0.10559999942779541</v>
      </c>
      <c r="P67" s="158">
        <v>0.10540000349283218</v>
      </c>
      <c r="Q67" s="158">
        <v>0.10540000349283218</v>
      </c>
      <c r="R67" s="158">
        <v>0.10540000349283218</v>
      </c>
      <c r="S67" s="158">
        <v>0.10530000180006027</v>
      </c>
      <c r="T67" s="158">
        <v>0.10530000180006027</v>
      </c>
      <c r="U67" s="158">
        <v>0.10530000180006027</v>
      </c>
      <c r="V67" s="158">
        <f t="shared" si="1"/>
        <v>0.10525000095367432</v>
      </c>
      <c r="W67" s="158">
        <v>0.10520000010728836</v>
      </c>
      <c r="X67" s="158">
        <v>0.10509999841451645</v>
      </c>
      <c r="Y67" s="158">
        <v>0.10499999672174454</v>
      </c>
      <c r="Z67" s="158">
        <v>0.10520000010728836</v>
      </c>
      <c r="AA67" s="158">
        <v>0.10490000247955322</v>
      </c>
      <c r="AB67" s="158">
        <v>0.10490000247955322</v>
      </c>
      <c r="AC67" s="158">
        <v>0.10490000247955322</v>
      </c>
      <c r="AD67" s="158">
        <v>0.10480000078678131</v>
      </c>
      <c r="AE67" s="158">
        <v>0.10499999672174454</v>
      </c>
      <c r="AF67" s="158">
        <v>0.10480000078678131</v>
      </c>
    </row>
    <row r="68" spans="1:32" x14ac:dyDescent="0.2">
      <c r="A68" s="158" t="s">
        <v>220</v>
      </c>
      <c r="B68" s="158">
        <v>0.10679999738931656</v>
      </c>
      <c r="C68" s="158">
        <v>0.10660000145435333</v>
      </c>
      <c r="D68" s="158">
        <v>0.10649999976158142</v>
      </c>
      <c r="E68" s="158">
        <v>0.10649999976158142</v>
      </c>
      <c r="F68" s="158">
        <v>0.1062999963760376</v>
      </c>
      <c r="G68" s="158">
        <v>0.10620000213384628</v>
      </c>
      <c r="H68" s="158">
        <v>0.10610000044107437</v>
      </c>
      <c r="I68" s="158">
        <v>0.10599999874830246</v>
      </c>
      <c r="J68" s="158">
        <v>0.10589999705553055</v>
      </c>
      <c r="K68" s="158">
        <v>0.10589999705553055</v>
      </c>
      <c r="L68" s="158">
        <v>0.10589999705553055</v>
      </c>
      <c r="M68" s="158">
        <v>0.10580000281333923</v>
      </c>
      <c r="N68" s="158">
        <v>0.10570000112056732</v>
      </c>
      <c r="O68" s="158">
        <v>0.10559999942779541</v>
      </c>
      <c r="P68" s="158">
        <v>0.10540000349283218</v>
      </c>
      <c r="Q68" s="158">
        <v>0.10540000349283218</v>
      </c>
      <c r="R68" s="158">
        <v>0.10530000180006027</v>
      </c>
      <c r="S68" s="158">
        <v>0.10520000010728836</v>
      </c>
      <c r="T68" s="158">
        <v>0.10520000010728836</v>
      </c>
      <c r="U68" s="158">
        <v>0.10520000010728836</v>
      </c>
      <c r="V68" s="158">
        <f t="shared" si="1"/>
        <v>0.10509999841451645</v>
      </c>
      <c r="W68" s="158">
        <v>0.10499999672174454</v>
      </c>
      <c r="X68" s="158">
        <v>0.10499999672174454</v>
      </c>
      <c r="Y68" s="158">
        <v>0.10480000078678131</v>
      </c>
      <c r="Z68" s="158">
        <v>0.10480000078678131</v>
      </c>
      <c r="AA68" s="158">
        <v>0.10459999740123749</v>
      </c>
      <c r="AB68" s="158">
        <v>0.10459999740123749</v>
      </c>
      <c r="AC68" s="158">
        <v>0.10459999740123749</v>
      </c>
      <c r="AD68" s="158">
        <v>0.10450000315904617</v>
      </c>
      <c r="AE68" s="158">
        <v>0.10440000146627426</v>
      </c>
      <c r="AF68" s="158">
        <v>0.10440000146627426</v>
      </c>
    </row>
    <row r="69" spans="1:32" x14ac:dyDescent="0.2">
      <c r="A69" s="158" t="s">
        <v>221</v>
      </c>
      <c r="B69" s="158">
        <v>0.10620000213384628</v>
      </c>
      <c r="C69" s="158">
        <v>0.10610000044107437</v>
      </c>
      <c r="D69" s="158">
        <v>0.10599999874830246</v>
      </c>
      <c r="E69" s="158">
        <v>0.10610000044107437</v>
      </c>
      <c r="F69" s="158">
        <v>0.10589999705553055</v>
      </c>
      <c r="G69" s="158">
        <v>0.10599999874830246</v>
      </c>
      <c r="H69" s="158">
        <v>0.10589999705553055</v>
      </c>
      <c r="I69" s="158">
        <v>0.10580000281333923</v>
      </c>
      <c r="J69" s="158">
        <v>0.10570000112056732</v>
      </c>
      <c r="K69" s="158">
        <v>0.10570000112056732</v>
      </c>
      <c r="L69" s="158">
        <v>0.10580000281333923</v>
      </c>
      <c r="M69" s="158">
        <v>0.10570000112056732</v>
      </c>
      <c r="N69" s="158">
        <v>0.10559999942779541</v>
      </c>
      <c r="O69" s="158">
        <v>0.10540000349283218</v>
      </c>
      <c r="P69" s="158">
        <v>0.10530000180006027</v>
      </c>
      <c r="Q69" s="158">
        <v>0.10530000180006027</v>
      </c>
      <c r="R69" s="158">
        <v>0.10520000010728836</v>
      </c>
      <c r="S69" s="158">
        <v>0.10530000180006027</v>
      </c>
      <c r="T69" s="158">
        <v>0.10530000180006027</v>
      </c>
      <c r="U69" s="158">
        <v>0.10540000349283218</v>
      </c>
      <c r="V69" s="158">
        <f t="shared" si="1"/>
        <v>0.10530000180006027</v>
      </c>
      <c r="W69" s="158">
        <v>0.10520000010728836</v>
      </c>
      <c r="X69" s="158">
        <v>0.10520000010728836</v>
      </c>
      <c r="Y69" s="158">
        <v>0.10499999672174454</v>
      </c>
      <c r="Z69" s="158">
        <v>0.10490000247955322</v>
      </c>
      <c r="AA69" s="158">
        <v>0.10490000247955322</v>
      </c>
      <c r="AB69" s="158">
        <v>0.10480000078678131</v>
      </c>
      <c r="AC69" s="158">
        <v>0.1046999990940094</v>
      </c>
      <c r="AD69" s="158">
        <v>0.10480000078678131</v>
      </c>
      <c r="AE69" s="158">
        <v>0.1046999990940094</v>
      </c>
      <c r="AF69" s="158">
        <v>0.10480000078678131</v>
      </c>
    </row>
    <row r="70" spans="1:32" x14ac:dyDescent="0.2">
      <c r="A70" s="158" t="s">
        <v>222</v>
      </c>
      <c r="B70" s="158">
        <v>0.10649999976158142</v>
      </c>
      <c r="C70" s="158">
        <v>0.10610000044107437</v>
      </c>
      <c r="D70" s="158">
        <v>0.10599999874830246</v>
      </c>
      <c r="E70" s="158">
        <v>0.10610000044107437</v>
      </c>
      <c r="F70" s="158">
        <v>0.10589999705553055</v>
      </c>
      <c r="G70" s="158">
        <v>0.10580000281333923</v>
      </c>
      <c r="H70" s="158">
        <v>0.10570000112056732</v>
      </c>
      <c r="I70" s="158">
        <v>0.10559999942779541</v>
      </c>
      <c r="J70" s="158">
        <v>0.1054999977350235</v>
      </c>
      <c r="K70" s="158">
        <v>0.1054999977350235</v>
      </c>
      <c r="L70" s="158">
        <v>0.1054999977350235</v>
      </c>
      <c r="M70" s="158">
        <v>0.10540000349283218</v>
      </c>
      <c r="N70" s="158">
        <v>0.10540000349283218</v>
      </c>
      <c r="O70" s="158">
        <v>0.10530000180006027</v>
      </c>
      <c r="P70" s="158">
        <v>0.10499999672174454</v>
      </c>
      <c r="Q70" s="158">
        <v>0.10499999672174454</v>
      </c>
      <c r="R70" s="158">
        <v>0.10499999672174454</v>
      </c>
      <c r="S70" s="158">
        <v>0.10490000247955322</v>
      </c>
      <c r="T70" s="158">
        <v>0.10490000247955322</v>
      </c>
      <c r="U70" s="158">
        <v>0.10490000247955322</v>
      </c>
      <c r="V70" s="158">
        <f t="shared" si="1"/>
        <v>0.10485000163316727</v>
      </c>
      <c r="W70" s="158">
        <v>0.10480000078678131</v>
      </c>
      <c r="X70" s="158">
        <v>0.10480000078678131</v>
      </c>
      <c r="Y70" s="158">
        <v>0.1046999990940094</v>
      </c>
      <c r="Z70" s="158">
        <v>0.10450000315904617</v>
      </c>
      <c r="AA70" s="158">
        <v>0.10450000315904617</v>
      </c>
      <c r="AB70" s="158">
        <v>0.10450000315904617</v>
      </c>
      <c r="AC70" s="158">
        <v>0.10440000146627426</v>
      </c>
      <c r="AD70" s="158">
        <v>0.10440000146627426</v>
      </c>
      <c r="AE70" s="158">
        <v>0.10440000146627426</v>
      </c>
      <c r="AF70" s="158">
        <v>0.10429999977350235</v>
      </c>
    </row>
    <row r="71" spans="1:32" x14ac:dyDescent="0.2">
      <c r="A71" s="158" t="s">
        <v>223</v>
      </c>
      <c r="B71" s="158">
        <v>0.10710000246763229</v>
      </c>
      <c r="C71" s="158">
        <v>0.10689999908208847</v>
      </c>
      <c r="D71" s="158">
        <v>0.10679999738931656</v>
      </c>
      <c r="E71" s="158">
        <v>0.10679999738931656</v>
      </c>
      <c r="F71" s="158">
        <v>0.10689999908208847</v>
      </c>
      <c r="G71" s="158">
        <v>0.10670000314712524</v>
      </c>
      <c r="H71" s="158">
        <v>0.10670000314712524</v>
      </c>
      <c r="I71" s="158">
        <v>0.10649999976158142</v>
      </c>
      <c r="J71" s="158">
        <v>0.10649999976158142</v>
      </c>
      <c r="K71" s="158">
        <v>0.10639999806880951</v>
      </c>
      <c r="L71" s="158">
        <v>0.10649999976158142</v>
      </c>
      <c r="M71" s="158">
        <v>0.10639999806880951</v>
      </c>
      <c r="N71" s="158">
        <v>0.1062999963760376</v>
      </c>
      <c r="O71" s="158">
        <v>0.10620000213384628</v>
      </c>
      <c r="P71" s="158">
        <v>0.10610000044107437</v>
      </c>
      <c r="Q71" s="158">
        <v>0.10599999874830246</v>
      </c>
      <c r="R71" s="158">
        <v>0.10599999874830246</v>
      </c>
      <c r="S71" s="158">
        <v>0.10610000044107437</v>
      </c>
      <c r="T71" s="158">
        <v>0.10610000044107437</v>
      </c>
      <c r="U71" s="158">
        <v>0.10610000044107437</v>
      </c>
      <c r="V71" s="158">
        <f t="shared" si="1"/>
        <v>0.10610000044107437</v>
      </c>
      <c r="W71" s="158">
        <v>0.10610000044107437</v>
      </c>
      <c r="X71" s="158">
        <v>0.10599999874830246</v>
      </c>
      <c r="Y71" s="158">
        <v>0.10589999705553055</v>
      </c>
      <c r="Z71" s="158">
        <v>0.10580000281333923</v>
      </c>
      <c r="AA71" s="158">
        <v>0.10589999705553055</v>
      </c>
      <c r="AB71" s="158">
        <v>0.10559999942779541</v>
      </c>
      <c r="AC71" s="158">
        <v>0.10559999942779541</v>
      </c>
      <c r="AD71" s="158">
        <v>0.10559999942779541</v>
      </c>
      <c r="AE71" s="158">
        <v>0.10559999942779541</v>
      </c>
      <c r="AF71" s="158">
        <v>0.10589999705553055</v>
      </c>
    </row>
    <row r="72" spans="1:32" x14ac:dyDescent="0.2">
      <c r="A72" s="158" t="s">
        <v>224</v>
      </c>
      <c r="B72" s="158">
        <v>0.10710000246763229</v>
      </c>
      <c r="C72" s="158">
        <v>0.10679999738931656</v>
      </c>
      <c r="D72" s="158">
        <v>0.10670000314712524</v>
      </c>
      <c r="E72" s="158">
        <v>0.10670000314712524</v>
      </c>
      <c r="F72" s="158">
        <v>0.10660000145435333</v>
      </c>
      <c r="G72" s="158">
        <v>0.10660000145435333</v>
      </c>
      <c r="H72" s="158">
        <v>0.10639999806880951</v>
      </c>
      <c r="I72" s="158">
        <v>0.1062999963760376</v>
      </c>
      <c r="J72" s="158">
        <v>0.10620000213384628</v>
      </c>
      <c r="K72" s="158">
        <v>0.10620000213384628</v>
      </c>
      <c r="L72" s="158">
        <v>0.10620000213384628</v>
      </c>
      <c r="M72" s="158">
        <v>0.10599999874830246</v>
      </c>
      <c r="N72" s="158">
        <v>0.10589999705553055</v>
      </c>
      <c r="O72" s="158">
        <v>0.10570000112056732</v>
      </c>
      <c r="P72" s="158">
        <v>0.1054999977350235</v>
      </c>
      <c r="Q72" s="158">
        <v>0.1054999977350235</v>
      </c>
      <c r="R72" s="158">
        <v>0.1054999977350235</v>
      </c>
      <c r="S72" s="158">
        <v>0.1054999977350235</v>
      </c>
      <c r="T72" s="158">
        <v>0.10559999942779541</v>
      </c>
      <c r="U72" s="158">
        <v>0.10570000112056732</v>
      </c>
      <c r="V72" s="158">
        <f t="shared" si="1"/>
        <v>0.10559999942779541</v>
      </c>
      <c r="W72" s="158">
        <v>0.1054999977350235</v>
      </c>
      <c r="X72" s="158">
        <v>0.10540000349283218</v>
      </c>
      <c r="Y72" s="158">
        <v>0.10520000010728836</v>
      </c>
      <c r="Z72" s="158">
        <v>0.10509999841451645</v>
      </c>
      <c r="AA72" s="158">
        <v>0.10490000247955322</v>
      </c>
      <c r="AB72" s="158">
        <v>0.10480000078678131</v>
      </c>
      <c r="AC72" s="158">
        <v>0.10480000078678131</v>
      </c>
      <c r="AD72" s="158">
        <v>0.10480000078678131</v>
      </c>
      <c r="AE72" s="158">
        <v>0.1046999990940094</v>
      </c>
      <c r="AF72" s="158">
        <v>0.10490000247955322</v>
      </c>
    </row>
    <row r="73" spans="1:32" x14ac:dyDescent="0.2">
      <c r="A73" s="158" t="s">
        <v>225</v>
      </c>
      <c r="B73" s="158">
        <v>0.10719999670982361</v>
      </c>
      <c r="C73" s="158">
        <v>0.10719999670982361</v>
      </c>
      <c r="D73" s="158">
        <v>0.10719999670982361</v>
      </c>
      <c r="E73" s="158">
        <v>0.10729999840259552</v>
      </c>
      <c r="F73" s="158">
        <v>0.10729999840259552</v>
      </c>
      <c r="G73" s="158">
        <v>0.10740000009536743</v>
      </c>
      <c r="H73" s="158">
        <v>0.10729999840259552</v>
      </c>
      <c r="I73" s="158">
        <v>0.10729999840259552</v>
      </c>
      <c r="J73" s="158">
        <v>0.10719999670982361</v>
      </c>
      <c r="K73" s="158">
        <v>0.10719999670982361</v>
      </c>
      <c r="L73" s="158">
        <v>0.10719999670982361</v>
      </c>
      <c r="M73" s="158">
        <v>0.10729999840259552</v>
      </c>
      <c r="N73" s="158">
        <v>0.10689999908208847</v>
      </c>
      <c r="O73" s="158">
        <v>0.10679999738931656</v>
      </c>
      <c r="P73" s="158">
        <v>0.10660000145435333</v>
      </c>
      <c r="Q73" s="158">
        <v>0.10660000145435333</v>
      </c>
      <c r="R73" s="158">
        <v>0.10660000145435333</v>
      </c>
      <c r="S73" s="158">
        <v>0.10670000314712524</v>
      </c>
      <c r="T73" s="158">
        <v>0.10679999738931656</v>
      </c>
      <c r="U73" s="158">
        <v>0.10689999908208847</v>
      </c>
      <c r="V73" s="158">
        <f t="shared" si="1"/>
        <v>0.10684999823570251</v>
      </c>
      <c r="W73" s="158">
        <v>0.10679999738931656</v>
      </c>
      <c r="X73" s="158">
        <v>0.10679999738931656</v>
      </c>
      <c r="Y73" s="158">
        <v>0.10649999976158142</v>
      </c>
      <c r="Z73" s="158">
        <v>0.1062999963760376</v>
      </c>
      <c r="AA73" s="158">
        <v>0.10620000213384628</v>
      </c>
      <c r="AB73" s="158">
        <v>0.10610000044107437</v>
      </c>
      <c r="AC73" s="158">
        <v>0.10610000044107437</v>
      </c>
      <c r="AD73" s="158">
        <v>0.10610000044107437</v>
      </c>
      <c r="AE73" s="158">
        <v>0.10610000044107437</v>
      </c>
      <c r="AF73" s="158">
        <v>0.10620000213384628</v>
      </c>
    </row>
    <row r="74" spans="1:32" x14ac:dyDescent="0.2">
      <c r="A74" s="158" t="s">
        <v>226</v>
      </c>
      <c r="B74" s="158">
        <v>0.10740000009536743</v>
      </c>
      <c r="C74" s="158">
        <v>0.10710000246763229</v>
      </c>
      <c r="D74" s="158">
        <v>0.10710000246763229</v>
      </c>
      <c r="E74" s="158">
        <v>0.10700000077486038</v>
      </c>
      <c r="F74" s="158">
        <v>0.10689999908208847</v>
      </c>
      <c r="G74" s="158">
        <v>0.10719999670982361</v>
      </c>
      <c r="H74" s="158">
        <v>0.10679999738931656</v>
      </c>
      <c r="I74" s="158">
        <v>0.10670000314712524</v>
      </c>
      <c r="J74" s="158">
        <v>0.10670000314712524</v>
      </c>
      <c r="K74" s="158">
        <v>0.10670000314712524</v>
      </c>
      <c r="L74" s="158">
        <v>0.10670000314712524</v>
      </c>
      <c r="M74" s="158">
        <v>0.10649999976158142</v>
      </c>
      <c r="N74" s="158">
        <v>0.10639999806880951</v>
      </c>
      <c r="O74" s="158">
        <v>0.10620000213384628</v>
      </c>
      <c r="P74" s="158">
        <v>0.10599999874830246</v>
      </c>
      <c r="Q74" s="158">
        <v>0.10599999874830246</v>
      </c>
      <c r="R74" s="158">
        <v>0.10599999874830246</v>
      </c>
      <c r="S74" s="158">
        <v>0.10599999874830246</v>
      </c>
      <c r="T74" s="158">
        <v>0.10610000044107437</v>
      </c>
      <c r="U74" s="158">
        <v>0.10620000213384628</v>
      </c>
      <c r="V74" s="158">
        <f t="shared" si="1"/>
        <v>0.10615000128746033</v>
      </c>
      <c r="W74" s="158">
        <v>0.10610000044107437</v>
      </c>
      <c r="X74" s="158">
        <v>0.10599999874830246</v>
      </c>
      <c r="Y74" s="158">
        <v>0.10570000112056732</v>
      </c>
      <c r="Z74" s="158">
        <v>0.1054999977350235</v>
      </c>
      <c r="AA74" s="158">
        <v>0.10540000349283218</v>
      </c>
      <c r="AB74" s="158">
        <v>0.10540000349283218</v>
      </c>
      <c r="AC74" s="158">
        <v>0.10530000180006027</v>
      </c>
      <c r="AD74" s="158">
        <v>0.10540000349283218</v>
      </c>
      <c r="AE74" s="158">
        <v>0.10530000180006027</v>
      </c>
      <c r="AF74" s="158">
        <v>0.1054999977350235</v>
      </c>
    </row>
    <row r="75" spans="1:32" x14ac:dyDescent="0.2">
      <c r="A75" s="158" t="s">
        <v>227</v>
      </c>
      <c r="B75" s="158">
        <v>0.10859999805688858</v>
      </c>
      <c r="C75" s="158">
        <v>0.10819999873638153</v>
      </c>
      <c r="D75" s="158">
        <v>0.10809999704360962</v>
      </c>
      <c r="E75" s="158">
        <v>0.10819999873638153</v>
      </c>
      <c r="F75" s="158">
        <v>0.10809999704360962</v>
      </c>
      <c r="G75" s="158">
        <v>0.10819999873638153</v>
      </c>
      <c r="H75" s="158">
        <v>0.10809999704360962</v>
      </c>
      <c r="I75" s="158">
        <v>0.1080000028014183</v>
      </c>
      <c r="J75" s="158">
        <v>0.1080000028014183</v>
      </c>
      <c r="K75" s="158">
        <v>0.1080000028014183</v>
      </c>
      <c r="L75" s="158">
        <v>0.1080000028014183</v>
      </c>
      <c r="M75" s="158">
        <v>0.10779999941587448</v>
      </c>
      <c r="N75" s="158">
        <v>0.10769999772310257</v>
      </c>
      <c r="O75" s="158">
        <v>0.10750000178813934</v>
      </c>
      <c r="P75" s="158">
        <v>0.10729999840259552</v>
      </c>
      <c r="Q75" s="158">
        <v>0.10760000348091125</v>
      </c>
      <c r="R75" s="158">
        <v>0.10729999840259552</v>
      </c>
      <c r="S75" s="158">
        <v>0.10760000348091125</v>
      </c>
      <c r="T75" s="158">
        <v>0.10760000348091125</v>
      </c>
      <c r="U75" s="158">
        <v>0.10769999772310257</v>
      </c>
      <c r="V75" s="158">
        <f t="shared" si="1"/>
        <v>0.10799999907612801</v>
      </c>
      <c r="W75" s="158">
        <v>0.10830000042915344</v>
      </c>
      <c r="X75" s="158">
        <v>0.10819999873638153</v>
      </c>
      <c r="Y75" s="158">
        <v>0.10939999669790268</v>
      </c>
      <c r="Z75" s="158">
        <v>0.10899999737739563</v>
      </c>
      <c r="AA75" s="158">
        <v>0.10920000076293945</v>
      </c>
      <c r="AB75" s="158">
        <v>0.10930000245571136</v>
      </c>
      <c r="AC75" s="158">
        <v>0.10890000313520432</v>
      </c>
      <c r="AD75" s="158">
        <v>0.10890000313520432</v>
      </c>
      <c r="AE75" s="158">
        <v>0.1088000014424324</v>
      </c>
      <c r="AF75" s="158">
        <v>0.10830000042915344</v>
      </c>
    </row>
    <row r="76" spans="1:32" x14ac:dyDescent="0.2">
      <c r="A76" s="158" t="s">
        <v>228</v>
      </c>
      <c r="B76" s="158">
        <v>0.10719999670982361</v>
      </c>
      <c r="C76" s="158">
        <v>0.10660000145435333</v>
      </c>
      <c r="D76" s="158">
        <v>0.10660000145435333</v>
      </c>
      <c r="E76" s="158">
        <v>0.10660000145435333</v>
      </c>
      <c r="F76" s="158">
        <v>0.10639999806880951</v>
      </c>
      <c r="G76" s="158">
        <v>0.10649999976158142</v>
      </c>
      <c r="H76" s="158">
        <v>0.10660000145435333</v>
      </c>
      <c r="I76" s="158">
        <v>0.10620000213384628</v>
      </c>
      <c r="J76" s="158">
        <v>0.10620000213384628</v>
      </c>
      <c r="K76" s="158">
        <v>0.10620000213384628</v>
      </c>
      <c r="L76" s="158">
        <v>0.10610000044107437</v>
      </c>
      <c r="M76" s="158">
        <v>0.10589999705553055</v>
      </c>
      <c r="N76" s="158">
        <v>0.10580000281333923</v>
      </c>
      <c r="O76" s="158">
        <v>0.1054999977350235</v>
      </c>
      <c r="P76" s="158">
        <v>0.10530000180006027</v>
      </c>
      <c r="Q76" s="158">
        <v>0.10530000180006027</v>
      </c>
      <c r="R76" s="158">
        <v>0.10530000180006027</v>
      </c>
      <c r="S76" s="158">
        <v>0.10540000349283218</v>
      </c>
      <c r="T76" s="158">
        <v>0.10570000112056732</v>
      </c>
      <c r="U76" s="158">
        <v>0.10570000112056732</v>
      </c>
      <c r="V76" s="158">
        <f t="shared" si="1"/>
        <v>0.10610000044107437</v>
      </c>
      <c r="W76" s="158">
        <v>0.10649999976158142</v>
      </c>
      <c r="X76" s="158">
        <v>0.10639999806880951</v>
      </c>
      <c r="Y76" s="158">
        <v>0.10620000213384628</v>
      </c>
      <c r="Z76" s="158">
        <v>0.10580000281333923</v>
      </c>
      <c r="AA76" s="158">
        <v>0.10570000112056732</v>
      </c>
      <c r="AB76" s="158">
        <v>0.10559999942779541</v>
      </c>
      <c r="AC76" s="158">
        <v>0.10540000349283218</v>
      </c>
      <c r="AD76" s="158">
        <v>0.1054999977350235</v>
      </c>
      <c r="AE76" s="158">
        <v>0.1054999977350235</v>
      </c>
      <c r="AF76" s="158">
        <v>0.10580000281333923</v>
      </c>
    </row>
    <row r="77" spans="1:32" x14ac:dyDescent="0.2">
      <c r="A77" s="158" t="s">
        <v>229</v>
      </c>
      <c r="B77" s="158">
        <v>0.10790000110864639</v>
      </c>
      <c r="C77" s="158">
        <v>0.10760000348091125</v>
      </c>
      <c r="D77" s="158">
        <v>0.10750000178813934</v>
      </c>
      <c r="E77" s="158">
        <v>0.10750000178813934</v>
      </c>
      <c r="F77" s="158">
        <v>0.10750000178813934</v>
      </c>
      <c r="G77" s="158">
        <v>0.10760000348091125</v>
      </c>
      <c r="H77" s="158">
        <v>0.10750000178813934</v>
      </c>
      <c r="I77" s="158">
        <v>0.10750000178813934</v>
      </c>
      <c r="J77" s="158">
        <v>0.10740000009536743</v>
      </c>
      <c r="K77" s="158">
        <v>0.10740000009536743</v>
      </c>
      <c r="L77" s="158">
        <v>0.10740000009536743</v>
      </c>
      <c r="M77" s="158">
        <v>0.10719999670982361</v>
      </c>
      <c r="N77" s="158">
        <v>0.10700000077486038</v>
      </c>
      <c r="O77" s="158">
        <v>0.10670000314712524</v>
      </c>
      <c r="P77" s="158">
        <v>0.10679999738931656</v>
      </c>
      <c r="Q77" s="158">
        <v>0.10649999976158142</v>
      </c>
      <c r="R77" s="158">
        <v>0.10660000145435333</v>
      </c>
      <c r="S77" s="158">
        <v>0.10679999738931656</v>
      </c>
      <c r="T77" s="158">
        <v>0.10700000077486038</v>
      </c>
      <c r="U77" s="158">
        <v>0.10710000246763229</v>
      </c>
      <c r="V77" s="158">
        <f t="shared" si="1"/>
        <v>0.10710000246763229</v>
      </c>
      <c r="W77" s="158">
        <v>0.10710000246763229</v>
      </c>
      <c r="X77" s="158">
        <v>0.10679999738931656</v>
      </c>
      <c r="Y77" s="158">
        <v>0.10660000145435333</v>
      </c>
      <c r="Z77" s="158">
        <v>0.1062999963760376</v>
      </c>
      <c r="AA77" s="158">
        <v>0.10620000213384628</v>
      </c>
      <c r="AB77" s="158">
        <v>0.10599999874830246</v>
      </c>
      <c r="AC77" s="158">
        <v>0.10589999705553055</v>
      </c>
      <c r="AD77" s="158">
        <v>0.10599999874830246</v>
      </c>
      <c r="AE77" s="158">
        <v>0.10599999874830246</v>
      </c>
      <c r="AF77" s="158">
        <v>0.10610000044107437</v>
      </c>
    </row>
    <row r="78" spans="1:32" x14ac:dyDescent="0.2">
      <c r="A78" s="158" t="s">
        <v>230</v>
      </c>
      <c r="B78" s="158">
        <v>0.10639999806880951</v>
      </c>
      <c r="C78" s="158">
        <v>0.10589999705553055</v>
      </c>
      <c r="D78" s="158">
        <v>0.10570000112056732</v>
      </c>
      <c r="E78" s="158">
        <v>0.10570000112056732</v>
      </c>
      <c r="F78" s="158">
        <v>0.1054999977350235</v>
      </c>
      <c r="G78" s="158">
        <v>0.10559999942779541</v>
      </c>
      <c r="H78" s="158">
        <v>0.10540000349283218</v>
      </c>
      <c r="I78" s="158">
        <v>0.10530000180006027</v>
      </c>
      <c r="J78" s="158">
        <v>0.10509999841451645</v>
      </c>
      <c r="K78" s="158">
        <v>0.10520000010728836</v>
      </c>
      <c r="L78" s="158">
        <v>0.10520000010728836</v>
      </c>
      <c r="M78" s="158">
        <v>0.10499999672174454</v>
      </c>
      <c r="N78" s="158">
        <v>0.10480000078678131</v>
      </c>
      <c r="O78" s="158">
        <v>0.10450000315904617</v>
      </c>
      <c r="P78" s="158">
        <v>0.10429999977350235</v>
      </c>
      <c r="Q78" s="158">
        <v>0.10429999977350235</v>
      </c>
      <c r="R78" s="158">
        <v>0.10429999977350235</v>
      </c>
      <c r="S78" s="158">
        <v>0.10440000146627426</v>
      </c>
      <c r="T78" s="158">
        <v>0.10459999740123749</v>
      </c>
      <c r="U78" s="158">
        <v>0.1046999990940094</v>
      </c>
      <c r="V78" s="158">
        <f t="shared" si="1"/>
        <v>0.10520000010728836</v>
      </c>
      <c r="W78" s="158">
        <v>0.10570000112056732</v>
      </c>
      <c r="X78" s="158">
        <v>0.10540000349283218</v>
      </c>
      <c r="Y78" s="158">
        <v>0.10509999841451645</v>
      </c>
      <c r="Z78" s="158">
        <v>0.10499999672174454</v>
      </c>
      <c r="AA78" s="158">
        <v>0.10480000078678131</v>
      </c>
      <c r="AB78" s="158">
        <v>0.1046999990940094</v>
      </c>
      <c r="AC78" s="158">
        <v>0.10459999740123749</v>
      </c>
      <c r="AD78" s="158">
        <v>0.10459999740123749</v>
      </c>
      <c r="AE78" s="158">
        <v>0.1046999990940094</v>
      </c>
      <c r="AF78" s="158">
        <v>0.10400000214576721</v>
      </c>
    </row>
    <row r="79" spans="1:32" x14ac:dyDescent="0.2">
      <c r="A79" s="158" t="s">
        <v>231</v>
      </c>
      <c r="B79" s="158">
        <v>0.10719999670982361</v>
      </c>
      <c r="C79" s="158">
        <v>0.10679999738931656</v>
      </c>
      <c r="D79" s="158">
        <v>0.10670000314712524</v>
      </c>
      <c r="E79" s="158">
        <v>0.10660000145435333</v>
      </c>
      <c r="F79" s="158">
        <v>0.10660000145435333</v>
      </c>
      <c r="G79" s="158">
        <v>0.10679999738931656</v>
      </c>
      <c r="H79" s="158">
        <v>0.10670000314712524</v>
      </c>
      <c r="I79" s="158">
        <v>0.10670000314712524</v>
      </c>
      <c r="J79" s="158">
        <v>0.10660000145435333</v>
      </c>
      <c r="K79" s="158">
        <v>0.10679999738931656</v>
      </c>
      <c r="L79" s="158">
        <v>0.10660000145435333</v>
      </c>
      <c r="M79" s="158">
        <v>0.10639999806880951</v>
      </c>
      <c r="N79" s="158">
        <v>0.10620000213384628</v>
      </c>
      <c r="O79" s="158">
        <v>0.10599999874830246</v>
      </c>
      <c r="P79" s="158">
        <v>0.10580000281333923</v>
      </c>
      <c r="Q79" s="158">
        <v>0.10580000281333923</v>
      </c>
      <c r="R79" s="158">
        <v>0.10580000281333923</v>
      </c>
      <c r="S79" s="158">
        <v>0.10599999874830246</v>
      </c>
      <c r="T79" s="158">
        <v>0.10620000213384628</v>
      </c>
      <c r="U79" s="158">
        <v>0.1062999963760376</v>
      </c>
      <c r="V79" s="158">
        <f t="shared" si="1"/>
        <v>0.1062999963760376</v>
      </c>
      <c r="W79" s="158">
        <v>0.1062999963760376</v>
      </c>
      <c r="X79" s="158">
        <v>0.10610000044107437</v>
      </c>
      <c r="Y79" s="158">
        <v>0.10580000281333923</v>
      </c>
      <c r="Z79" s="158">
        <v>0.10559999942779541</v>
      </c>
      <c r="AA79" s="158">
        <v>0.10540000349283218</v>
      </c>
      <c r="AB79" s="158">
        <v>0.10530000180006027</v>
      </c>
      <c r="AC79" s="158">
        <v>0.10520000010728836</v>
      </c>
      <c r="AD79" s="158">
        <v>0.10520000010728836</v>
      </c>
      <c r="AE79" s="158">
        <v>0.10530000180006027</v>
      </c>
      <c r="AF79" s="158">
        <v>0.10530000180006027</v>
      </c>
    </row>
    <row r="80" spans="1:32" x14ac:dyDescent="0.2">
      <c r="A80" s="158" t="s">
        <v>232</v>
      </c>
      <c r="B80" s="158">
        <v>0.10719999670982361</v>
      </c>
      <c r="C80" s="158">
        <v>0.10660000145435333</v>
      </c>
      <c r="D80" s="158">
        <v>0.1062999963760376</v>
      </c>
      <c r="E80" s="158">
        <v>0.1062999963760376</v>
      </c>
      <c r="F80" s="158">
        <v>0.10620000213384628</v>
      </c>
      <c r="G80" s="158">
        <v>0.1062999963760376</v>
      </c>
      <c r="H80" s="158">
        <v>0.10620000213384628</v>
      </c>
      <c r="I80" s="158">
        <v>0.10610000044107437</v>
      </c>
      <c r="J80" s="158">
        <v>0.10599999874830246</v>
      </c>
      <c r="K80" s="158">
        <v>0.10599999874830246</v>
      </c>
      <c r="L80" s="158">
        <v>0.10599999874830246</v>
      </c>
      <c r="M80" s="158">
        <v>0.10570000112056732</v>
      </c>
      <c r="N80" s="158">
        <v>0.1054999977350235</v>
      </c>
      <c r="O80" s="158">
        <v>0.10520000010728836</v>
      </c>
      <c r="P80" s="158">
        <v>0.10499999672174454</v>
      </c>
      <c r="Q80" s="158">
        <v>0.10499999672174454</v>
      </c>
      <c r="R80" s="158">
        <v>0.10499999672174454</v>
      </c>
      <c r="S80" s="158">
        <v>0.10520000010728836</v>
      </c>
      <c r="T80" s="158">
        <v>0.10540000349283218</v>
      </c>
      <c r="U80" s="158">
        <v>0.1054999977350235</v>
      </c>
      <c r="V80" s="158">
        <f t="shared" si="1"/>
        <v>0.10545000061392784</v>
      </c>
      <c r="W80" s="158">
        <v>0.10540000349283218</v>
      </c>
      <c r="X80" s="158">
        <v>0.10520000010728836</v>
      </c>
      <c r="Y80" s="158">
        <v>0.10490000247955322</v>
      </c>
      <c r="Z80" s="158">
        <v>0.10459999740123749</v>
      </c>
      <c r="AA80" s="158">
        <v>0.10440000146627426</v>
      </c>
      <c r="AB80" s="158">
        <v>0.10429999977350235</v>
      </c>
      <c r="AC80" s="158">
        <v>0.10419999808073044</v>
      </c>
      <c r="AD80" s="158">
        <v>0.10419999808073044</v>
      </c>
      <c r="AE80" s="158">
        <v>0.10419999808073044</v>
      </c>
      <c r="AF80" s="158">
        <v>0.10440000146627426</v>
      </c>
    </row>
    <row r="81" spans="1:32" x14ac:dyDescent="0.2">
      <c r="A81" s="158" t="s">
        <v>233</v>
      </c>
      <c r="B81" s="158">
        <v>0.10769999772310257</v>
      </c>
      <c r="C81" s="158">
        <v>0.10729999840259552</v>
      </c>
      <c r="D81" s="158">
        <v>0.10689999908208847</v>
      </c>
      <c r="E81" s="158">
        <v>0.10689999908208847</v>
      </c>
      <c r="F81" s="158">
        <v>0.10689999908208847</v>
      </c>
      <c r="G81" s="158">
        <v>0.10719999670982361</v>
      </c>
      <c r="H81" s="158">
        <v>0.10710000246763229</v>
      </c>
      <c r="I81" s="158">
        <v>0.10710000246763229</v>
      </c>
      <c r="J81" s="158">
        <v>0.10700000077486038</v>
      </c>
      <c r="K81" s="158">
        <v>0.10700000077486038</v>
      </c>
      <c r="L81" s="158">
        <v>0.10689999908208847</v>
      </c>
      <c r="M81" s="158">
        <v>0.10670000314712524</v>
      </c>
      <c r="N81" s="158">
        <v>0.10639999806880951</v>
      </c>
      <c r="O81" s="158">
        <v>0.10620000213384628</v>
      </c>
      <c r="P81" s="158">
        <v>0.10599999874830246</v>
      </c>
      <c r="Q81" s="158">
        <v>0.10589999705553055</v>
      </c>
      <c r="R81" s="158">
        <v>0.10599999874830246</v>
      </c>
      <c r="S81" s="158">
        <v>0.10620000213384628</v>
      </c>
      <c r="T81" s="158">
        <v>0.10670000314712524</v>
      </c>
      <c r="U81" s="158">
        <v>0.10660000145435333</v>
      </c>
      <c r="V81" s="158">
        <f t="shared" si="1"/>
        <v>0.10660000145435333</v>
      </c>
      <c r="W81" s="158">
        <v>0.10660000145435333</v>
      </c>
      <c r="X81" s="158">
        <v>0.1062999963760376</v>
      </c>
      <c r="Y81" s="158">
        <v>0.10620000213384628</v>
      </c>
      <c r="Z81" s="158">
        <v>0.10559999942779541</v>
      </c>
      <c r="AA81" s="158">
        <v>0.1054999977350235</v>
      </c>
      <c r="AB81" s="158">
        <v>0.10530000180006027</v>
      </c>
      <c r="AC81" s="158">
        <v>0.10509999841451645</v>
      </c>
      <c r="AD81" s="158">
        <v>0.10509999841451645</v>
      </c>
      <c r="AE81" s="158">
        <v>0.10520000010728836</v>
      </c>
      <c r="AF81" s="158">
        <v>0.10530000180006027</v>
      </c>
    </row>
    <row r="82" spans="1:32" x14ac:dyDescent="0.2">
      <c r="A82" s="158" t="s">
        <v>234</v>
      </c>
      <c r="B82" s="158">
        <v>0.10710000246763229</v>
      </c>
      <c r="C82" s="158">
        <v>0.10679999738931656</v>
      </c>
      <c r="D82" s="158">
        <v>0.10639999806880951</v>
      </c>
      <c r="E82" s="158">
        <v>0.10639999806880951</v>
      </c>
      <c r="F82" s="158">
        <v>0.1062999963760376</v>
      </c>
      <c r="G82" s="158">
        <v>0.10649999976158142</v>
      </c>
      <c r="H82" s="158">
        <v>0.10639999806880951</v>
      </c>
      <c r="I82" s="158">
        <v>0.1062999963760376</v>
      </c>
      <c r="J82" s="158">
        <v>0.10639999806880951</v>
      </c>
      <c r="K82" s="158">
        <v>0.10620000213384628</v>
      </c>
      <c r="L82" s="158">
        <v>0.10620000213384628</v>
      </c>
      <c r="M82" s="158">
        <v>0.10599999874830246</v>
      </c>
      <c r="N82" s="158">
        <v>0.10580000281333923</v>
      </c>
      <c r="O82" s="158">
        <v>0.1054999977350235</v>
      </c>
      <c r="P82" s="158">
        <v>0.10530000180006027</v>
      </c>
      <c r="Q82" s="158">
        <v>0.10530000180006027</v>
      </c>
      <c r="R82" s="158">
        <v>0.10540000349283218</v>
      </c>
      <c r="S82" s="158">
        <v>0.10559999942779541</v>
      </c>
      <c r="T82" s="158">
        <v>0.10580000281333923</v>
      </c>
      <c r="U82" s="158">
        <v>0.10589999705553055</v>
      </c>
      <c r="V82" s="158">
        <f t="shared" si="1"/>
        <v>0.10589999705553055</v>
      </c>
      <c r="W82" s="158">
        <v>0.10589999705553055</v>
      </c>
      <c r="X82" s="158">
        <v>0.10570000112056732</v>
      </c>
      <c r="Y82" s="158">
        <v>0.10530000180006027</v>
      </c>
      <c r="Z82" s="158">
        <v>0.10509999841451645</v>
      </c>
      <c r="AA82" s="158">
        <v>0.10520000010728836</v>
      </c>
      <c r="AB82" s="158">
        <v>0.10480000078678131</v>
      </c>
      <c r="AC82" s="158">
        <v>0.10459999740123749</v>
      </c>
      <c r="AD82" s="158">
        <v>0.1046999990940094</v>
      </c>
      <c r="AE82" s="158">
        <v>0.1046999990940094</v>
      </c>
      <c r="AF82" s="158">
        <v>0.10509999841451645</v>
      </c>
    </row>
    <row r="83" spans="1:32" x14ac:dyDescent="0.2">
      <c r="A83" s="158" t="s">
        <v>235</v>
      </c>
      <c r="B83" s="158">
        <v>0.10719999670982361</v>
      </c>
      <c r="C83" s="158">
        <v>0.10679999738931656</v>
      </c>
      <c r="D83" s="158">
        <v>0.10670000314712524</v>
      </c>
      <c r="E83" s="158">
        <v>0.10649999976158142</v>
      </c>
      <c r="F83" s="158">
        <v>0.10639999806880951</v>
      </c>
      <c r="G83" s="158">
        <v>0.10670000314712524</v>
      </c>
      <c r="H83" s="158">
        <v>0.10660000145435333</v>
      </c>
      <c r="I83" s="158">
        <v>0.10639999806880951</v>
      </c>
      <c r="J83" s="158">
        <v>0.10639999806880951</v>
      </c>
      <c r="K83" s="158">
        <v>0.10639999806880951</v>
      </c>
      <c r="L83" s="158">
        <v>0.10639999806880951</v>
      </c>
      <c r="M83" s="158">
        <v>0.10610000044107437</v>
      </c>
      <c r="N83" s="158">
        <v>0.10580000281333923</v>
      </c>
      <c r="O83" s="158">
        <v>0.10559999942779541</v>
      </c>
      <c r="P83" s="158">
        <v>0.10540000349283218</v>
      </c>
      <c r="Q83" s="158">
        <v>0.10540000349283218</v>
      </c>
      <c r="R83" s="158">
        <v>0.1054999977350235</v>
      </c>
      <c r="S83" s="158">
        <v>0.10559999942779541</v>
      </c>
      <c r="T83" s="158">
        <v>0.10589999705553055</v>
      </c>
      <c r="U83" s="158">
        <v>0.10599999874830246</v>
      </c>
      <c r="V83" s="158">
        <f t="shared" si="1"/>
        <v>0.10604999959468842</v>
      </c>
      <c r="W83" s="158">
        <v>0.10610000044107437</v>
      </c>
      <c r="X83" s="158">
        <v>0.10580000281333923</v>
      </c>
      <c r="Y83" s="158">
        <v>0.1054999977350235</v>
      </c>
      <c r="Z83" s="158">
        <v>0.10520000010728836</v>
      </c>
      <c r="AA83" s="158">
        <v>0.10499999672174454</v>
      </c>
      <c r="AB83" s="158">
        <v>0.10490000247955322</v>
      </c>
      <c r="AC83" s="158">
        <v>0.1046999990940094</v>
      </c>
      <c r="AD83" s="158">
        <v>0.10480000078678131</v>
      </c>
      <c r="AE83" s="158">
        <v>0.10480000078678131</v>
      </c>
      <c r="AF83" s="158">
        <v>0.10499999672174454</v>
      </c>
    </row>
    <row r="84" spans="1:32" x14ac:dyDescent="0.2">
      <c r="A84" s="158" t="s">
        <v>236</v>
      </c>
      <c r="B84" s="158">
        <v>0.10639999806880951</v>
      </c>
      <c r="C84" s="158">
        <v>0.10599999874830246</v>
      </c>
      <c r="D84" s="158">
        <v>0.10580000281333923</v>
      </c>
      <c r="E84" s="158">
        <v>0.10580000281333923</v>
      </c>
      <c r="F84" s="158">
        <v>0.10610000044107437</v>
      </c>
      <c r="G84" s="158">
        <v>0.10620000213384628</v>
      </c>
      <c r="H84" s="158">
        <v>0.10610000044107437</v>
      </c>
      <c r="I84" s="158">
        <v>0.10599999874830246</v>
      </c>
      <c r="J84" s="158">
        <v>0.10580000281333923</v>
      </c>
      <c r="K84" s="158">
        <v>0.10580000281333923</v>
      </c>
      <c r="L84" s="158">
        <v>0.10580000281333923</v>
      </c>
      <c r="M84" s="158">
        <v>0.10559999942779541</v>
      </c>
      <c r="N84" s="158">
        <v>0.10530000180006027</v>
      </c>
      <c r="O84" s="158">
        <v>0.10490000247955322</v>
      </c>
      <c r="P84" s="158">
        <v>0.10490000247955322</v>
      </c>
      <c r="Q84" s="158">
        <v>0.10480000078678131</v>
      </c>
      <c r="R84" s="158">
        <v>0.10480000078678131</v>
      </c>
      <c r="S84" s="158">
        <v>0.10509999841451645</v>
      </c>
      <c r="T84" s="158">
        <v>0.10530000180006027</v>
      </c>
      <c r="U84" s="158">
        <v>0.10559999942779541</v>
      </c>
      <c r="V84" s="158">
        <f t="shared" si="1"/>
        <v>0.10619999840855598</v>
      </c>
      <c r="W84" s="158">
        <v>0.10679999738931656</v>
      </c>
      <c r="X84" s="158">
        <v>0.1062999963760376</v>
      </c>
      <c r="Y84" s="158">
        <v>0.10589999705553055</v>
      </c>
      <c r="Z84" s="158">
        <v>0.10580000281333923</v>
      </c>
      <c r="AA84" s="158">
        <v>0.10570000112056732</v>
      </c>
      <c r="AB84" s="158">
        <v>0.10540000349283218</v>
      </c>
      <c r="AC84" s="158">
        <v>0.1054999977350235</v>
      </c>
      <c r="AD84" s="158">
        <v>0.10520000010728836</v>
      </c>
      <c r="AE84" s="158">
        <v>0.10540000349283218</v>
      </c>
      <c r="AF84" s="158">
        <v>0.10480000078678131</v>
      </c>
    </row>
    <row r="85" spans="1:32" x14ac:dyDescent="0.2">
      <c r="A85" s="158" t="s">
        <v>237</v>
      </c>
      <c r="B85" s="158">
        <v>0.10670000314712524</v>
      </c>
      <c r="C85" s="158">
        <v>0.1062999963760376</v>
      </c>
      <c r="D85" s="158">
        <v>0.10620000213384628</v>
      </c>
      <c r="E85" s="158">
        <v>0.10610000044107437</v>
      </c>
      <c r="F85" s="158">
        <v>0.10599999874830246</v>
      </c>
      <c r="G85" s="158">
        <v>0.1062999963760376</v>
      </c>
      <c r="H85" s="158">
        <v>0.10620000213384628</v>
      </c>
      <c r="I85" s="158">
        <v>0.10610000044107437</v>
      </c>
      <c r="J85" s="158">
        <v>0.10649999976158142</v>
      </c>
      <c r="K85" s="158">
        <v>0.10599999874830246</v>
      </c>
      <c r="L85" s="158">
        <v>0.10610000044107437</v>
      </c>
      <c r="M85" s="158">
        <v>0.10589999705553055</v>
      </c>
      <c r="N85" s="158">
        <v>0.1054999977350235</v>
      </c>
      <c r="O85" s="158">
        <v>0.10520000010728836</v>
      </c>
      <c r="P85" s="158">
        <v>0.10499999672174454</v>
      </c>
      <c r="Q85" s="158">
        <v>0.10499999672174454</v>
      </c>
      <c r="R85" s="158">
        <v>0.10509999841451645</v>
      </c>
      <c r="S85" s="158">
        <v>0.10520000010728836</v>
      </c>
      <c r="T85" s="158">
        <v>0.1054999977350235</v>
      </c>
      <c r="U85" s="158">
        <v>0.10559999942779541</v>
      </c>
      <c r="V85" s="158">
        <f t="shared" si="1"/>
        <v>0.10559999942779541</v>
      </c>
      <c r="W85" s="158">
        <v>0.10559999942779541</v>
      </c>
      <c r="X85" s="158">
        <v>0.10540000349283218</v>
      </c>
      <c r="Y85" s="158">
        <v>0.10509999841451645</v>
      </c>
      <c r="Z85" s="158">
        <v>0.10480000078678131</v>
      </c>
      <c r="AA85" s="158">
        <v>0.10459999740123749</v>
      </c>
      <c r="AB85" s="158">
        <v>0.10440000146627426</v>
      </c>
      <c r="AC85" s="158">
        <v>0.10429999977350235</v>
      </c>
      <c r="AD85" s="158">
        <v>0.10429999977350235</v>
      </c>
      <c r="AE85" s="158">
        <v>0.10440000146627426</v>
      </c>
      <c r="AF85" s="158">
        <v>0.10459999740123749</v>
      </c>
    </row>
    <row r="86" spans="1:32" x14ac:dyDescent="0.2">
      <c r="A86" s="158" t="s">
        <v>238</v>
      </c>
      <c r="B86" s="158">
        <v>0.10679999738931656</v>
      </c>
      <c r="C86" s="158">
        <v>0.10649999976158142</v>
      </c>
      <c r="D86" s="158">
        <v>0.10639999806880951</v>
      </c>
      <c r="E86" s="158">
        <v>0.1062999963760376</v>
      </c>
      <c r="F86" s="158">
        <v>0.10620000213384628</v>
      </c>
      <c r="G86" s="158">
        <v>0.10639999806880951</v>
      </c>
      <c r="H86" s="158">
        <v>0.1062999963760376</v>
      </c>
      <c r="I86" s="158">
        <v>0.10620000213384628</v>
      </c>
      <c r="J86" s="158">
        <v>0.10610000044107437</v>
      </c>
      <c r="K86" s="158">
        <v>0.10610000044107437</v>
      </c>
      <c r="L86" s="158">
        <v>0.10610000044107437</v>
      </c>
      <c r="M86" s="158">
        <v>0.10580000281333923</v>
      </c>
      <c r="N86" s="158">
        <v>0.10559999942779541</v>
      </c>
      <c r="O86" s="158">
        <v>0.1054999977350235</v>
      </c>
      <c r="P86" s="158">
        <v>0.10509999841451645</v>
      </c>
      <c r="Q86" s="158">
        <v>0.10509999841451645</v>
      </c>
      <c r="R86" s="158">
        <v>0.10520000010728836</v>
      </c>
      <c r="S86" s="158">
        <v>0.10530000180006027</v>
      </c>
      <c r="T86" s="158">
        <v>0.10559999942779541</v>
      </c>
      <c r="U86" s="158">
        <v>0.10559999942779541</v>
      </c>
      <c r="V86" s="158">
        <f t="shared" si="1"/>
        <v>0.10565000027418137</v>
      </c>
      <c r="W86" s="158">
        <v>0.10570000112056732</v>
      </c>
      <c r="X86" s="158">
        <v>0.10540000349283218</v>
      </c>
      <c r="Y86" s="158">
        <v>0.10509999841451645</v>
      </c>
      <c r="Z86" s="158">
        <v>0.10490000247955322</v>
      </c>
      <c r="AA86" s="158">
        <v>0.10459999740123749</v>
      </c>
      <c r="AB86" s="158">
        <v>0.10450000315904617</v>
      </c>
      <c r="AC86" s="158">
        <v>0.10440000146627426</v>
      </c>
      <c r="AD86" s="158">
        <v>0.10440000146627426</v>
      </c>
      <c r="AE86" s="158">
        <v>0.10440000146627426</v>
      </c>
      <c r="AF86" s="158">
        <v>0.10459999740123749</v>
      </c>
    </row>
    <row r="87" spans="1:32" x14ac:dyDescent="0.2">
      <c r="A87" s="158" t="s">
        <v>239</v>
      </c>
      <c r="B87" s="158">
        <v>0.10679999738931656</v>
      </c>
      <c r="C87" s="158">
        <v>0.1062999963760376</v>
      </c>
      <c r="D87" s="158">
        <v>0.10620000213384628</v>
      </c>
      <c r="E87" s="158">
        <v>0.10610000044107437</v>
      </c>
      <c r="F87" s="158">
        <v>0.10610000044107437</v>
      </c>
      <c r="G87" s="158">
        <v>0.10620000213384628</v>
      </c>
      <c r="H87" s="158">
        <v>0.10620000213384628</v>
      </c>
      <c r="I87" s="158">
        <v>0.10599999874830246</v>
      </c>
      <c r="J87" s="158">
        <v>0.10589999705553055</v>
      </c>
      <c r="K87" s="158">
        <v>0.10589999705553055</v>
      </c>
      <c r="L87" s="158">
        <v>0.10589999705553055</v>
      </c>
      <c r="M87" s="158">
        <v>0.10570000112056732</v>
      </c>
      <c r="N87" s="158">
        <v>0.10540000349283218</v>
      </c>
      <c r="O87" s="158">
        <v>0.10520000010728836</v>
      </c>
      <c r="P87" s="158">
        <v>0.10490000247955322</v>
      </c>
      <c r="Q87" s="158">
        <v>0.10499999672174454</v>
      </c>
      <c r="R87" s="158">
        <v>0.10499999672174454</v>
      </c>
      <c r="S87" s="158">
        <v>0.10520000010728836</v>
      </c>
      <c r="T87" s="158">
        <v>0.1054999977350235</v>
      </c>
      <c r="U87" s="158">
        <v>0.1054999977350235</v>
      </c>
      <c r="V87" s="158">
        <f t="shared" si="1"/>
        <v>0.1054999977350235</v>
      </c>
      <c r="W87" s="158">
        <v>0.1054999977350235</v>
      </c>
      <c r="X87" s="158">
        <v>0.10520000010728836</v>
      </c>
      <c r="Y87" s="158">
        <v>0.10499999672174454</v>
      </c>
      <c r="Z87" s="158">
        <v>0.1046999990940094</v>
      </c>
      <c r="AA87" s="158">
        <v>0.10450000315904617</v>
      </c>
      <c r="AB87" s="158">
        <v>0.10440000146627426</v>
      </c>
      <c r="AC87" s="158">
        <v>0.10429999977350235</v>
      </c>
      <c r="AD87" s="158">
        <v>0.10419999808073044</v>
      </c>
      <c r="AE87" s="158">
        <v>0.10429999977350235</v>
      </c>
      <c r="AF87" s="158">
        <v>0.10450000315904617</v>
      </c>
    </row>
    <row r="88" spans="1:32" x14ac:dyDescent="0.2">
      <c r="A88" s="158" t="s">
        <v>240</v>
      </c>
      <c r="B88" s="158">
        <v>0.10649999976158142</v>
      </c>
      <c r="C88" s="158">
        <v>0.10610000044107437</v>
      </c>
      <c r="D88" s="158">
        <v>0.10589999705553055</v>
      </c>
      <c r="E88" s="158">
        <v>0.10589999705553055</v>
      </c>
      <c r="F88" s="158">
        <v>0.10589999705553055</v>
      </c>
      <c r="G88" s="158">
        <v>0.10599999874830246</v>
      </c>
      <c r="H88" s="158">
        <v>0.10620000213384628</v>
      </c>
      <c r="I88" s="158">
        <v>0.10570000112056732</v>
      </c>
      <c r="J88" s="158">
        <v>0.10570000112056732</v>
      </c>
      <c r="K88" s="158">
        <v>0.10559999942779541</v>
      </c>
      <c r="L88" s="158">
        <v>0.10570000112056732</v>
      </c>
      <c r="M88" s="158">
        <v>0.10540000349283218</v>
      </c>
      <c r="N88" s="158">
        <v>0.10520000010728836</v>
      </c>
      <c r="O88" s="158">
        <v>0.10490000247955322</v>
      </c>
      <c r="P88" s="158">
        <v>0.1046999990940094</v>
      </c>
      <c r="Q88" s="158">
        <v>0.1046999990940094</v>
      </c>
      <c r="R88" s="158">
        <v>0.1046999990940094</v>
      </c>
      <c r="S88" s="158">
        <v>0.10509999841451645</v>
      </c>
      <c r="T88" s="158">
        <v>0.10520000010728836</v>
      </c>
      <c r="U88" s="158">
        <v>0.10530000180006027</v>
      </c>
      <c r="V88" s="158">
        <f t="shared" si="1"/>
        <v>0.10530000180006027</v>
      </c>
      <c r="W88" s="158">
        <v>0.10530000180006027</v>
      </c>
      <c r="X88" s="158">
        <v>0.10499999672174454</v>
      </c>
      <c r="Y88" s="158">
        <v>0.10480000078678131</v>
      </c>
      <c r="Z88" s="158">
        <v>0.10450000315904617</v>
      </c>
      <c r="AA88" s="158">
        <v>0.10419999808073044</v>
      </c>
      <c r="AB88" s="158">
        <v>0.10409999638795853</v>
      </c>
      <c r="AC88" s="158">
        <v>0.10400000214576721</v>
      </c>
      <c r="AD88" s="158">
        <v>0.10400000214576721</v>
      </c>
      <c r="AE88" s="158">
        <v>0.10409999638795853</v>
      </c>
      <c r="AF88" s="158">
        <v>0.10419999808073044</v>
      </c>
    </row>
    <row r="89" spans="1:32" x14ac:dyDescent="0.2">
      <c r="A89" s="158" t="s">
        <v>241</v>
      </c>
      <c r="B89" s="158">
        <v>0.10740000009536743</v>
      </c>
      <c r="C89" s="158">
        <v>0.10700000077486038</v>
      </c>
      <c r="D89" s="158">
        <v>0.10700000077486038</v>
      </c>
      <c r="E89" s="158">
        <v>0.10670000314712524</v>
      </c>
      <c r="F89" s="158">
        <v>0.10660000145435333</v>
      </c>
      <c r="G89" s="158">
        <v>0.10689999908208847</v>
      </c>
      <c r="H89" s="158">
        <v>0.10670000314712524</v>
      </c>
      <c r="I89" s="158">
        <v>0.10660000145435333</v>
      </c>
      <c r="J89" s="158">
        <v>0.10649999976158142</v>
      </c>
      <c r="K89" s="158">
        <v>0.10649999976158142</v>
      </c>
      <c r="L89" s="158">
        <v>0.10679999738931656</v>
      </c>
      <c r="M89" s="158">
        <v>0.1062999963760376</v>
      </c>
      <c r="N89" s="158">
        <v>0.10599999874830246</v>
      </c>
      <c r="O89" s="158">
        <v>0.10580000281333923</v>
      </c>
      <c r="P89" s="158">
        <v>0.1054999977350235</v>
      </c>
      <c r="Q89" s="158">
        <v>0.1054999977350235</v>
      </c>
      <c r="R89" s="158">
        <v>0.10559999942779541</v>
      </c>
      <c r="S89" s="158">
        <v>0.10570000112056732</v>
      </c>
      <c r="T89" s="158">
        <v>0.10599999874830246</v>
      </c>
      <c r="U89" s="158">
        <v>0.10610000044107437</v>
      </c>
      <c r="V89" s="158">
        <f t="shared" si="1"/>
        <v>0.10610000044107437</v>
      </c>
      <c r="W89" s="158">
        <v>0.10610000044107437</v>
      </c>
      <c r="X89" s="158">
        <v>0.10580000281333923</v>
      </c>
      <c r="Y89" s="158">
        <v>0.1054999977350235</v>
      </c>
      <c r="Z89" s="158">
        <v>0.10530000180006027</v>
      </c>
      <c r="AA89" s="158">
        <v>0.10499999672174454</v>
      </c>
      <c r="AB89" s="158">
        <v>0.10490000247955322</v>
      </c>
      <c r="AC89" s="158">
        <v>0.10480000078678131</v>
      </c>
      <c r="AD89" s="158">
        <v>0.10490000247955322</v>
      </c>
      <c r="AE89" s="158">
        <v>0.10480000078678131</v>
      </c>
      <c r="AF89" s="158">
        <v>0.10499999672174454</v>
      </c>
    </row>
    <row r="90" spans="1:32" x14ac:dyDescent="0.2">
      <c r="A90" s="158" t="s">
        <v>242</v>
      </c>
      <c r="B90" s="158">
        <v>0.10719999670982361</v>
      </c>
      <c r="C90" s="158">
        <v>0.10660000145435333</v>
      </c>
      <c r="D90" s="158">
        <v>0.10639999806880951</v>
      </c>
      <c r="E90" s="158">
        <v>0.10639999806880951</v>
      </c>
      <c r="F90" s="158">
        <v>0.10620000213384628</v>
      </c>
      <c r="G90" s="158">
        <v>0.10639999806880951</v>
      </c>
      <c r="H90" s="158">
        <v>0.10620000213384628</v>
      </c>
      <c r="I90" s="158">
        <v>0.10610000044107437</v>
      </c>
      <c r="J90" s="158">
        <v>0.10599999874830246</v>
      </c>
      <c r="K90" s="158">
        <v>0.10610000044107437</v>
      </c>
      <c r="L90" s="158">
        <v>0.10599999874830246</v>
      </c>
      <c r="M90" s="158">
        <v>0.10580000281333923</v>
      </c>
      <c r="N90" s="158">
        <v>0.1054999977350235</v>
      </c>
      <c r="O90" s="158">
        <v>0.10540000349283218</v>
      </c>
      <c r="P90" s="158">
        <v>0.10499999672174454</v>
      </c>
      <c r="Q90" s="158">
        <v>0.10509999841451645</v>
      </c>
      <c r="R90" s="158">
        <v>0.10509999841451645</v>
      </c>
      <c r="S90" s="158">
        <v>0.10520000010728836</v>
      </c>
      <c r="T90" s="158">
        <v>0.1054999977350235</v>
      </c>
      <c r="U90" s="158">
        <v>0.10559999942779541</v>
      </c>
      <c r="V90" s="158">
        <f t="shared" si="1"/>
        <v>0.10559999942779541</v>
      </c>
      <c r="W90" s="158">
        <v>0.10559999942779541</v>
      </c>
      <c r="X90" s="158">
        <v>0.10540000349283218</v>
      </c>
      <c r="Y90" s="158">
        <v>0.10509999841451645</v>
      </c>
      <c r="Z90" s="158">
        <v>0.10490000247955322</v>
      </c>
      <c r="AA90" s="158">
        <v>0.10459999740123749</v>
      </c>
      <c r="AB90" s="158">
        <v>0.10440000146627426</v>
      </c>
      <c r="AC90" s="158">
        <v>0.10440000146627426</v>
      </c>
      <c r="AD90" s="158">
        <v>0.10440000146627426</v>
      </c>
      <c r="AE90" s="158">
        <v>0.10440000146627426</v>
      </c>
      <c r="AF90" s="158">
        <v>0.10459999740123749</v>
      </c>
    </row>
    <row r="91" spans="1:32" x14ac:dyDescent="0.2">
      <c r="A91" s="158" t="s">
        <v>243</v>
      </c>
      <c r="B91" s="158">
        <v>0.10740000009536743</v>
      </c>
      <c r="C91" s="158">
        <v>0.10679999738931656</v>
      </c>
      <c r="D91" s="158">
        <v>0.10660000145435333</v>
      </c>
      <c r="E91" s="158">
        <v>0.10639999806880951</v>
      </c>
      <c r="F91" s="158">
        <v>0.1062999963760376</v>
      </c>
      <c r="G91" s="158">
        <v>0.10649999976158142</v>
      </c>
      <c r="H91" s="158">
        <v>0.1062999963760376</v>
      </c>
      <c r="I91" s="158">
        <v>0.10620000213384628</v>
      </c>
      <c r="J91" s="158">
        <v>0.10610000044107437</v>
      </c>
      <c r="K91" s="158">
        <v>0.10610000044107437</v>
      </c>
      <c r="L91" s="158">
        <v>0.10599999874830246</v>
      </c>
      <c r="M91" s="158">
        <v>0.10580000281333923</v>
      </c>
      <c r="N91" s="158">
        <v>0.1054999977350235</v>
      </c>
      <c r="O91" s="158">
        <v>0.10530000180006027</v>
      </c>
      <c r="P91" s="158">
        <v>0.10499999672174454</v>
      </c>
      <c r="Q91" s="158">
        <v>0.10499999672174454</v>
      </c>
      <c r="R91" s="158">
        <v>0.10509999841451645</v>
      </c>
      <c r="S91" s="158">
        <v>0.10520000010728836</v>
      </c>
      <c r="T91" s="158">
        <v>0.1054999977350235</v>
      </c>
      <c r="U91" s="158">
        <v>0.10559999942779541</v>
      </c>
      <c r="V91" s="158">
        <f t="shared" si="1"/>
        <v>0.10559999942779541</v>
      </c>
      <c r="W91" s="158">
        <v>0.10559999942779541</v>
      </c>
      <c r="X91" s="158">
        <v>0.10530000180006027</v>
      </c>
      <c r="Y91" s="158">
        <v>0.10509999841451645</v>
      </c>
      <c r="Z91" s="158">
        <v>0.10480000078678131</v>
      </c>
      <c r="AA91" s="158">
        <v>0.10450000315904617</v>
      </c>
      <c r="AB91" s="158">
        <v>0.10440000146627426</v>
      </c>
      <c r="AC91" s="158">
        <v>0.10429999977350235</v>
      </c>
      <c r="AD91" s="158">
        <v>0.10429999977350235</v>
      </c>
      <c r="AE91" s="158">
        <v>0.10429999977350235</v>
      </c>
      <c r="AF91" s="158">
        <v>0.10450000315904617</v>
      </c>
    </row>
    <row r="92" spans="1:32" x14ac:dyDescent="0.2">
      <c r="A92" s="158" t="s">
        <v>244</v>
      </c>
      <c r="B92" s="158">
        <v>0.10750000178813934</v>
      </c>
      <c r="C92" s="158">
        <v>0.10639999806880951</v>
      </c>
      <c r="D92" s="158">
        <v>0.10639999806880951</v>
      </c>
      <c r="E92" s="158">
        <v>0.10670000314712524</v>
      </c>
      <c r="F92" s="158">
        <v>0.10639999806880951</v>
      </c>
      <c r="G92" s="158">
        <v>0.10660000145435333</v>
      </c>
      <c r="H92" s="158">
        <v>0.1062999963760376</v>
      </c>
      <c r="I92" s="158">
        <v>0.10620000213384628</v>
      </c>
      <c r="J92" s="158">
        <v>0.10599999874830246</v>
      </c>
      <c r="K92" s="158">
        <v>0.10599999874830246</v>
      </c>
      <c r="L92" s="158">
        <v>0.10599999874830246</v>
      </c>
      <c r="M92" s="158">
        <v>0.10570000112056732</v>
      </c>
      <c r="N92" s="158">
        <v>0.1054999977350235</v>
      </c>
      <c r="O92" s="158">
        <v>0.10530000180006027</v>
      </c>
      <c r="P92" s="158">
        <v>0.10490000247955322</v>
      </c>
      <c r="Q92" s="158">
        <v>0.10490000247955322</v>
      </c>
      <c r="R92" s="158">
        <v>0.10499999672174454</v>
      </c>
      <c r="S92" s="158">
        <v>0.10509999841451645</v>
      </c>
      <c r="T92" s="158">
        <v>0.10530000180006027</v>
      </c>
      <c r="U92" s="158">
        <v>0.10530000180006027</v>
      </c>
      <c r="V92" s="158">
        <f t="shared" si="1"/>
        <v>0.10530000180006027</v>
      </c>
      <c r="W92" s="158">
        <v>0.10530000180006027</v>
      </c>
      <c r="X92" s="158">
        <v>0.10499999672174454</v>
      </c>
      <c r="Y92" s="158">
        <v>0.1046999990940094</v>
      </c>
      <c r="Z92" s="158">
        <v>0.10450000315904617</v>
      </c>
      <c r="AA92" s="158">
        <v>0.10419999808073044</v>
      </c>
      <c r="AB92" s="158">
        <v>0.10400000214576721</v>
      </c>
      <c r="AC92" s="158">
        <v>0.10400000214576721</v>
      </c>
      <c r="AD92" s="158">
        <v>0.10409999638795853</v>
      </c>
      <c r="AE92" s="158">
        <v>0.1039000004529953</v>
      </c>
      <c r="AF92" s="158">
        <v>0.10350000113248825</v>
      </c>
    </row>
    <row r="93" spans="1:32" x14ac:dyDescent="0.2">
      <c r="A93" s="156" t="s">
        <v>245</v>
      </c>
      <c r="B93" s="156">
        <f>$B$55-AVERAGE($B$57,$B$58,$B$60,$B$61,$B$62,$B$65,$B$67,$B$68,$B$69,$B$70,$B$71,$B$72,$B$76,$B$78,$B$79,$B$80,$B$82,$B$83,$B$84,$B$85,$B$86,$B$87,$B$88,$B$90)</f>
        <v>6.4583215862512589E-4</v>
      </c>
      <c r="C93" s="156">
        <f>$C$55-AVERAGE($C$57,$C$58,$C$60,$C$61,$C$62,$C$65,$C$67,$C$68,$C$69,$C$70,$C$71,$C$72,$C$76,$C$78,$C$79,$C$80,$C$82,$C$83,$C$84,$C$85,$C$86,$C$87,$C$88,$C$90)</f>
        <v>6.6250159094731476E-4</v>
      </c>
      <c r="D93" s="156">
        <f>$D$55-AVERAGE($D$57,$D$58,$D$60,$D$61,$D$62,$D$65,$D$67,$D$68,$D$69,$D$70,$D$71,$D$72,$D$76,$D$78,$D$79,$D$80,$D$82,$D$83,$D$84,$D$85,$D$86,$D$87,$D$88,$D$90)</f>
        <v>9.7499694675207138E-4</v>
      </c>
      <c r="E93" s="156">
        <f>$E$55-AVERAGE($E$57,$E$58,$E$60,$E$61,$E$62,$E$65,$E$67,$E$68,$E$69,$E$70,$E$71,$E$72,$E$76,$E$78,$E$79,$E$80,$E$82,$E$83,$E$84,$E$85,$E$86,$E$87,$E$88,$E$90)</f>
        <v>1.1666671683390889E-3</v>
      </c>
      <c r="F93" s="156">
        <f>$F$55-AVERAGE($F$57,$F$58,$F$60,$F$61,$F$62,$F$65,$F$67,$F$68,$F$69,$F$70,$F$71,$F$72,$F$76,$F$78,$F$79,$F$80,$F$82,$F$83,$F$84,$F$85,$F$86,$F$87,$F$88,$F$90)</f>
        <v>1.7750014861424718E-3</v>
      </c>
      <c r="G93" s="156">
        <f>$G$55-AVERAGE($G$57,$G$58,$G$60,$G$61,$G$62,$G$65,$G$67,$G$68,$G$69,$G$70,$G$71,$G$72,$G$76,$G$78,$G$79,$G$80,$G$82,$G$83,$G$84,$G$85,$G$86,$G$87,$G$88,$G$90)</f>
        <v>2.6083346456289291E-3</v>
      </c>
      <c r="H93" s="156">
        <f>$H$55-AVERAGE($H$57,$H$58,$H$60,$H$61,$H$62,$H$65,$H$67,$H$68,$H$69,$H$70,$H$71,$H$72,$H$76,$H$78,$H$79,$H$80,$H$82,$H$83,$H$84,$H$85,$H$86,$H$87,$H$88,$H$90)</f>
        <v>4.1999962801734653E-3</v>
      </c>
      <c r="I93" s="156">
        <f>$I$55-AVERAGE($I$57,$I$58,$I$60,$I$61,$I$62,$I$65,$I$67,$I$68,$I$69,$I$70,$I$71,$I$72,$I$76,$I$78,$I$79,$I$80,$I$82,$I$83,$I$84,$I$85,$I$86,$I$87,$I$88,$I$90)</f>
        <v>6.9499965757131577E-3</v>
      </c>
      <c r="J93" s="156">
        <f>$J$55-AVERAGE($J$57,$J$58,$J$60,$J$61,$J$62,$J$65,$J$67,$J$68,$J$69,$J$70,$J$71,$J$72,$J$76,$J$78,$J$79,$J$80,$J$82,$J$83,$J$84,$J$85,$J$86,$J$87,$J$88,$J$90)</f>
        <v>1.1191667678455516E-2</v>
      </c>
      <c r="K93" s="156">
        <f>$K$55-AVERAGE($K$57,$K$58,$K$60,$K$61,$K$62,$K$65,$K$67,$K$68,$K$69,$K$70,$K$71,$K$72,$K$76,$K$78,$K$79,$K$80,$K$82,$K$83,$K$84,$K$85,$K$86,$K$87,$K$88,$K$90)</f>
        <v>1.8229166977107525E-2</v>
      </c>
      <c r="L93" s="156">
        <f>$L$55-AVERAGE($L$57,$L$58,$L$60,$L$61,$L$62,$L$65,$L$67,$L$68,$L$69,$L$70,$L$71,$L$72,$L$76,$L$78,$L$79,$L$80,$L$82,$L$83,$L$84,$L$85,$L$86,$L$87,$L$88,$L$90)</f>
        <v>2.96249995008111E-2</v>
      </c>
      <c r="M93" s="156">
        <f>$M$55-AVERAGE($M$57,$M$58,$M$60,$M$61,$M$62,$M$65,$M$67,$M$68,$M$69,$M$70,$M$71,$M$72,$M$76,$M$78,$M$79,$M$80,$M$82,$M$83,$M$84,$M$85,$M$86,$M$87,$M$88,$M$90)</f>
        <v>4.5995838319261864E-2</v>
      </c>
      <c r="N93" s="156">
        <f>$N$55-AVERAGE($N$57,$N$58,$N$60,$N$61,$N$62,$N$65,$N$67,$N$68,$N$69,$N$70,$N$71,$N$72,$N$76,$N$78,$N$79,$N$80,$N$82,$N$83,$N$84,$N$85,$N$86,$N$87,$N$88,$N$90)</f>
        <v>6.8549996241927147E-2</v>
      </c>
      <c r="O93" s="156">
        <f>$O$55-AVERAGE($O$57,$O$58,$O$60,$O$61,$O$62,$O$65,$O$67,$O$68,$O$69,$O$70,$O$71,$O$72,$O$76,$O$78,$O$79,$O$80,$O$82,$O$83,$O$84,$O$85,$O$86,$O$87,$O$88,$O$90)</f>
        <v>9.6425003372132778E-2</v>
      </c>
      <c r="P93" s="156">
        <f>$P$55-AVERAGE($P$57,$P$58,$P$60,$P$61,$P$62,$P$65,$P$67,$P$68,$P$69,$P$70,$P$71,$P$72,$P$76,$P$78,$P$79,$P$80,$P$82,$P$83,$P$84,$P$85,$P$86,$P$87,$P$88,$P$90)</f>
        <v>0.130129170914491</v>
      </c>
      <c r="Q93" s="156">
        <f>$Q$55-AVERAGE($Q$57,$Q$58,$Q$60,$Q$61,$Q$62,$Q$65,$Q$67,$Q$68,$Q$69,$Q$70,$Q$71,$Q$72,$Q$76,$Q$78,$Q$79,$Q$80,$Q$82,$Q$83,$Q$84,$Q$85,$Q$86,$Q$87,$Q$88,$Q$90)</f>
        <v>0.16982500627636909</v>
      </c>
      <c r="R93" s="156">
        <f>$R$55-AVERAGE($R$57,$R$58,$R$60,$R$61,$R$62,$R$65,$R$67,$R$68,$R$69,$R$70,$R$71,$R$72,$R$76,$R$78,$R$79,$R$80,$R$82,$R$83,$R$84,$R$85,$R$86,$R$87,$R$88,$R$90)</f>
        <v>0.21601668000221252</v>
      </c>
      <c r="S93" s="156">
        <f>$S$55-AVERAGE($S$57,$S$58,$S$60,$S$61,$S$62,$S$65,$S$67,$S$68,$S$69,$S$70,$S$71,$S$72,$S$76,$S$78,$S$79,$S$80,$S$82,$S$83,$S$84,$S$85,$S$86,$S$87,$S$88,$S$90)</f>
        <v>0.26287498697638512</v>
      </c>
      <c r="T93" s="156">
        <f>$T$55-AVERAGE($T$57,$T$58,$T$60,$T$61,$T$62,$T$65,$T$67,$T$68,$T$69,$T$70,$T$71,$T$72,$T$76,$T$78,$T$79,$T$80,$T$82,$T$83,$T$84,$T$85,$T$86,$T$87,$T$88,$T$90)</f>
        <v>0.30324583531667787</v>
      </c>
      <c r="U93" s="156">
        <f>$U$55-AVERAGE($U$57,$U$58,$U$60,$U$61,$U$62,$U$65,$U$67,$U$68,$U$69,$U$70,$U$71,$U$72,$U$76,$U$78,$U$79,$U$80,$U$82,$U$83,$U$84,$U$85,$U$86,$U$87,$U$88,$U$90)</f>
        <v>0.34038333967328072</v>
      </c>
      <c r="V93" s="156">
        <f>$V$55-AVERAGE($V$57,$V$58,$V$60,$V$61,$V$62,$V$65,$V$67,$V$68,$V$69,$V$70,$V$71,$V$72,$V$76,$V$78,$V$79,$V$80,$V$82,$V$83,$V$84,$V$85,$V$86,$V$87,$V$88,$V$90)</f>
        <v>0.35555626048396033</v>
      </c>
      <c r="W93" s="156">
        <f>$W$55-AVERAGE($W$57,$W$58,$W$60,$W$61,$W$62,$W$65,$W$67,$W$68,$W$69,$W$70,$W$71,$W$72,$W$76,$W$78,$W$79,$W$80,$W$82,$W$83,$W$84,$W$85,$W$86,$W$87,$W$88,$W$90)</f>
        <v>0.37072918129463989</v>
      </c>
      <c r="X93" s="156">
        <f>$X$55-AVERAGE($X$57,$X$58,$X$60,$X$61,$X$62,$X$65,$X$67,$X$68,$X$69,$X$70,$X$71,$X$72,$X$76,$X$78,$X$79,$X$80,$X$82,$X$83,$X$84,$X$85,$X$86,$X$87,$X$88,$X$90)</f>
        <v>0.37878334708511829</v>
      </c>
      <c r="Y93" s="156">
        <f>$Y$55-AVERAGE($Y$57,$Y$58,$Y$60,$Y$61,$Y$62,$Y$65,$Y$67,$Y$68,$Y$69,$Y$70,$Y$71,$Y$72,$Y$76,$Y$78,$Y$79,$Y$80,$Y$82,$Y$83,$Y$84,$Y$85,$Y$86,$Y$87,$Y$88,$Y$90)</f>
        <v>0.38338333275169134</v>
      </c>
      <c r="Z93" s="156">
        <f>$Z$55-AVERAGE($Z$57,$Z$58,$Z$60,$Z$61,$Z$62,$Z$65,$Z$67,$Z$68,$Z$69,$Z$70,$Z$71,$Z$72,$Z$76,$Z$78,$Z$79,$Z$80,$Z$82,$Z$83,$Z$84,$Z$85,$Z$86,$Z$87,$Z$88,$Z$90)</f>
        <v>0.38562498893588781</v>
      </c>
      <c r="AA93" s="156">
        <f>$AA$55-AVERAGE($AA$57,$AA$58,$AA$60,$AA$61,$AA$62,$AA$65,$AA$67,$AA$68,$AA$69,$AA$70,$AA$71,$AA$72,$AA$76,$AA$78,$AA$79,$AA$80,$AA$82,$AA$83,$AA$84,$AA$85,$AA$86,$AA$87,$AA$88,$AA$90)</f>
        <v>0.39036667440086603</v>
      </c>
      <c r="AB93" s="156">
        <f>$AB$55-AVERAGE($AB$57,$AB$58,$AB$60,$AB$61,$AB$62,$AB$65,$AB$67,$AB$68,$AB$69,$AB$70,$AB$71,$AB$72,$AB$76,$AB$78,$AB$79,$AB$80,$AB$82,$AB$83,$AB$84,$AB$85,$AB$86,$AB$87,$AB$88,$AB$90)</f>
        <v>0.39746667320529622</v>
      </c>
      <c r="AC93" s="156">
        <f>$AC$55-AVERAGE($AC$57,$AC$58,$AC$60,$AC$61,$AC$62,$AC$65,$AC$67,$AC$68,$AC$69,$AC$70,$AC$71,$AC$72,$AC$76,$AC$78,$AC$79,$AC$80,$AC$82,$AC$83,$AC$84,$AC$85,$AC$86,$AC$87,$AC$88,$AC$90)</f>
        <v>0.4048208597426613</v>
      </c>
      <c r="AD93" s="156">
        <f>$AD$55-AVERAGE($AD$57,$AD$58,$AD$60,$AD$61,$AD$62,$AD$65,$AD$67,$AD$68,$AD$69,$AD$70,$AD$71,$AD$72,$AD$76,$AD$78,$AD$79,$AD$80,$AD$82,$AD$83,$AD$84,$AD$85,$AD$86,$AD$87,$AD$88,$AD$90)</f>
        <v>0.41464998386800289</v>
      </c>
      <c r="AE93" s="156">
        <f>$AE$55-AVERAGE($AE$57,$AE$58,$AE$60,$AE$61,$AE$62,$AE$65,$AE$67,$AE$68,$AE$69,$AE$70,$AE$71,$AE$72,$AE$76,$AE$78,$AE$79,$AE$80,$AE$82,$AE$83,$AE$84,$AE$85,$AE$86,$AE$87,$AE$88,$AE$90)</f>
        <v>0.42624583498885232</v>
      </c>
      <c r="AF93" s="156">
        <f>$AF$55-AVERAGE($AF$57,$AF$58,$AF$60,$AF$61,$AF$62,$AF$65,$AF$67,$AF$68,$AF$69,$AF$70,$AF$71,$AF$72,$AF$76,$AF$78,$AF$79,$AF$80,$AF$82,$AF$83,$AF$84,$AF$85,$AF$86,$AF$87,$AF$88,$AF$90)</f>
        <v>0.44030001666396856</v>
      </c>
    </row>
    <row r="94" spans="1:32" x14ac:dyDescent="0.2">
      <c r="A94" s="157" t="s">
        <v>246</v>
      </c>
      <c r="B94" s="157">
        <f>$B$56-AVERAGE($B$57,$B$58,$B$61,$B$62,$B$65,$B$67,$B$68,$B$69,$B$70,$B$78,$B$84,$B$85,$B$86,$B$87,$B$88)</f>
        <v>6.4000089963277274E-4</v>
      </c>
      <c r="C94" s="157">
        <f>$C$56-AVERAGE($C$57,$C$58,$C$61,$C$62,$C$65,$C$67,$C$68,$C$69,$C$70,$C$78,$C$84,$C$85,$C$86,$C$87,$C$88)</f>
        <v>8.1333319346109378E-4</v>
      </c>
      <c r="D94" s="157">
        <f>$D$56-AVERAGE($D$57,$D$58,$D$61,$D$62,$D$65,$D$67,$D$68,$D$69,$D$70,$D$78,$D$84,$D$85,$D$86,$D$87,$D$88)</f>
        <v>1.1000027259190914E-3</v>
      </c>
      <c r="E94" s="157">
        <f>$E$56-AVERAGE($E$57,$E$58,$E$61,$E$62,$E$65,$E$67,$E$68,$E$69,$E$70,$E$78,$E$84,$E$85,$E$86,$E$87,$E$88)</f>
        <v>1.6733313600222205E-3</v>
      </c>
      <c r="F94" s="157">
        <f>$F$56-AVERAGE($F$57,$F$58,$F$61,$F$62,$F$65,$F$67,$F$68,$F$69,$F$70,$F$78,$F$84,$F$85,$F$86,$F$87,$F$88)</f>
        <v>1.6866708795229557E-3</v>
      </c>
      <c r="G94" s="157">
        <f>$G$56-AVERAGE($G$57,$G$58,$G$61,$G$62,$G$65,$G$67,$G$68,$G$69,$G$70,$G$78,$G$84,$G$85,$G$86,$G$87,$G$88)</f>
        <v>2.3533334334691347E-3</v>
      </c>
      <c r="H94" s="157">
        <f>$H$56-AVERAGE($H$57,$H$58,$H$61,$H$62,$H$65,$H$67,$H$68,$H$69,$H$70,$H$78,$H$84,$H$85,$H$86,$H$87,$H$88)</f>
        <v>3.4333353241284698E-3</v>
      </c>
      <c r="I94" s="157">
        <f>$I$56-AVERAGE($I$57,$I$58,$I$61,$I$62,$I$65,$I$67,$I$68,$I$69,$I$70,$I$78,$I$84,$I$85,$I$86,$I$87,$I$88)</f>
        <v>5.4799973964691218E-3</v>
      </c>
      <c r="J94" s="157">
        <f>$J$56-AVERAGE($J$57,$J$58,$J$61,$J$62,$J$65,$J$67,$J$68,$J$69,$J$70,$J$78,$J$84,$J$85,$J$86,$J$87,$J$88)</f>
        <v>8.5266709327697782E-3</v>
      </c>
      <c r="K94" s="157">
        <f>$K$56-AVERAGE($K$57,$K$58,$K$61,$K$62,$K$65,$K$67,$K$68,$K$69,$K$70,$K$78,$K$84,$K$85,$K$86,$K$87,$K$88)</f>
        <v>1.38799970348676E-2</v>
      </c>
      <c r="L94" s="157">
        <f>$L$56-AVERAGE($L$57,$L$58,$L$61,$L$62,$L$65,$L$67,$L$68,$L$69,$L$70,$L$78,$L$84,$L$85,$L$86,$L$87,$L$88)</f>
        <v>2.2453326980272928E-2</v>
      </c>
      <c r="M94" s="157">
        <f>$M$56-AVERAGE($M$57,$M$58,$M$61,$M$62,$M$65,$M$67,$M$68,$M$69,$M$70,$M$78,$M$84,$M$85,$M$86,$M$87,$M$88)</f>
        <v>3.5113328695297236E-2</v>
      </c>
      <c r="N94" s="157">
        <f>$N$56-AVERAGE($N$57,$N$58,$N$61,$N$62,$N$65,$N$67,$N$68,$N$69,$N$70,$N$78,$N$84,$N$85,$N$86,$N$87,$N$88)</f>
        <v>5.3453338642915085E-2</v>
      </c>
      <c r="O94" s="157">
        <f>$O$56-AVERAGE($O$57,$O$58,$O$61,$O$62,$O$65,$O$67,$O$68,$O$69,$O$70,$O$78,$O$84,$O$85,$O$86,$O$87,$O$88)</f>
        <v>7.7013332645098367E-2</v>
      </c>
      <c r="P94" s="157">
        <f>$P$56-AVERAGE($P$57,$P$58,$P$61,$P$62,$P$65,$P$67,$P$68,$P$69,$P$70,$P$78,$P$84,$P$85,$P$86,$P$87,$P$88)</f>
        <v>0.10572000493605932</v>
      </c>
      <c r="Q94" s="157">
        <f>$Q$56-AVERAGE($Q$57,$Q$58,$Q$61,$Q$62,$Q$65,$Q$67,$Q$68,$Q$69,$Q$70,$Q$78,$Q$84,$Q$85,$Q$86,$Q$87,$Q$88)</f>
        <v>0.14081333726644515</v>
      </c>
      <c r="R94" s="157">
        <f>$R$56-AVERAGE($R$57,$R$58,$R$61,$R$62,$R$65,$R$67,$R$68,$R$69,$R$70,$R$78,$R$84,$R$85,$R$86,$R$87,$R$88)</f>
        <v>0.18271333078543345</v>
      </c>
      <c r="S94" s="157">
        <f>$S$56-AVERAGE($S$57,$S$58,$S$61,$S$62,$S$65,$S$67,$S$68,$S$69,$S$70,$S$78,$S$84,$S$85,$S$86,$S$87,$S$88)</f>
        <v>0.23079999138911567</v>
      </c>
      <c r="T94" s="157">
        <f>$T$56-AVERAGE($T$57,$T$58,$T$61,$T$62,$T$65,$T$67,$T$68,$T$69,$T$70,$T$78,$T$84,$T$85,$T$86,$T$87,$T$88)</f>
        <v>0.27820000598827999</v>
      </c>
      <c r="U94" s="157">
        <f>$U$56-AVERAGE($U$57,$U$58,$U$61,$U$62,$U$65,$U$67,$U$68,$U$69,$U$70,$U$78,$U$84,$U$85,$U$86,$U$87,$U$88)</f>
        <v>0.31694000711043674</v>
      </c>
      <c r="V94" s="157">
        <f>$V$56-AVERAGE($V$57,$V$58,$V$61,$V$62,$V$65,$V$67,$V$68,$V$69,$V$70,$V$78,$V$84,$V$85,$V$86,$V$87,$V$88)</f>
        <v>0.34431334262092905</v>
      </c>
      <c r="W94" s="157">
        <f>$W$56-AVERAGE($W$57,$W$58,$W$61,$W$62,$W$65,$W$67,$W$68,$W$69,$W$70,$W$78,$W$84,$W$85,$W$86,$W$87,$W$88)</f>
        <v>0.37168667813142142</v>
      </c>
      <c r="X94" s="157">
        <f>$X$56-AVERAGE($X$57,$X$58,$X$61,$X$62,$X$65,$X$67,$X$68,$X$69,$X$70,$X$78,$X$84,$X$85,$X$86,$X$87,$X$88)</f>
        <v>0.38203333864609401</v>
      </c>
      <c r="Y94" s="157">
        <f>$Y$56-AVERAGE($Y$57,$Y$58,$Y$61,$Y$62,$Y$65,$Y$67,$Y$68,$Y$69,$Y$70,$Y$78,$Y$84,$Y$85,$Y$86,$Y$87,$Y$88)</f>
        <v>0.39061333239078522</v>
      </c>
      <c r="Z94" s="157">
        <f>$Z$56-AVERAGE($Z$57,$Z$58,$Z$61,$Z$62,$Z$65,$Z$67,$Z$68,$Z$69,$Z$70,$Z$78,$Z$84,$Z$85,$Z$86,$Z$87,$Z$88)</f>
        <v>0.39422001143296559</v>
      </c>
      <c r="AA94" s="157">
        <f>$AA$56-AVERAGE($AA$57,$AA$58,$AA$61,$AA$62,$AA$65,$AA$67,$AA$68,$AA$69,$AA$70,$AA$78,$AA$84,$AA$85,$AA$86,$AA$87,$AA$88)</f>
        <v>0.39636665334304172</v>
      </c>
      <c r="AB94" s="157">
        <f>$AB$56-AVERAGE($AB$57,$AB$58,$AB$61,$AB$62,$AB$65,$AB$67,$AB$68,$AB$69,$AB$70,$AB$78,$AB$84,$AB$85,$AB$86,$AB$87,$AB$88)</f>
        <v>0.40093335111935935</v>
      </c>
      <c r="AC94" s="157">
        <f>$AC$56-AVERAGE($AC$57,$AC$58,$AC$61,$AC$62,$AC$65,$AC$67,$AC$68,$AC$69,$AC$70,$AC$78,$AC$84,$AC$85,$AC$86,$AC$87,$AC$88)</f>
        <v>0.40576664706071219</v>
      </c>
      <c r="AD94" s="157">
        <f>$AD$56-AVERAGE($AD$57,$AD$58,$AD$61,$AD$62,$AD$65,$AD$67,$AD$68,$AD$69,$AD$70,$AD$78,$AD$84,$AD$85,$AD$86,$AD$87,$AD$88)</f>
        <v>0.41193331281344098</v>
      </c>
      <c r="AE94" s="157">
        <f>$AE$56-AVERAGE($AE$57,$AE$58,$AE$61,$AE$62,$AE$65,$AE$67,$AE$68,$AE$69,$AE$70,$AE$78,$AE$84,$AE$85,$AE$86,$AE$87,$AE$88)</f>
        <v>0.42241999357938764</v>
      </c>
      <c r="AF94" s="157">
        <f>$AF$56-AVERAGE($AF$57,$AF$58,$AF$61,$AF$62,$AF$65,$AF$67,$AF$68,$AF$69,$AF$70,$AF$78,$AF$84,$AF$85,$AF$86,$AF$87,$AF$88)</f>
        <v>0.43536665489276249</v>
      </c>
    </row>
    <row r="95" spans="1:32" x14ac:dyDescent="0.2">
      <c r="A95" t="s">
        <v>247</v>
      </c>
      <c r="H95">
        <f>INDEX(LOGEST($B$93:$H$93,$B$54:$H$54,TRUE,TRUE), 3)</f>
        <v>0.9642887860937519</v>
      </c>
      <c r="I95">
        <f>INDEX(LOGEST($B$93:$I$93,$B$54:$I$54,TRUE,TRUE), 3)</f>
        <v>0.96715559968035647</v>
      </c>
      <c r="J95">
        <f>INDEX(LOGEST($B$93:$J$93,$B$54:$J$54,TRUE,TRUE), 3)</f>
        <v>0.97171968404735631</v>
      </c>
      <c r="K95">
        <f>INDEX(LOGEST($B$93:$K$93,$B$54:$K$54,TRUE,TRUE), 3)</f>
        <v>0.97585986709659023</v>
      </c>
      <c r="L95">
        <f>INDEX(LOGEST($B$93:$L$93,$B$54:$L$54,TRUE,TRUE), 3)</f>
        <v>0.97949221750661419</v>
      </c>
      <c r="M95">
        <f>INDEX(LOGEST($B$93:$M$93,$B$54:$M$54,TRUE,TRUE), 3)</f>
        <v>0.98311742130800428</v>
      </c>
      <c r="N95">
        <f>INDEX(LOGEST($B$93:$N$93,$B$54:$N$54,TRUE,TRUE), 3)</f>
        <v>0.98642581521808126</v>
      </c>
      <c r="O95">
        <f>INDEX(LOGEST($B$93:$O$93,$B$54:$O$54,TRUE,TRUE), 3)</f>
        <v>0.98914042371106137</v>
      </c>
      <c r="P95">
        <f>INDEX(LOGEST($B$93:$P$93,$B$54:$P$54,TRUE,TRUE), 3)</f>
        <v>0.99095616034050937</v>
      </c>
      <c r="Q95" s="155">
        <f>INDEX(LOGEST($B$93:$Q$93,$B$54:$Q$54,TRUE,TRUE), 3)</f>
        <v>0.99176333789687421</v>
      </c>
      <c r="R95">
        <f>INDEX(LOGEST($B$93:$R$93,$B$54:$R$54,TRUE,TRUE), 3)</f>
        <v>0.99160104189430864</v>
      </c>
      <c r="S95">
        <f>INDEX(LOGEST($B$93:$S$93,$B$54:$S$54,TRUE,TRUE), 3)</f>
        <v>0.99034055358852369</v>
      </c>
      <c r="T95">
        <f>INDEX(LOGEST($B$93:$T$93,$B$54:$T$54,TRUE,TRUE), 3)</f>
        <v>0.9876997794329615</v>
      </c>
      <c r="U95">
        <f>INDEX(LOGEST($B$93:$U$93,$B$54:$U$54,TRUE,TRUE), 3)</f>
        <v>0.98371429447546599</v>
      </c>
      <c r="V95">
        <f>INDEX(LOGEST($B$93:$V$93,$B$54:$V$54,TRUE,TRUE), 3)</f>
        <v>0.97766834008501313</v>
      </c>
      <c r="W95">
        <f>INDEX(LOGEST($B$93:$W$93,$B$54:$W$54,TRUE,TRUE), 3)</f>
        <v>0.97002061296619901</v>
      </c>
      <c r="X95">
        <f>INDEX(LOGEST($B$93:$X$93,$B$54:$X$54,TRUE,TRUE), 3)</f>
        <v>0.96082397699143984</v>
      </c>
      <c r="Y95">
        <f>INDEX(LOGEST($B$93:$Y$93,$B$54:$Y$54,TRUE,TRUE), 3)</f>
        <v>0.9503009429994328</v>
      </c>
      <c r="Z95">
        <f>INDEX(LOGEST($B$93:$Z$93,$B$54:$Z$54,TRUE,TRUE), 3)</f>
        <v>0.93868241986694956</v>
      </c>
      <c r="AA95">
        <f>INDEX(LOGEST($B$93:$AA$93,$B$54:$AA$54,TRUE,TRUE), 3)</f>
        <v>0.92641833211479652</v>
      </c>
      <c r="AB95">
        <f>INDEX(LOGEST($B$93:$AB$93,$B$54:$AB$54,TRUE,TRUE), 3)</f>
        <v>0.91386812399809003</v>
      </c>
      <c r="AC95">
        <f>INDEX(LOGEST($B$93:$AC$93,$B$54:$AC$54,TRUE,TRUE), 3)</f>
        <v>0.9012036311780639</v>
      </c>
      <c r="AD95">
        <f>INDEX(LOGEST($B$93:$AD$93,$B$54:$AD$54,TRUE,TRUE), 3)</f>
        <v>0.88867669473106758</v>
      </c>
      <c r="AE95">
        <f>INDEX(LOGEST($B$93:$AE$93,$B$54:$AE$54,TRUE,TRUE), 3)</f>
        <v>0.87644546747722341</v>
      </c>
      <c r="AF95">
        <f>INDEX(LOGEST($B$93:$AF$93,$B$54:$AF$54,TRUE,TRUE), 3)</f>
        <v>0.86466254112547358</v>
      </c>
    </row>
    <row r="96" spans="1:32" x14ac:dyDescent="0.2">
      <c r="A96" t="s">
        <v>248</v>
      </c>
      <c r="H96">
        <f>INDEX(LOGEST($B$94:$H$94,$B$54:$H$54,TRUE,TRUE), 3)</f>
        <v>0.98008659198493586</v>
      </c>
      <c r="I96">
        <f>INDEX(LOGEST($B$94:$I$94,$B$54:$I$54,TRUE,TRUE), 3)</f>
        <v>0.9786357406805376</v>
      </c>
      <c r="J96">
        <f>INDEX(LOGEST($B$94:$J$94,$B$54:$J$54,TRUE,TRUE), 3)</f>
        <v>0.97775923154154132</v>
      </c>
      <c r="K96">
        <f>INDEX(LOGEST($B$94:$K$94,$B$54:$K$54,TRUE,TRUE), 3)</f>
        <v>0.97657020934082039</v>
      </c>
      <c r="L96">
        <f>INDEX(LOGEST($B$94:$L$94,$B$54:$L$54,TRUE,TRUE), 3)</f>
        <v>0.97676216093064394</v>
      </c>
      <c r="M96">
        <f>INDEX(LOGEST($B$94:$M$94,$B$54:$M$54,TRUE,TRUE), 3)</f>
        <v>0.97865428009516231</v>
      </c>
      <c r="N96">
        <f>INDEX(LOGEST($B$94:$N$94,$B$54:$N$54,TRUE,TRUE), 3)</f>
        <v>0.98135824214426515</v>
      </c>
      <c r="O96">
        <f>INDEX(LOGEST($B$94:$O$94,$B$54:$O$54,TRUE,TRUE), 3)</f>
        <v>0.98445989194171579</v>
      </c>
      <c r="P96">
        <f>INDEX(LOGEST($B$94:$P$94,$B$54:$P$54,TRUE,TRUE), 3)</f>
        <v>0.98731874381442941</v>
      </c>
      <c r="Q96">
        <f>INDEX(LOGEST($B$94:$Q$94,$B$54:$Q$54,TRUE,TRUE), 3)</f>
        <v>0.98950454335767912</v>
      </c>
      <c r="R96">
        <f>INDEX(LOGEST($B$94:$R$94,$B$54:$R$54,TRUE,TRUE), 3)</f>
        <v>0.99087392857921408</v>
      </c>
      <c r="S96" s="155">
        <f>INDEX(LOGEST($B$94:$S$94,$B$54:$S$54,TRUE,TRUE), 3)</f>
        <v>0.99139451723262506</v>
      </c>
      <c r="T96">
        <f>INDEX(LOGEST($B$94:$T$94,$B$54:$T$54,TRUE,TRUE), 3)</f>
        <v>0.99089436981887935</v>
      </c>
      <c r="U96">
        <f>INDEX(LOGEST($B$94:$U$94,$B$54:$U$54,TRUE,TRUE), 3)</f>
        <v>0.98904769201421316</v>
      </c>
      <c r="V96">
        <f>INDEX(LOGEST($B$94:$V$94,$B$54:$V$54,TRUE,TRUE), 3)</f>
        <v>0.98556681834592486</v>
      </c>
      <c r="W96">
        <f>INDEX(LOGEST($B$94:$W$94,$B$54:$W$54,TRUE,TRUE), 3)</f>
        <v>0.9807328178882524</v>
      </c>
      <c r="X96">
        <f>INDEX(LOGEST($B$94:$X$94,$B$54:$X$54,TRUE,TRUE), 3)</f>
        <v>0.97411904248999071</v>
      </c>
      <c r="Y96">
        <f>INDEX(LOGEST($B$94:$Y$94,$B$54:$Y$54,TRUE,TRUE), 3)</f>
        <v>0.96603024380884606</v>
      </c>
      <c r="Z96">
        <f>INDEX(LOGEST($B$94:$Z$94,$B$54:$Z$54,TRUE,TRUE), 3)</f>
        <v>0.95658052933571158</v>
      </c>
      <c r="AA96">
        <f>INDEX(LOGEST($B$94:$AA$94,$B$54:$AA$54,TRUE,TRUE), 3)</f>
        <v>0.94602613528745583</v>
      </c>
      <c r="AB96">
        <f>INDEX(LOGEST($B$94:$AB$94,$B$54:$AB$54,TRUE,TRUE), 3)</f>
        <v>0.93477513864006934</v>
      </c>
      <c r="AC96">
        <f>INDEX(LOGEST($B$94:$AC$94,$B$54:$AC$54,TRUE,TRUE), 3)</f>
        <v>0.92305690702831122</v>
      </c>
      <c r="AD96">
        <f>INDEX(LOGEST($B$94:$AD$94,$B$54:$AD$54,TRUE,TRUE), 3)</f>
        <v>0.91111115524058117</v>
      </c>
      <c r="AE96">
        <f>INDEX(LOGEST($B$94:$AE$94,$B$54:$AE$54,TRUE,TRUE), 3)</f>
        <v>0.899280743012707</v>
      </c>
      <c r="AF96">
        <f>INDEX(LOGEST($B$94:$AF$94,$B$54:$AF$54,TRUE,TRUE), 3)</f>
        <v>0.88774514153377382</v>
      </c>
    </row>
    <row r="97" spans="1:19" s="160" customFormat="1" x14ac:dyDescent="0.2">
      <c r="A97" s="160" t="s">
        <v>262</v>
      </c>
      <c r="B97" s="160">
        <f>$K$43*EXP($J$49*$B$54)</f>
        <v>4.2329439392081595E-4</v>
      </c>
      <c r="C97" s="160">
        <f>$K$43*EXP($J$49*$C$54)</f>
        <v>6.3823269779742929E-4</v>
      </c>
      <c r="D97" s="160">
        <f>$K$43*EXP($J$49*$D$54)</f>
        <v>9.6231129537232771E-4</v>
      </c>
      <c r="E97" s="160">
        <f>$K$43*EXP($J$49*$E$54)</f>
        <v>1.4509488974742051E-3</v>
      </c>
      <c r="F97" s="160">
        <f>$K$43*EXP($J$49*$F$54)</f>
        <v>2.1877044499067919E-3</v>
      </c>
      <c r="G97" s="160">
        <f>$K$43*EXP($J$49*$G$54)</f>
        <v>3.2985660407981853E-3</v>
      </c>
      <c r="H97" s="160">
        <f>$K$43*EXP($J$49*$H$54)</f>
        <v>4.9734953576432966E-3</v>
      </c>
      <c r="I97" s="160">
        <f>$K$43*EXP($J$49*$I$54)</f>
        <v>7.4989118806649399E-3</v>
      </c>
      <c r="J97" s="160">
        <f>$K$43*EXP($J$49*$J$54)</f>
        <v>1.130667173692191E-2</v>
      </c>
      <c r="K97" s="160">
        <f>$K$43*EXP($J$49*$K$54)</f>
        <v>1.7047916791252237E-2</v>
      </c>
      <c r="L97" s="160">
        <f>$K$43*EXP($J$49*$L$54)</f>
        <v>2.5704422458149526E-2</v>
      </c>
      <c r="M97" s="160">
        <f>$K$43*EXP($J$49*$M$54)</f>
        <v>3.8756485146974322E-2</v>
      </c>
      <c r="N97" s="160">
        <f>$K$43*EXP($J$49*$N$54)</f>
        <v>5.8436058751882798E-2</v>
      </c>
      <c r="O97" s="160">
        <f>$K$43*EXP($J$49*$O$54)</f>
        <v>8.8108427518744842E-2</v>
      </c>
      <c r="P97" s="160">
        <f>$K$43*EXP($J$49*$P$54)</f>
        <v>0.13284768284575296</v>
      </c>
      <c r="Q97" s="160">
        <f>$K$43*EXP($J$49*$Q$54)</f>
        <v>0.20030441280694852</v>
      </c>
    </row>
    <row r="98" spans="1:19" s="161" customFormat="1" x14ac:dyDescent="0.2">
      <c r="A98" s="161" t="s">
        <v>263</v>
      </c>
      <c r="B98" s="161">
        <f>$Q$43*EXP($P$49*$B$54)</f>
        <v>4.8684888572384367E-4</v>
      </c>
      <c r="C98" s="161">
        <f>$Q$43*EXP($P$49*$C$54)</f>
        <v>7.077872541141378E-4</v>
      </c>
      <c r="D98" s="161">
        <f>$Q$43*EXP($P$49*$D$54)</f>
        <v>1.0289903330919674E-3</v>
      </c>
      <c r="E98" s="161">
        <f>$Q$43*EXP($P$49*$E$54)</f>
        <v>1.4959595548551267E-3</v>
      </c>
      <c r="F98" s="161">
        <f>$Q$43*EXP($P$49*$F$54)</f>
        <v>2.1748454944545471E-3</v>
      </c>
      <c r="G98" s="161">
        <f>$Q$43*EXP($P$49*$G$54)</f>
        <v>3.1618187198966786E-3</v>
      </c>
      <c r="H98" s="161">
        <f>$Q$43*EXP($P$49*$H$54)</f>
        <v>4.5966932561323651E-3</v>
      </c>
      <c r="I98" s="161">
        <f>$Q$43*EXP($P$49*$I$54)</f>
        <v>6.6827325545290046E-3</v>
      </c>
      <c r="J98" s="161">
        <f>$Q$43*EXP($P$49*$J$54)</f>
        <v>9.7154436693775732E-3</v>
      </c>
      <c r="K98" s="161">
        <f>$Q$43*EXP($P$49*$K$54)</f>
        <v>1.4124438606910743E-2</v>
      </c>
      <c r="L98" s="161">
        <f>$Q$43*EXP($P$49*$L$54)</f>
        <v>2.0534292899993912E-2</v>
      </c>
      <c r="M98" s="161">
        <f>$Q$43*EXP($P$49*$M$54)</f>
        <v>2.9853022597049216E-2</v>
      </c>
      <c r="N98" s="161">
        <f>$Q$43*EXP($P$49*$N$54)</f>
        <v>4.3400713261482426E-2</v>
      </c>
      <c r="O98" s="161">
        <f>$Q$43*EXP($P$49*$O$54)</f>
        <v>6.3096522487193621E-2</v>
      </c>
      <c r="P98" s="161">
        <f>$Q$43*EXP($P$49*$P$54)</f>
        <v>9.1730546592426063E-2</v>
      </c>
      <c r="Q98" s="161">
        <f>$Q$43*EXP($P$49*$Q$54)</f>
        <v>0.13335906396193364</v>
      </c>
      <c r="R98" s="161">
        <f>$Q$43*EXP($P$49*$R$54)</f>
        <v>0.19387914496817749</v>
      </c>
      <c r="S98" s="161">
        <f>$Q$43*EXP($P$49*$S$54)</f>
        <v>0.28186402736240773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83FC5-1161-D44F-B0FB-22B70BD5AEA5}">
  <sheetPr codeName="Sheet39"/>
  <dimension ref="A42:AF94"/>
  <sheetViews>
    <sheetView workbookViewId="0"/>
  </sheetViews>
  <sheetFormatPr baseColWidth="10" defaultRowHeight="15" x14ac:dyDescent="0.2"/>
  <sheetData>
    <row r="42" spans="9:12" x14ac:dyDescent="0.2">
      <c r="I42" t="s">
        <v>249</v>
      </c>
    </row>
    <row r="43" spans="9:12" x14ac:dyDescent="0.2">
      <c r="I43" t="s">
        <v>250</v>
      </c>
      <c r="J43" s="159">
        <f t="array" ref="J43:K47">LOGEST($B$92:$P$92,$B$54:$P$54,TRUE,TRUE)</f>
        <v>1.0002911183457797</v>
      </c>
      <c r="K43" s="159">
        <v>6.3655395589319076E-4</v>
      </c>
      <c r="L43" t="s">
        <v>255</v>
      </c>
    </row>
    <row r="44" spans="9:12" x14ac:dyDescent="0.2">
      <c r="I44" t="s">
        <v>251</v>
      </c>
      <c r="J44" s="159">
        <v>4.5151352376115451E-6</v>
      </c>
      <c r="K44" s="159">
        <v>3.3430965252214138E-2</v>
      </c>
      <c r="L44" t="s">
        <v>256</v>
      </c>
    </row>
    <row r="45" spans="9:12" x14ac:dyDescent="0.2">
      <c r="I45" t="s">
        <v>252</v>
      </c>
      <c r="J45" s="159">
        <v>0.99688171522379676</v>
      </c>
      <c r="K45" s="159">
        <v>6.8004952285025677E-2</v>
      </c>
      <c r="L45" t="s">
        <v>257</v>
      </c>
    </row>
    <row r="46" spans="9:12" x14ac:dyDescent="0.2">
      <c r="I46" t="s">
        <v>253</v>
      </c>
      <c r="J46" s="159">
        <v>4155.9585567064642</v>
      </c>
      <c r="K46" s="159">
        <v>13</v>
      </c>
      <c r="L46" t="s">
        <v>258</v>
      </c>
    </row>
    <row r="47" spans="9:12" x14ac:dyDescent="0.2">
      <c r="I47" t="s">
        <v>254</v>
      </c>
      <c r="J47" s="159">
        <v>19.219951550956672</v>
      </c>
      <c r="K47" s="159">
        <v>6.0120755958752048E-2</v>
      </c>
      <c r="L47" t="s">
        <v>259</v>
      </c>
    </row>
    <row r="49" spans="1:32" x14ac:dyDescent="0.2">
      <c r="I49" t="s">
        <v>260</v>
      </c>
      <c r="J49">
        <f>LN($J$43)</f>
        <v>2.9107597905632453E-4</v>
      </c>
    </row>
    <row r="50" spans="1:32" x14ac:dyDescent="0.2">
      <c r="I50" t="s">
        <v>261</v>
      </c>
      <c r="J50">
        <f>ROUND(LN(2)/$J$49, 1)</f>
        <v>2381.3000000000002</v>
      </c>
    </row>
    <row r="51" spans="1:32" x14ac:dyDescent="0.2">
      <c r="I51" t="s">
        <v>204</v>
      </c>
      <c r="J51" s="155">
        <f>ROUND($J$50/60, 1)</f>
        <v>39.700000000000003</v>
      </c>
    </row>
    <row r="54" spans="1:32" x14ac:dyDescent="0.2">
      <c r="A54" t="s">
        <v>206</v>
      </c>
      <c r="B54" s="166">
        <v>0</v>
      </c>
      <c r="C54" s="166">
        <v>900.1</v>
      </c>
      <c r="D54" s="166">
        <v>1800.2</v>
      </c>
      <c r="E54" s="166">
        <v>2700.3</v>
      </c>
      <c r="F54" s="166">
        <v>3600.4</v>
      </c>
      <c r="G54" s="166">
        <v>4500.5</v>
      </c>
      <c r="H54" s="166">
        <v>5400.6</v>
      </c>
      <c r="I54" s="166">
        <v>6300.7</v>
      </c>
      <c r="J54" s="166">
        <v>7200.8</v>
      </c>
      <c r="K54" s="166">
        <v>8100.9</v>
      </c>
      <c r="L54" s="166">
        <v>9001</v>
      </c>
      <c r="M54" s="166">
        <v>9901.1</v>
      </c>
      <c r="N54" s="166">
        <v>10801.2</v>
      </c>
      <c r="O54" s="166">
        <v>11701.3</v>
      </c>
      <c r="P54" s="166">
        <v>12601.4</v>
      </c>
      <c r="Q54" s="166">
        <v>13501.5</v>
      </c>
      <c r="R54" s="166">
        <v>14401.6</v>
      </c>
      <c r="S54" s="166">
        <v>15301.7</v>
      </c>
      <c r="T54" s="166">
        <v>16201.8</v>
      </c>
      <c r="U54" s="166">
        <v>17101.900000000001</v>
      </c>
      <c r="V54" s="166">
        <v>18002</v>
      </c>
      <c r="W54" s="166">
        <v>18902.099999999999</v>
      </c>
      <c r="X54" s="166">
        <v>19802.2</v>
      </c>
      <c r="Y54" s="166">
        <v>20702.3</v>
      </c>
      <c r="Z54" s="166">
        <v>21602.400000000001</v>
      </c>
      <c r="AA54" s="166">
        <v>22502.5</v>
      </c>
      <c r="AB54" s="166">
        <v>23402.6</v>
      </c>
      <c r="AC54" s="166">
        <v>24302.7</v>
      </c>
      <c r="AD54" s="166">
        <v>25202.799999999999</v>
      </c>
      <c r="AE54" s="166">
        <v>26102.9</v>
      </c>
      <c r="AF54" s="166">
        <v>27003</v>
      </c>
    </row>
    <row r="55" spans="1:32" x14ac:dyDescent="0.2">
      <c r="A55" s="156" t="s">
        <v>285</v>
      </c>
      <c r="B55" s="156">
        <v>0.1054999977350235</v>
      </c>
      <c r="C55" s="156">
        <v>0.1054999977350235</v>
      </c>
      <c r="D55" s="156">
        <v>0.10580000281333923</v>
      </c>
      <c r="E55" s="156">
        <v>0.10599999874830246</v>
      </c>
      <c r="F55" s="156">
        <v>0.10639999806880951</v>
      </c>
      <c r="G55" s="156">
        <v>0.10700000077486038</v>
      </c>
      <c r="H55" s="156">
        <v>0.10769999772310257</v>
      </c>
      <c r="I55" s="156">
        <v>0.10840000212192535</v>
      </c>
      <c r="J55" s="156">
        <v>0.10930000245571136</v>
      </c>
      <c r="K55" s="156">
        <v>0.11060000211000443</v>
      </c>
      <c r="L55" s="156">
        <v>0.11249999701976776</v>
      </c>
      <c r="M55" s="156">
        <v>0.11490000039339066</v>
      </c>
      <c r="N55" s="156">
        <v>0.1185000017285347</v>
      </c>
      <c r="O55" s="156">
        <v>0.12330000102519989</v>
      </c>
      <c r="P55" s="156">
        <v>0.13109999895095825</v>
      </c>
      <c r="Q55" s="156">
        <v>0.14309999346733093</v>
      </c>
      <c r="R55" s="156">
        <v>0.16200000047683716</v>
      </c>
      <c r="S55" s="156">
        <v>0.18770000338554382</v>
      </c>
      <c r="T55" s="156">
        <v>0.22050000727176666</v>
      </c>
      <c r="U55" s="156">
        <v>0.25990000367164612</v>
      </c>
      <c r="V55" s="156">
        <f t="shared" ref="V55" si="0">AVERAGE(U55,W55)</f>
        <v>0.3015500009059906</v>
      </c>
      <c r="W55" s="156">
        <v>0.34319999814033508</v>
      </c>
      <c r="X55" s="156">
        <v>0.38299998641014099</v>
      </c>
      <c r="Y55" s="156">
        <v>0.42080000042915344</v>
      </c>
      <c r="Z55" s="156">
        <v>0.44580000638961792</v>
      </c>
      <c r="AA55" s="156">
        <v>0.45770001411437988</v>
      </c>
      <c r="AB55" s="156">
        <v>0.4666999876499176</v>
      </c>
      <c r="AC55" s="156">
        <v>0.47110000252723694</v>
      </c>
      <c r="AD55" s="156">
        <v>0.47499999403953552</v>
      </c>
      <c r="AE55" s="156">
        <v>0.48210000991821289</v>
      </c>
      <c r="AF55" s="156">
        <v>0.491100013256073</v>
      </c>
    </row>
    <row r="56" spans="1:32" x14ac:dyDescent="0.2">
      <c r="A56" s="158" t="s">
        <v>209</v>
      </c>
      <c r="B56" s="158">
        <v>0.10480000078678131</v>
      </c>
      <c r="C56" s="158">
        <v>0.1046999990940094</v>
      </c>
      <c r="D56" s="158">
        <v>0.1046999990940094</v>
      </c>
      <c r="E56" s="158">
        <v>0.10480000078678131</v>
      </c>
      <c r="F56" s="158">
        <v>0.10459999740123749</v>
      </c>
      <c r="G56" s="158">
        <v>0.10450000315904617</v>
      </c>
      <c r="H56" s="158">
        <v>0.10440000146627426</v>
      </c>
      <c r="I56" s="158">
        <v>0.10429999977350235</v>
      </c>
      <c r="J56" s="158">
        <v>0.10419999808073044</v>
      </c>
      <c r="K56" s="158">
        <v>0.10419999808073044</v>
      </c>
      <c r="L56" s="158">
        <v>0.10419999808073044</v>
      </c>
      <c r="M56" s="158">
        <v>0.10409999638795853</v>
      </c>
      <c r="N56" s="158">
        <v>0.10400000214576721</v>
      </c>
      <c r="O56" s="158">
        <v>0.1039000004529953</v>
      </c>
      <c r="P56" s="158">
        <v>0.10379999876022339</v>
      </c>
      <c r="Q56" s="158">
        <v>0.10379999876022339</v>
      </c>
      <c r="R56" s="158">
        <v>0.1039000004529953</v>
      </c>
      <c r="S56" s="158">
        <v>0.10360000282526016</v>
      </c>
      <c r="T56" s="158">
        <v>0.10360000282526016</v>
      </c>
      <c r="U56" s="158">
        <v>0.10379999876022339</v>
      </c>
      <c r="V56" s="158">
        <f>AVERAGE(U56,W56)</f>
        <v>0.10359999909996986</v>
      </c>
      <c r="W56" s="158">
        <v>0.10339999943971634</v>
      </c>
      <c r="X56" s="158">
        <v>0.10329999774694443</v>
      </c>
      <c r="Y56" s="158">
        <v>0.10320000350475311</v>
      </c>
      <c r="Z56" s="158">
        <v>0.10320000350475311</v>
      </c>
      <c r="AA56" s="158">
        <v>0.1031000018119812</v>
      </c>
      <c r="AB56" s="158">
        <v>0.1031000018119812</v>
      </c>
      <c r="AC56" s="158">
        <v>0.10300000011920929</v>
      </c>
      <c r="AD56" s="158">
        <v>0.10300000011920929</v>
      </c>
      <c r="AE56" s="158">
        <v>0.10289999842643738</v>
      </c>
      <c r="AF56" s="158">
        <v>0.10289999842643738</v>
      </c>
    </row>
    <row r="57" spans="1:32" x14ac:dyDescent="0.2">
      <c r="A57" s="158" t="s">
        <v>210</v>
      </c>
      <c r="B57" s="158">
        <v>0.10660000145435333</v>
      </c>
      <c r="C57" s="158">
        <v>0.10649999976158142</v>
      </c>
      <c r="D57" s="158">
        <v>0.10649999976158142</v>
      </c>
      <c r="E57" s="158">
        <v>0.10649999976158142</v>
      </c>
      <c r="F57" s="158">
        <v>0.10639999806880951</v>
      </c>
      <c r="G57" s="158">
        <v>0.1062999963760376</v>
      </c>
      <c r="H57" s="158">
        <v>0.1062999963760376</v>
      </c>
      <c r="I57" s="158">
        <v>0.10610000044107437</v>
      </c>
      <c r="J57" s="158">
        <v>0.10610000044107437</v>
      </c>
      <c r="K57" s="158">
        <v>0.10610000044107437</v>
      </c>
      <c r="L57" s="158">
        <v>0.10610000044107437</v>
      </c>
      <c r="M57" s="158">
        <v>0.10599999874830246</v>
      </c>
      <c r="N57" s="158">
        <v>0.10589999705553055</v>
      </c>
      <c r="O57" s="158">
        <v>0.10589999705553055</v>
      </c>
      <c r="P57" s="158">
        <v>0.10570000112056732</v>
      </c>
      <c r="Q57" s="158">
        <v>0.10570000112056732</v>
      </c>
      <c r="R57" s="158">
        <v>0.10570000112056732</v>
      </c>
      <c r="S57" s="158">
        <v>0.10559999942779541</v>
      </c>
      <c r="T57" s="158">
        <v>0.10559999942779541</v>
      </c>
      <c r="U57" s="158">
        <v>0.10559999942779541</v>
      </c>
      <c r="V57" s="158">
        <f t="shared" ref="V57:V91" si="1">AVERAGE(U57,W57)</f>
        <v>0.1055000014603138</v>
      </c>
      <c r="W57" s="158">
        <v>0.10540000349283218</v>
      </c>
      <c r="X57" s="158">
        <v>0.10540000349283218</v>
      </c>
      <c r="Y57" s="158">
        <v>0.10530000180006027</v>
      </c>
      <c r="Z57" s="158">
        <v>0.10530000180006027</v>
      </c>
      <c r="AA57" s="158">
        <v>0.10520000010728836</v>
      </c>
      <c r="AB57" s="158">
        <v>0.10520000010728836</v>
      </c>
      <c r="AC57" s="158">
        <v>0.10520000010728836</v>
      </c>
      <c r="AD57" s="158">
        <v>0.10509999841451645</v>
      </c>
      <c r="AE57" s="158">
        <v>0.10509999841451645</v>
      </c>
      <c r="AF57" s="158">
        <v>0.10509999841451645</v>
      </c>
    </row>
    <row r="58" spans="1:32" x14ac:dyDescent="0.2">
      <c r="A58" s="158" t="s">
        <v>211</v>
      </c>
      <c r="B58" s="158">
        <v>0.10740000009536743</v>
      </c>
      <c r="C58" s="158">
        <v>0.10740000009536743</v>
      </c>
      <c r="D58" s="158">
        <v>0.10729999840259552</v>
      </c>
      <c r="E58" s="158">
        <v>0.10729999840259552</v>
      </c>
      <c r="F58" s="158">
        <v>0.10719999670982361</v>
      </c>
      <c r="G58" s="158">
        <v>0.10719999670982361</v>
      </c>
      <c r="H58" s="158">
        <v>0.10710000246763229</v>
      </c>
      <c r="I58" s="158">
        <v>0.10689999908208847</v>
      </c>
      <c r="J58" s="158">
        <v>0.10689999908208847</v>
      </c>
      <c r="K58" s="158">
        <v>0.10710000246763229</v>
      </c>
      <c r="L58" s="158">
        <v>0.10679999738931656</v>
      </c>
      <c r="M58" s="158">
        <v>0.10670000314712524</v>
      </c>
      <c r="N58" s="158">
        <v>0.10670000314712524</v>
      </c>
      <c r="O58" s="158">
        <v>0.10660000145435333</v>
      </c>
      <c r="P58" s="158">
        <v>0.10649999976158142</v>
      </c>
      <c r="Q58" s="158">
        <v>0.10649999976158142</v>
      </c>
      <c r="R58" s="158">
        <v>0.10639999806880951</v>
      </c>
      <c r="S58" s="158">
        <v>0.1062999963760376</v>
      </c>
      <c r="T58" s="158">
        <v>0.1062999963760376</v>
      </c>
      <c r="U58" s="158">
        <v>0.1062999963760376</v>
      </c>
      <c r="V58" s="158">
        <f t="shared" si="1"/>
        <v>0.10624999925494194</v>
      </c>
      <c r="W58" s="158">
        <v>0.10620000213384628</v>
      </c>
      <c r="X58" s="158">
        <v>0.10610000044107437</v>
      </c>
      <c r="Y58" s="158">
        <v>0.10610000044107437</v>
      </c>
      <c r="Z58" s="158">
        <v>0.10599999874830246</v>
      </c>
      <c r="AA58" s="158">
        <v>0.10589999705553055</v>
      </c>
      <c r="AB58" s="158">
        <v>0.10589999705553055</v>
      </c>
      <c r="AC58" s="158">
        <v>0.10599999874830246</v>
      </c>
      <c r="AD58" s="158">
        <v>0.10580000281333923</v>
      </c>
      <c r="AE58" s="158">
        <v>0.10580000281333923</v>
      </c>
      <c r="AF58" s="158">
        <v>0.10580000281333923</v>
      </c>
    </row>
    <row r="59" spans="1:32" x14ac:dyDescent="0.2">
      <c r="A59" s="158" t="s">
        <v>212</v>
      </c>
      <c r="B59" s="158">
        <v>0.10700000077486038</v>
      </c>
      <c r="C59" s="158">
        <v>0.10689999908208847</v>
      </c>
      <c r="D59" s="158">
        <v>0.10679999738931656</v>
      </c>
      <c r="E59" s="158">
        <v>0.10689999908208847</v>
      </c>
      <c r="F59" s="158">
        <v>0.10670000314712524</v>
      </c>
      <c r="G59" s="158">
        <v>0.10689999908208847</v>
      </c>
      <c r="H59" s="158">
        <v>0.10660000145435333</v>
      </c>
      <c r="I59" s="158">
        <v>0.10639999806880951</v>
      </c>
      <c r="J59" s="158">
        <v>0.10639999806880951</v>
      </c>
      <c r="K59" s="158">
        <v>0.1062999963760376</v>
      </c>
      <c r="L59" s="158">
        <v>0.1062999963760376</v>
      </c>
      <c r="M59" s="158">
        <v>0.1062999963760376</v>
      </c>
      <c r="N59" s="158">
        <v>0.10620000213384628</v>
      </c>
      <c r="O59" s="158">
        <v>0.10610000044107437</v>
      </c>
      <c r="P59" s="158">
        <v>0.10599999874830246</v>
      </c>
      <c r="Q59" s="158">
        <v>0.10599999874830246</v>
      </c>
      <c r="R59" s="158">
        <v>0.10599999874830246</v>
      </c>
      <c r="S59" s="158">
        <v>0.10580000281333923</v>
      </c>
      <c r="T59" s="158">
        <v>0.10580000281333923</v>
      </c>
      <c r="U59" s="158">
        <v>0.10580000281333923</v>
      </c>
      <c r="V59" s="158">
        <f t="shared" si="1"/>
        <v>0.10575000196695328</v>
      </c>
      <c r="W59" s="158">
        <v>0.10570000112056732</v>
      </c>
      <c r="X59" s="158">
        <v>0.10559999942779541</v>
      </c>
      <c r="Y59" s="158">
        <v>0.10559999942779541</v>
      </c>
      <c r="Z59" s="158">
        <v>0.10559999942779541</v>
      </c>
      <c r="AA59" s="158">
        <v>0.10540000349283218</v>
      </c>
      <c r="AB59" s="158">
        <v>0.10540000349283218</v>
      </c>
      <c r="AC59" s="158">
        <v>0.10540000349283218</v>
      </c>
      <c r="AD59" s="158">
        <v>0.10540000349283218</v>
      </c>
      <c r="AE59" s="158">
        <v>0.10530000180006027</v>
      </c>
      <c r="AF59" s="158">
        <v>0.10530000180006027</v>
      </c>
    </row>
    <row r="60" spans="1:32" x14ac:dyDescent="0.2">
      <c r="A60" s="158" t="s">
        <v>213</v>
      </c>
      <c r="B60" s="158">
        <v>0.10570000112056732</v>
      </c>
      <c r="C60" s="158">
        <v>0.1054999977350235</v>
      </c>
      <c r="D60" s="158">
        <v>0.1054999977350235</v>
      </c>
      <c r="E60" s="158">
        <v>0.1054999977350235</v>
      </c>
      <c r="F60" s="158">
        <v>0.10540000349283218</v>
      </c>
      <c r="G60" s="158">
        <v>0.10530000180006027</v>
      </c>
      <c r="H60" s="158">
        <v>0.10520000010728836</v>
      </c>
      <c r="I60" s="158">
        <v>0.10520000010728836</v>
      </c>
      <c r="J60" s="158">
        <v>0.10499999672174454</v>
      </c>
      <c r="K60" s="158">
        <v>0.10499999672174454</v>
      </c>
      <c r="L60" s="158">
        <v>0.10499999672174454</v>
      </c>
      <c r="M60" s="158">
        <v>0.10490000247955322</v>
      </c>
      <c r="N60" s="158">
        <v>0.10490000247955322</v>
      </c>
      <c r="O60" s="158">
        <v>0.10480000078678131</v>
      </c>
      <c r="P60" s="158">
        <v>0.10459999740123749</v>
      </c>
      <c r="Q60" s="158">
        <v>0.10459999740123749</v>
      </c>
      <c r="R60" s="158">
        <v>0.10459999740123749</v>
      </c>
      <c r="S60" s="158">
        <v>0.10440000146627426</v>
      </c>
      <c r="T60" s="158">
        <v>0.10450000315904617</v>
      </c>
      <c r="U60" s="158">
        <v>0.10450000315904617</v>
      </c>
      <c r="V60" s="158">
        <f t="shared" si="1"/>
        <v>0.10445000231266022</v>
      </c>
      <c r="W60" s="158">
        <v>0.10440000146627426</v>
      </c>
      <c r="X60" s="158">
        <v>0.10440000146627426</v>
      </c>
      <c r="Y60" s="158">
        <v>0.10429999977350235</v>
      </c>
      <c r="Z60" s="158">
        <v>0.10419999808073044</v>
      </c>
      <c r="AA60" s="158">
        <v>0.10419999808073044</v>
      </c>
      <c r="AB60" s="158">
        <v>0.10419999808073044</v>
      </c>
      <c r="AC60" s="158">
        <v>0.10440000146627426</v>
      </c>
      <c r="AD60" s="158">
        <v>0.10409999638795853</v>
      </c>
      <c r="AE60" s="158">
        <v>0.10400000214576721</v>
      </c>
      <c r="AF60" s="158">
        <v>0.10400000214576721</v>
      </c>
    </row>
    <row r="61" spans="1:32" x14ac:dyDescent="0.2">
      <c r="A61" s="158" t="s">
        <v>214</v>
      </c>
      <c r="B61" s="158">
        <v>0.10689999908208847</v>
      </c>
      <c r="C61" s="158">
        <v>0.10679999738931656</v>
      </c>
      <c r="D61" s="158">
        <v>0.10679999738931656</v>
      </c>
      <c r="E61" s="158">
        <v>0.10679999738931656</v>
      </c>
      <c r="F61" s="158">
        <v>0.10670000314712524</v>
      </c>
      <c r="G61" s="158">
        <v>0.10660000145435333</v>
      </c>
      <c r="H61" s="158">
        <v>0.10649999976158142</v>
      </c>
      <c r="I61" s="158">
        <v>0.1062999963760376</v>
      </c>
      <c r="J61" s="158">
        <v>0.1062999963760376</v>
      </c>
      <c r="K61" s="158">
        <v>0.10620000213384628</v>
      </c>
      <c r="L61" s="158">
        <v>0.1062999963760376</v>
      </c>
      <c r="M61" s="158">
        <v>0.10620000213384628</v>
      </c>
      <c r="N61" s="158">
        <v>0.10610000044107437</v>
      </c>
      <c r="O61" s="158">
        <v>0.10610000044107437</v>
      </c>
      <c r="P61" s="158">
        <v>0.10580000281333923</v>
      </c>
      <c r="Q61" s="158">
        <v>0.10589999705553055</v>
      </c>
      <c r="R61" s="158">
        <v>0.10580000281333923</v>
      </c>
      <c r="S61" s="158">
        <v>0.10570000112056732</v>
      </c>
      <c r="T61" s="158">
        <v>0.10570000112056732</v>
      </c>
      <c r="U61" s="158">
        <v>0.10570000112056732</v>
      </c>
      <c r="V61" s="158">
        <f t="shared" si="1"/>
        <v>0.10565000027418137</v>
      </c>
      <c r="W61" s="158">
        <v>0.10559999942779541</v>
      </c>
      <c r="X61" s="158">
        <v>0.1054999977350235</v>
      </c>
      <c r="Y61" s="158">
        <v>0.1054999977350235</v>
      </c>
      <c r="Z61" s="158">
        <v>0.10540000349283218</v>
      </c>
      <c r="AA61" s="158">
        <v>0.10540000349283218</v>
      </c>
      <c r="AB61" s="158">
        <v>0.10540000349283218</v>
      </c>
      <c r="AC61" s="158">
        <v>0.10540000349283218</v>
      </c>
      <c r="AD61" s="158">
        <v>0.10530000180006027</v>
      </c>
      <c r="AE61" s="158">
        <v>0.10520000010728836</v>
      </c>
      <c r="AF61" s="158">
        <v>0.10530000180006027</v>
      </c>
    </row>
    <row r="62" spans="1:32" x14ac:dyDescent="0.2">
      <c r="A62" s="158" t="s">
        <v>215</v>
      </c>
      <c r="B62" s="158">
        <v>0.10819999873638153</v>
      </c>
      <c r="C62" s="158">
        <v>0.10790000110864639</v>
      </c>
      <c r="D62" s="158">
        <v>0.10779999941587448</v>
      </c>
      <c r="E62" s="158">
        <v>0.1080000028014183</v>
      </c>
      <c r="F62" s="158">
        <v>0.10760000348091125</v>
      </c>
      <c r="G62" s="158">
        <v>0.10750000178813934</v>
      </c>
      <c r="H62" s="158">
        <v>0.10740000009536743</v>
      </c>
      <c r="I62" s="158">
        <v>0.10719999670982361</v>
      </c>
      <c r="J62" s="158">
        <v>0.10719999670982361</v>
      </c>
      <c r="K62" s="158">
        <v>0.10710000246763229</v>
      </c>
      <c r="L62" s="158">
        <v>0.10719999670982361</v>
      </c>
      <c r="M62" s="158">
        <v>0.10700000077486038</v>
      </c>
      <c r="N62" s="158">
        <v>0.10700000077486038</v>
      </c>
      <c r="O62" s="158">
        <v>0.10700000077486038</v>
      </c>
      <c r="P62" s="158">
        <v>0.10679999738931656</v>
      </c>
      <c r="Q62" s="158">
        <v>0.10679999738931656</v>
      </c>
      <c r="R62" s="158">
        <v>0.10670000314712524</v>
      </c>
      <c r="S62" s="158">
        <v>0.10660000145435333</v>
      </c>
      <c r="T62" s="158">
        <v>0.10660000145435333</v>
      </c>
      <c r="U62" s="158">
        <v>0.10660000145435333</v>
      </c>
      <c r="V62" s="158">
        <f t="shared" si="1"/>
        <v>0.10655000060796738</v>
      </c>
      <c r="W62" s="158">
        <v>0.10649999976158142</v>
      </c>
      <c r="X62" s="158">
        <v>0.10649999976158142</v>
      </c>
      <c r="Y62" s="158">
        <v>0.1062999963760376</v>
      </c>
      <c r="Z62" s="158">
        <v>0.1062999963760376</v>
      </c>
      <c r="AA62" s="158">
        <v>0.1062999963760376</v>
      </c>
      <c r="AB62" s="158">
        <v>0.1062999963760376</v>
      </c>
      <c r="AC62" s="158">
        <v>0.1062999963760376</v>
      </c>
      <c r="AD62" s="158">
        <v>0.10620000213384628</v>
      </c>
      <c r="AE62" s="158">
        <v>0.10610000044107437</v>
      </c>
      <c r="AF62" s="158">
        <v>0.10610000044107437</v>
      </c>
    </row>
    <row r="63" spans="1:32" x14ac:dyDescent="0.2">
      <c r="A63" s="158" t="s">
        <v>216</v>
      </c>
      <c r="B63" s="158">
        <v>0.10639999806880951</v>
      </c>
      <c r="C63" s="158">
        <v>0.10599999874830246</v>
      </c>
      <c r="D63" s="158">
        <v>0.10589999705553055</v>
      </c>
      <c r="E63" s="158">
        <v>0.10840000212192535</v>
      </c>
      <c r="F63" s="158">
        <v>0.10869999974966049</v>
      </c>
      <c r="G63" s="158">
        <v>0.10819999873638153</v>
      </c>
      <c r="H63" s="158">
        <v>0.10819999873638153</v>
      </c>
      <c r="I63" s="158">
        <v>0.1080000028014183</v>
      </c>
      <c r="J63" s="158">
        <v>0.10779999941587448</v>
      </c>
      <c r="K63" s="158">
        <v>0.1080000028014183</v>
      </c>
      <c r="L63" s="158">
        <v>0.10830000042915344</v>
      </c>
      <c r="M63" s="158">
        <v>0.1080000028014183</v>
      </c>
      <c r="N63" s="158">
        <v>0.10809999704360962</v>
      </c>
      <c r="O63" s="158">
        <v>0.10779999941587448</v>
      </c>
      <c r="P63" s="158">
        <v>0.10740000009536743</v>
      </c>
      <c r="Q63" s="158">
        <v>0.10760000348091125</v>
      </c>
      <c r="R63" s="158">
        <v>0.10760000348091125</v>
      </c>
      <c r="S63" s="158">
        <v>0.1080000028014183</v>
      </c>
      <c r="T63" s="158">
        <v>0.10750000178813934</v>
      </c>
      <c r="U63" s="158">
        <v>0.10750000178813934</v>
      </c>
      <c r="V63" s="158">
        <f t="shared" si="1"/>
        <v>0.1075500026345253</v>
      </c>
      <c r="W63" s="158">
        <v>0.10760000348091125</v>
      </c>
      <c r="X63" s="158">
        <v>0.10779999941587448</v>
      </c>
      <c r="Y63" s="158">
        <v>0.10740000009536743</v>
      </c>
      <c r="Z63" s="158">
        <v>0.10750000178813934</v>
      </c>
      <c r="AA63" s="158">
        <v>0.10920000076293945</v>
      </c>
      <c r="AB63" s="158">
        <v>0.10830000042915344</v>
      </c>
      <c r="AC63" s="158">
        <v>0.10909999907016754</v>
      </c>
      <c r="AD63" s="158">
        <v>0.10819999873638153</v>
      </c>
      <c r="AE63" s="158">
        <v>0.10740000009536743</v>
      </c>
      <c r="AF63" s="158">
        <v>0.10849999636411667</v>
      </c>
    </row>
    <row r="64" spans="1:32" x14ac:dyDescent="0.2">
      <c r="A64" s="158" t="s">
        <v>217</v>
      </c>
      <c r="B64" s="158">
        <v>0.10580000281333923</v>
      </c>
      <c r="C64" s="158">
        <v>0.10570000112056732</v>
      </c>
      <c r="D64" s="158">
        <v>0.10570000112056732</v>
      </c>
      <c r="E64" s="158">
        <v>0.10580000281333923</v>
      </c>
      <c r="F64" s="158">
        <v>0.1054999977350235</v>
      </c>
      <c r="G64" s="158">
        <v>0.10559999942779541</v>
      </c>
      <c r="H64" s="158">
        <v>0.10540000349283218</v>
      </c>
      <c r="I64" s="158">
        <v>0.10530000180006027</v>
      </c>
      <c r="J64" s="158">
        <v>0.10520000010728836</v>
      </c>
      <c r="K64" s="158">
        <v>0.10520000010728836</v>
      </c>
      <c r="L64" s="158">
        <v>0.10520000010728836</v>
      </c>
      <c r="M64" s="158">
        <v>0.10509999841451645</v>
      </c>
      <c r="N64" s="158">
        <v>0.10509999841451645</v>
      </c>
      <c r="O64" s="158">
        <v>0.10499999672174454</v>
      </c>
      <c r="P64" s="158">
        <v>0.10480000078678131</v>
      </c>
      <c r="Q64" s="158">
        <v>0.10480000078678131</v>
      </c>
      <c r="R64" s="158">
        <v>0.10480000078678131</v>
      </c>
      <c r="S64" s="158">
        <v>0.1046999990940094</v>
      </c>
      <c r="T64" s="158">
        <v>0.1046999990940094</v>
      </c>
      <c r="U64" s="158">
        <v>0.1046999990940094</v>
      </c>
      <c r="V64" s="158">
        <f t="shared" si="1"/>
        <v>0.10464999824762344</v>
      </c>
      <c r="W64" s="158">
        <v>0.10459999740123749</v>
      </c>
      <c r="X64" s="158">
        <v>0.10459999740123749</v>
      </c>
      <c r="Y64" s="158">
        <v>0.10450000315904617</v>
      </c>
      <c r="Z64" s="158">
        <v>0.10450000315904617</v>
      </c>
      <c r="AA64" s="158">
        <v>0.10429999977350235</v>
      </c>
      <c r="AB64" s="158">
        <v>0.10429999977350235</v>
      </c>
      <c r="AC64" s="158">
        <v>0.10429999977350235</v>
      </c>
      <c r="AD64" s="158">
        <v>0.10429999977350235</v>
      </c>
      <c r="AE64" s="158">
        <v>0.10419999808073044</v>
      </c>
      <c r="AF64" s="158">
        <v>0.10419999808073044</v>
      </c>
    </row>
    <row r="65" spans="1:32" x14ac:dyDescent="0.2">
      <c r="A65" s="158" t="s">
        <v>218</v>
      </c>
      <c r="B65" s="158">
        <v>0.10999999940395355</v>
      </c>
      <c r="C65" s="158">
        <v>0.10859999805688858</v>
      </c>
      <c r="D65" s="158">
        <v>0.1088000014424324</v>
      </c>
      <c r="E65" s="158">
        <v>0.10869999974966049</v>
      </c>
      <c r="F65" s="158">
        <v>0.10859999805688858</v>
      </c>
      <c r="G65" s="158">
        <v>0.10890000313520432</v>
      </c>
      <c r="H65" s="158">
        <v>0.10849999636411667</v>
      </c>
      <c r="I65" s="158">
        <v>0.10830000042915344</v>
      </c>
      <c r="J65" s="158">
        <v>0.10840000212192535</v>
      </c>
      <c r="K65" s="158">
        <v>0.10809999704360962</v>
      </c>
      <c r="L65" s="158">
        <v>0.10869999974966049</v>
      </c>
      <c r="M65" s="158">
        <v>0.10849999636411667</v>
      </c>
      <c r="N65" s="158">
        <v>0.10859999805688858</v>
      </c>
      <c r="O65" s="158">
        <v>0.10849999636411667</v>
      </c>
      <c r="P65" s="158">
        <v>0.1080000028014183</v>
      </c>
      <c r="Q65" s="158">
        <v>0.10769999772310257</v>
      </c>
      <c r="R65" s="158">
        <v>0.10769999772310257</v>
      </c>
      <c r="S65" s="158">
        <v>0.1080000028014183</v>
      </c>
      <c r="T65" s="158">
        <v>0.10769999772310257</v>
      </c>
      <c r="U65" s="158">
        <v>0.10809999704360962</v>
      </c>
      <c r="V65" s="158">
        <f t="shared" si="1"/>
        <v>0.10794999822974205</v>
      </c>
      <c r="W65" s="158">
        <v>0.10779999941587448</v>
      </c>
      <c r="X65" s="158">
        <v>0.10740000009536743</v>
      </c>
      <c r="Y65" s="158">
        <v>0.10750000178813934</v>
      </c>
      <c r="Z65" s="158">
        <v>0.10750000178813934</v>
      </c>
      <c r="AA65" s="158">
        <v>0.10620000213384628</v>
      </c>
      <c r="AB65" s="158">
        <v>0.10670000314712524</v>
      </c>
      <c r="AC65" s="158">
        <v>0.10620000213384628</v>
      </c>
      <c r="AD65" s="158">
        <v>0.10700000077486038</v>
      </c>
      <c r="AE65" s="158">
        <v>0.10679999738931656</v>
      </c>
      <c r="AF65" s="158">
        <v>0.10639999806880951</v>
      </c>
    </row>
    <row r="66" spans="1:32" x14ac:dyDescent="0.2">
      <c r="A66" s="158" t="s">
        <v>219</v>
      </c>
      <c r="B66" s="158">
        <v>0.10649999976158142</v>
      </c>
      <c r="C66" s="158">
        <v>0.10620000213384628</v>
      </c>
      <c r="D66" s="158">
        <v>0.10610000044107437</v>
      </c>
      <c r="E66" s="158">
        <v>0.10639999806880951</v>
      </c>
      <c r="F66" s="158">
        <v>0.10620000213384628</v>
      </c>
      <c r="G66" s="158">
        <v>0.10620000213384628</v>
      </c>
      <c r="H66" s="158">
        <v>0.10610000044107437</v>
      </c>
      <c r="I66" s="158">
        <v>0.10589999705553055</v>
      </c>
      <c r="J66" s="158">
        <v>0.10610000044107437</v>
      </c>
      <c r="K66" s="158">
        <v>0.10589999705553055</v>
      </c>
      <c r="L66" s="158">
        <v>0.10589999705553055</v>
      </c>
      <c r="M66" s="158">
        <v>0.10570000112056732</v>
      </c>
      <c r="N66" s="158">
        <v>0.10570000112056732</v>
      </c>
      <c r="O66" s="158">
        <v>0.10559999942779541</v>
      </c>
      <c r="P66" s="158">
        <v>0.10540000349283218</v>
      </c>
      <c r="Q66" s="158">
        <v>0.10540000349283218</v>
      </c>
      <c r="R66" s="158">
        <v>0.10540000349283218</v>
      </c>
      <c r="S66" s="158">
        <v>0.10530000180006027</v>
      </c>
      <c r="T66" s="158">
        <v>0.10530000180006027</v>
      </c>
      <c r="U66" s="158">
        <v>0.10530000180006027</v>
      </c>
      <c r="V66" s="158">
        <f t="shared" si="1"/>
        <v>0.10525000095367432</v>
      </c>
      <c r="W66" s="158">
        <v>0.10520000010728836</v>
      </c>
      <c r="X66" s="158">
        <v>0.10509999841451645</v>
      </c>
      <c r="Y66" s="158">
        <v>0.10499999672174454</v>
      </c>
      <c r="Z66" s="158">
        <v>0.10520000010728836</v>
      </c>
      <c r="AA66" s="158">
        <v>0.10490000247955322</v>
      </c>
      <c r="AB66" s="158">
        <v>0.10490000247955322</v>
      </c>
      <c r="AC66" s="158">
        <v>0.10490000247955322</v>
      </c>
      <c r="AD66" s="158">
        <v>0.10480000078678131</v>
      </c>
      <c r="AE66" s="158">
        <v>0.10499999672174454</v>
      </c>
      <c r="AF66" s="158">
        <v>0.10480000078678131</v>
      </c>
    </row>
    <row r="67" spans="1:32" x14ac:dyDescent="0.2">
      <c r="A67" s="158" t="s">
        <v>220</v>
      </c>
      <c r="B67" s="158">
        <v>0.10679999738931656</v>
      </c>
      <c r="C67" s="158">
        <v>0.10660000145435333</v>
      </c>
      <c r="D67" s="158">
        <v>0.10649999976158142</v>
      </c>
      <c r="E67" s="158">
        <v>0.10649999976158142</v>
      </c>
      <c r="F67" s="158">
        <v>0.1062999963760376</v>
      </c>
      <c r="G67" s="158">
        <v>0.10620000213384628</v>
      </c>
      <c r="H67" s="158">
        <v>0.10610000044107437</v>
      </c>
      <c r="I67" s="158">
        <v>0.10599999874830246</v>
      </c>
      <c r="J67" s="158">
        <v>0.10589999705553055</v>
      </c>
      <c r="K67" s="158">
        <v>0.10589999705553055</v>
      </c>
      <c r="L67" s="158">
        <v>0.10589999705553055</v>
      </c>
      <c r="M67" s="158">
        <v>0.10580000281333923</v>
      </c>
      <c r="N67" s="158">
        <v>0.10570000112056732</v>
      </c>
      <c r="O67" s="158">
        <v>0.10559999942779541</v>
      </c>
      <c r="P67" s="158">
        <v>0.10540000349283218</v>
      </c>
      <c r="Q67" s="158">
        <v>0.10540000349283218</v>
      </c>
      <c r="R67" s="158">
        <v>0.10530000180006027</v>
      </c>
      <c r="S67" s="158">
        <v>0.10520000010728836</v>
      </c>
      <c r="T67" s="158">
        <v>0.10520000010728836</v>
      </c>
      <c r="U67" s="158">
        <v>0.10520000010728836</v>
      </c>
      <c r="V67" s="158">
        <f t="shared" si="1"/>
        <v>0.10509999841451645</v>
      </c>
      <c r="W67" s="158">
        <v>0.10499999672174454</v>
      </c>
      <c r="X67" s="158">
        <v>0.10499999672174454</v>
      </c>
      <c r="Y67" s="158">
        <v>0.10480000078678131</v>
      </c>
      <c r="Z67" s="158">
        <v>0.10480000078678131</v>
      </c>
      <c r="AA67" s="158">
        <v>0.10459999740123749</v>
      </c>
      <c r="AB67" s="158">
        <v>0.10459999740123749</v>
      </c>
      <c r="AC67" s="158">
        <v>0.10459999740123749</v>
      </c>
      <c r="AD67" s="158">
        <v>0.10450000315904617</v>
      </c>
      <c r="AE67" s="158">
        <v>0.10440000146627426</v>
      </c>
      <c r="AF67" s="158">
        <v>0.10440000146627426</v>
      </c>
    </row>
    <row r="68" spans="1:32" x14ac:dyDescent="0.2">
      <c r="A68" s="158" t="s">
        <v>221</v>
      </c>
      <c r="B68" s="158">
        <v>0.10620000213384628</v>
      </c>
      <c r="C68" s="158">
        <v>0.10610000044107437</v>
      </c>
      <c r="D68" s="158">
        <v>0.10599999874830246</v>
      </c>
      <c r="E68" s="158">
        <v>0.10610000044107437</v>
      </c>
      <c r="F68" s="158">
        <v>0.10589999705553055</v>
      </c>
      <c r="G68" s="158">
        <v>0.10599999874830246</v>
      </c>
      <c r="H68" s="158">
        <v>0.10589999705553055</v>
      </c>
      <c r="I68" s="158">
        <v>0.10580000281333923</v>
      </c>
      <c r="J68" s="158">
        <v>0.10570000112056732</v>
      </c>
      <c r="K68" s="158">
        <v>0.10570000112056732</v>
      </c>
      <c r="L68" s="158">
        <v>0.10580000281333923</v>
      </c>
      <c r="M68" s="158">
        <v>0.10570000112056732</v>
      </c>
      <c r="N68" s="158">
        <v>0.10559999942779541</v>
      </c>
      <c r="O68" s="158">
        <v>0.10540000349283218</v>
      </c>
      <c r="P68" s="158">
        <v>0.10530000180006027</v>
      </c>
      <c r="Q68" s="158">
        <v>0.10530000180006027</v>
      </c>
      <c r="R68" s="158">
        <v>0.10520000010728836</v>
      </c>
      <c r="S68" s="158">
        <v>0.10530000180006027</v>
      </c>
      <c r="T68" s="158">
        <v>0.10530000180006027</v>
      </c>
      <c r="U68" s="158">
        <v>0.10540000349283218</v>
      </c>
      <c r="V68" s="158">
        <f t="shared" si="1"/>
        <v>0.10530000180006027</v>
      </c>
      <c r="W68" s="158">
        <v>0.10520000010728836</v>
      </c>
      <c r="X68" s="158">
        <v>0.10520000010728836</v>
      </c>
      <c r="Y68" s="158">
        <v>0.10499999672174454</v>
      </c>
      <c r="Z68" s="158">
        <v>0.10490000247955322</v>
      </c>
      <c r="AA68" s="158">
        <v>0.10490000247955322</v>
      </c>
      <c r="AB68" s="158">
        <v>0.10480000078678131</v>
      </c>
      <c r="AC68" s="158">
        <v>0.1046999990940094</v>
      </c>
      <c r="AD68" s="158">
        <v>0.10480000078678131</v>
      </c>
      <c r="AE68" s="158">
        <v>0.1046999990940094</v>
      </c>
      <c r="AF68" s="158">
        <v>0.10480000078678131</v>
      </c>
    </row>
    <row r="69" spans="1:32" x14ac:dyDescent="0.2">
      <c r="A69" s="158" t="s">
        <v>222</v>
      </c>
      <c r="B69" s="158">
        <v>0.10649999976158142</v>
      </c>
      <c r="C69" s="158">
        <v>0.10610000044107437</v>
      </c>
      <c r="D69" s="158">
        <v>0.10599999874830246</v>
      </c>
      <c r="E69" s="158">
        <v>0.10610000044107437</v>
      </c>
      <c r="F69" s="158">
        <v>0.10589999705553055</v>
      </c>
      <c r="G69" s="158">
        <v>0.10580000281333923</v>
      </c>
      <c r="H69" s="158">
        <v>0.10570000112056732</v>
      </c>
      <c r="I69" s="158">
        <v>0.10559999942779541</v>
      </c>
      <c r="J69" s="158">
        <v>0.1054999977350235</v>
      </c>
      <c r="K69" s="158">
        <v>0.1054999977350235</v>
      </c>
      <c r="L69" s="158">
        <v>0.1054999977350235</v>
      </c>
      <c r="M69" s="158">
        <v>0.10540000349283218</v>
      </c>
      <c r="N69" s="158">
        <v>0.10540000349283218</v>
      </c>
      <c r="O69" s="158">
        <v>0.10530000180006027</v>
      </c>
      <c r="P69" s="158">
        <v>0.10499999672174454</v>
      </c>
      <c r="Q69" s="158">
        <v>0.10499999672174454</v>
      </c>
      <c r="R69" s="158">
        <v>0.10499999672174454</v>
      </c>
      <c r="S69" s="158">
        <v>0.10490000247955322</v>
      </c>
      <c r="T69" s="158">
        <v>0.10490000247955322</v>
      </c>
      <c r="U69" s="158">
        <v>0.10490000247955322</v>
      </c>
      <c r="V69" s="158">
        <f t="shared" si="1"/>
        <v>0.10485000163316727</v>
      </c>
      <c r="W69" s="158">
        <v>0.10480000078678131</v>
      </c>
      <c r="X69" s="158">
        <v>0.10480000078678131</v>
      </c>
      <c r="Y69" s="158">
        <v>0.1046999990940094</v>
      </c>
      <c r="Z69" s="158">
        <v>0.10450000315904617</v>
      </c>
      <c r="AA69" s="158">
        <v>0.10450000315904617</v>
      </c>
      <c r="AB69" s="158">
        <v>0.10450000315904617</v>
      </c>
      <c r="AC69" s="158">
        <v>0.10440000146627426</v>
      </c>
      <c r="AD69" s="158">
        <v>0.10440000146627426</v>
      </c>
      <c r="AE69" s="158">
        <v>0.10440000146627426</v>
      </c>
      <c r="AF69" s="158">
        <v>0.10429999977350235</v>
      </c>
    </row>
    <row r="70" spans="1:32" x14ac:dyDescent="0.2">
      <c r="A70" s="158" t="s">
        <v>223</v>
      </c>
      <c r="B70" s="158">
        <v>0.10710000246763229</v>
      </c>
      <c r="C70" s="158">
        <v>0.10689999908208847</v>
      </c>
      <c r="D70" s="158">
        <v>0.10679999738931656</v>
      </c>
      <c r="E70" s="158">
        <v>0.10679999738931656</v>
      </c>
      <c r="F70" s="158">
        <v>0.10689999908208847</v>
      </c>
      <c r="G70" s="158">
        <v>0.10670000314712524</v>
      </c>
      <c r="H70" s="158">
        <v>0.10670000314712524</v>
      </c>
      <c r="I70" s="158">
        <v>0.10649999976158142</v>
      </c>
      <c r="J70" s="158">
        <v>0.10649999976158142</v>
      </c>
      <c r="K70" s="158">
        <v>0.10639999806880951</v>
      </c>
      <c r="L70" s="158">
        <v>0.10649999976158142</v>
      </c>
      <c r="M70" s="158">
        <v>0.10639999806880951</v>
      </c>
      <c r="N70" s="158">
        <v>0.1062999963760376</v>
      </c>
      <c r="O70" s="158">
        <v>0.10620000213384628</v>
      </c>
      <c r="P70" s="158">
        <v>0.10610000044107437</v>
      </c>
      <c r="Q70" s="158">
        <v>0.10599999874830246</v>
      </c>
      <c r="R70" s="158">
        <v>0.10599999874830246</v>
      </c>
      <c r="S70" s="158">
        <v>0.10610000044107437</v>
      </c>
      <c r="T70" s="158">
        <v>0.10610000044107437</v>
      </c>
      <c r="U70" s="158">
        <v>0.10610000044107437</v>
      </c>
      <c r="V70" s="158">
        <f t="shared" si="1"/>
        <v>0.10610000044107437</v>
      </c>
      <c r="W70" s="158">
        <v>0.10610000044107437</v>
      </c>
      <c r="X70" s="158">
        <v>0.10599999874830246</v>
      </c>
      <c r="Y70" s="158">
        <v>0.10589999705553055</v>
      </c>
      <c r="Z70" s="158">
        <v>0.10580000281333923</v>
      </c>
      <c r="AA70" s="158">
        <v>0.10589999705553055</v>
      </c>
      <c r="AB70" s="158">
        <v>0.10559999942779541</v>
      </c>
      <c r="AC70" s="158">
        <v>0.10559999942779541</v>
      </c>
      <c r="AD70" s="158">
        <v>0.10559999942779541</v>
      </c>
      <c r="AE70" s="158">
        <v>0.10559999942779541</v>
      </c>
      <c r="AF70" s="158">
        <v>0.10589999705553055</v>
      </c>
    </row>
    <row r="71" spans="1:32" x14ac:dyDescent="0.2">
      <c r="A71" s="158" t="s">
        <v>224</v>
      </c>
      <c r="B71" s="158">
        <v>0.10710000246763229</v>
      </c>
      <c r="C71" s="158">
        <v>0.10679999738931656</v>
      </c>
      <c r="D71" s="158">
        <v>0.10670000314712524</v>
      </c>
      <c r="E71" s="158">
        <v>0.10670000314712524</v>
      </c>
      <c r="F71" s="158">
        <v>0.10660000145435333</v>
      </c>
      <c r="G71" s="158">
        <v>0.10660000145435333</v>
      </c>
      <c r="H71" s="158">
        <v>0.10639999806880951</v>
      </c>
      <c r="I71" s="158">
        <v>0.1062999963760376</v>
      </c>
      <c r="J71" s="158">
        <v>0.10620000213384628</v>
      </c>
      <c r="K71" s="158">
        <v>0.10620000213384628</v>
      </c>
      <c r="L71" s="158">
        <v>0.10620000213384628</v>
      </c>
      <c r="M71" s="158">
        <v>0.10599999874830246</v>
      </c>
      <c r="N71" s="158">
        <v>0.10589999705553055</v>
      </c>
      <c r="O71" s="158">
        <v>0.10570000112056732</v>
      </c>
      <c r="P71" s="158">
        <v>0.1054999977350235</v>
      </c>
      <c r="Q71" s="158">
        <v>0.1054999977350235</v>
      </c>
      <c r="R71" s="158">
        <v>0.1054999977350235</v>
      </c>
      <c r="S71" s="158">
        <v>0.1054999977350235</v>
      </c>
      <c r="T71" s="158">
        <v>0.10559999942779541</v>
      </c>
      <c r="U71" s="158">
        <v>0.10570000112056732</v>
      </c>
      <c r="V71" s="158">
        <f t="shared" si="1"/>
        <v>0.10559999942779541</v>
      </c>
      <c r="W71" s="158">
        <v>0.1054999977350235</v>
      </c>
      <c r="X71" s="158">
        <v>0.10540000349283218</v>
      </c>
      <c r="Y71" s="158">
        <v>0.10520000010728836</v>
      </c>
      <c r="Z71" s="158">
        <v>0.10509999841451645</v>
      </c>
      <c r="AA71" s="158">
        <v>0.10490000247955322</v>
      </c>
      <c r="AB71" s="158">
        <v>0.10480000078678131</v>
      </c>
      <c r="AC71" s="158">
        <v>0.10480000078678131</v>
      </c>
      <c r="AD71" s="158">
        <v>0.10480000078678131</v>
      </c>
      <c r="AE71" s="158">
        <v>0.1046999990940094</v>
      </c>
      <c r="AF71" s="158">
        <v>0.10490000247955322</v>
      </c>
    </row>
    <row r="72" spans="1:32" x14ac:dyDescent="0.2">
      <c r="A72" s="158" t="s">
        <v>225</v>
      </c>
      <c r="B72" s="158">
        <v>0.10719999670982361</v>
      </c>
      <c r="C72" s="158">
        <v>0.10719999670982361</v>
      </c>
      <c r="D72" s="158">
        <v>0.10719999670982361</v>
      </c>
      <c r="E72" s="158">
        <v>0.10729999840259552</v>
      </c>
      <c r="F72" s="158">
        <v>0.10729999840259552</v>
      </c>
      <c r="G72" s="158">
        <v>0.10740000009536743</v>
      </c>
      <c r="H72" s="158">
        <v>0.10729999840259552</v>
      </c>
      <c r="I72" s="158">
        <v>0.10729999840259552</v>
      </c>
      <c r="J72" s="158">
        <v>0.10719999670982361</v>
      </c>
      <c r="K72" s="158">
        <v>0.10719999670982361</v>
      </c>
      <c r="L72" s="158">
        <v>0.10719999670982361</v>
      </c>
      <c r="M72" s="158">
        <v>0.10729999840259552</v>
      </c>
      <c r="N72" s="158">
        <v>0.10689999908208847</v>
      </c>
      <c r="O72" s="158">
        <v>0.10679999738931656</v>
      </c>
      <c r="P72" s="158">
        <v>0.10660000145435333</v>
      </c>
      <c r="Q72" s="158">
        <v>0.10660000145435333</v>
      </c>
      <c r="R72" s="158">
        <v>0.10660000145435333</v>
      </c>
      <c r="S72" s="158">
        <v>0.10670000314712524</v>
      </c>
      <c r="T72" s="158">
        <v>0.10679999738931656</v>
      </c>
      <c r="U72" s="158">
        <v>0.10689999908208847</v>
      </c>
      <c r="V72" s="158">
        <f t="shared" si="1"/>
        <v>0.10684999823570251</v>
      </c>
      <c r="W72" s="158">
        <v>0.10679999738931656</v>
      </c>
      <c r="X72" s="158">
        <v>0.10679999738931656</v>
      </c>
      <c r="Y72" s="158">
        <v>0.10649999976158142</v>
      </c>
      <c r="Z72" s="158">
        <v>0.1062999963760376</v>
      </c>
      <c r="AA72" s="158">
        <v>0.10620000213384628</v>
      </c>
      <c r="AB72" s="158">
        <v>0.10610000044107437</v>
      </c>
      <c r="AC72" s="158">
        <v>0.10610000044107437</v>
      </c>
      <c r="AD72" s="158">
        <v>0.10610000044107437</v>
      </c>
      <c r="AE72" s="158">
        <v>0.10610000044107437</v>
      </c>
      <c r="AF72" s="158">
        <v>0.10620000213384628</v>
      </c>
    </row>
    <row r="73" spans="1:32" x14ac:dyDescent="0.2">
      <c r="A73" s="158" t="s">
        <v>226</v>
      </c>
      <c r="B73" s="158">
        <v>0.10740000009536743</v>
      </c>
      <c r="C73" s="158">
        <v>0.10710000246763229</v>
      </c>
      <c r="D73" s="158">
        <v>0.10710000246763229</v>
      </c>
      <c r="E73" s="158">
        <v>0.10700000077486038</v>
      </c>
      <c r="F73" s="158">
        <v>0.10689999908208847</v>
      </c>
      <c r="G73" s="158">
        <v>0.10719999670982361</v>
      </c>
      <c r="H73" s="158">
        <v>0.10679999738931656</v>
      </c>
      <c r="I73" s="158">
        <v>0.10670000314712524</v>
      </c>
      <c r="J73" s="158">
        <v>0.10670000314712524</v>
      </c>
      <c r="K73" s="158">
        <v>0.10670000314712524</v>
      </c>
      <c r="L73" s="158">
        <v>0.10670000314712524</v>
      </c>
      <c r="M73" s="158">
        <v>0.10649999976158142</v>
      </c>
      <c r="N73" s="158">
        <v>0.10639999806880951</v>
      </c>
      <c r="O73" s="158">
        <v>0.10620000213384628</v>
      </c>
      <c r="P73" s="158">
        <v>0.10599999874830246</v>
      </c>
      <c r="Q73" s="158">
        <v>0.10599999874830246</v>
      </c>
      <c r="R73" s="158">
        <v>0.10599999874830246</v>
      </c>
      <c r="S73" s="158">
        <v>0.10599999874830246</v>
      </c>
      <c r="T73" s="158">
        <v>0.10610000044107437</v>
      </c>
      <c r="U73" s="158">
        <v>0.10620000213384628</v>
      </c>
      <c r="V73" s="158">
        <f t="shared" si="1"/>
        <v>0.10615000128746033</v>
      </c>
      <c r="W73" s="158">
        <v>0.10610000044107437</v>
      </c>
      <c r="X73" s="158">
        <v>0.10599999874830246</v>
      </c>
      <c r="Y73" s="158">
        <v>0.10570000112056732</v>
      </c>
      <c r="Z73" s="158">
        <v>0.1054999977350235</v>
      </c>
      <c r="AA73" s="158">
        <v>0.10540000349283218</v>
      </c>
      <c r="AB73" s="158">
        <v>0.10540000349283218</v>
      </c>
      <c r="AC73" s="158">
        <v>0.10530000180006027</v>
      </c>
      <c r="AD73" s="158">
        <v>0.10540000349283218</v>
      </c>
      <c r="AE73" s="158">
        <v>0.10530000180006027</v>
      </c>
      <c r="AF73" s="158">
        <v>0.1054999977350235</v>
      </c>
    </row>
    <row r="74" spans="1:32" x14ac:dyDescent="0.2">
      <c r="A74" s="158" t="s">
        <v>227</v>
      </c>
      <c r="B74" s="158">
        <v>0.10859999805688858</v>
      </c>
      <c r="C74" s="158">
        <v>0.10819999873638153</v>
      </c>
      <c r="D74" s="158">
        <v>0.10809999704360962</v>
      </c>
      <c r="E74" s="158">
        <v>0.10819999873638153</v>
      </c>
      <c r="F74" s="158">
        <v>0.10809999704360962</v>
      </c>
      <c r="G74" s="158">
        <v>0.10819999873638153</v>
      </c>
      <c r="H74" s="158">
        <v>0.10809999704360962</v>
      </c>
      <c r="I74" s="158">
        <v>0.1080000028014183</v>
      </c>
      <c r="J74" s="158">
        <v>0.1080000028014183</v>
      </c>
      <c r="K74" s="158">
        <v>0.1080000028014183</v>
      </c>
      <c r="L74" s="158">
        <v>0.1080000028014183</v>
      </c>
      <c r="M74" s="158">
        <v>0.10779999941587448</v>
      </c>
      <c r="N74" s="158">
        <v>0.10769999772310257</v>
      </c>
      <c r="O74" s="158">
        <v>0.10750000178813934</v>
      </c>
      <c r="P74" s="158">
        <v>0.10729999840259552</v>
      </c>
      <c r="Q74" s="158">
        <v>0.10760000348091125</v>
      </c>
      <c r="R74" s="158">
        <v>0.10729999840259552</v>
      </c>
      <c r="S74" s="158">
        <v>0.10760000348091125</v>
      </c>
      <c r="T74" s="158">
        <v>0.10760000348091125</v>
      </c>
      <c r="U74" s="158">
        <v>0.10769999772310257</v>
      </c>
      <c r="V74" s="158">
        <f t="shared" si="1"/>
        <v>0.10799999907612801</v>
      </c>
      <c r="W74" s="158">
        <v>0.10830000042915344</v>
      </c>
      <c r="X74" s="158">
        <v>0.10819999873638153</v>
      </c>
      <c r="Y74" s="158">
        <v>0.10939999669790268</v>
      </c>
      <c r="Z74" s="158">
        <v>0.10899999737739563</v>
      </c>
      <c r="AA74" s="158">
        <v>0.10920000076293945</v>
      </c>
      <c r="AB74" s="158">
        <v>0.10930000245571136</v>
      </c>
      <c r="AC74" s="158">
        <v>0.10890000313520432</v>
      </c>
      <c r="AD74" s="158">
        <v>0.10890000313520432</v>
      </c>
      <c r="AE74" s="158">
        <v>0.1088000014424324</v>
      </c>
      <c r="AF74" s="158">
        <v>0.10830000042915344</v>
      </c>
    </row>
    <row r="75" spans="1:32" x14ac:dyDescent="0.2">
      <c r="A75" s="158" t="s">
        <v>228</v>
      </c>
      <c r="B75" s="158">
        <v>0.10719999670982361</v>
      </c>
      <c r="C75" s="158">
        <v>0.10660000145435333</v>
      </c>
      <c r="D75" s="158">
        <v>0.10660000145435333</v>
      </c>
      <c r="E75" s="158">
        <v>0.10660000145435333</v>
      </c>
      <c r="F75" s="158">
        <v>0.10639999806880951</v>
      </c>
      <c r="G75" s="158">
        <v>0.10649999976158142</v>
      </c>
      <c r="H75" s="158">
        <v>0.10660000145435333</v>
      </c>
      <c r="I75" s="158">
        <v>0.10620000213384628</v>
      </c>
      <c r="J75" s="158">
        <v>0.10620000213384628</v>
      </c>
      <c r="K75" s="158">
        <v>0.10620000213384628</v>
      </c>
      <c r="L75" s="158">
        <v>0.10610000044107437</v>
      </c>
      <c r="M75" s="158">
        <v>0.10589999705553055</v>
      </c>
      <c r="N75" s="158">
        <v>0.10580000281333923</v>
      </c>
      <c r="O75" s="158">
        <v>0.1054999977350235</v>
      </c>
      <c r="P75" s="158">
        <v>0.10530000180006027</v>
      </c>
      <c r="Q75" s="158">
        <v>0.10530000180006027</v>
      </c>
      <c r="R75" s="158">
        <v>0.10530000180006027</v>
      </c>
      <c r="S75" s="158">
        <v>0.10540000349283218</v>
      </c>
      <c r="T75" s="158">
        <v>0.10570000112056732</v>
      </c>
      <c r="U75" s="158">
        <v>0.10570000112056732</v>
      </c>
      <c r="V75" s="158">
        <f t="shared" si="1"/>
        <v>0.10610000044107437</v>
      </c>
      <c r="W75" s="158">
        <v>0.10649999976158142</v>
      </c>
      <c r="X75" s="158">
        <v>0.10639999806880951</v>
      </c>
      <c r="Y75" s="158">
        <v>0.10620000213384628</v>
      </c>
      <c r="Z75" s="158">
        <v>0.10580000281333923</v>
      </c>
      <c r="AA75" s="158">
        <v>0.10570000112056732</v>
      </c>
      <c r="AB75" s="158">
        <v>0.10559999942779541</v>
      </c>
      <c r="AC75" s="158">
        <v>0.10540000349283218</v>
      </c>
      <c r="AD75" s="158">
        <v>0.1054999977350235</v>
      </c>
      <c r="AE75" s="158">
        <v>0.1054999977350235</v>
      </c>
      <c r="AF75" s="158">
        <v>0.10580000281333923</v>
      </c>
    </row>
    <row r="76" spans="1:32" x14ac:dyDescent="0.2">
      <c r="A76" s="158" t="s">
        <v>229</v>
      </c>
      <c r="B76" s="158">
        <v>0.10790000110864639</v>
      </c>
      <c r="C76" s="158">
        <v>0.10760000348091125</v>
      </c>
      <c r="D76" s="158">
        <v>0.10750000178813934</v>
      </c>
      <c r="E76" s="158">
        <v>0.10750000178813934</v>
      </c>
      <c r="F76" s="158">
        <v>0.10750000178813934</v>
      </c>
      <c r="G76" s="158">
        <v>0.10760000348091125</v>
      </c>
      <c r="H76" s="158">
        <v>0.10750000178813934</v>
      </c>
      <c r="I76" s="158">
        <v>0.10750000178813934</v>
      </c>
      <c r="J76" s="158">
        <v>0.10740000009536743</v>
      </c>
      <c r="K76" s="158">
        <v>0.10740000009536743</v>
      </c>
      <c r="L76" s="158">
        <v>0.10740000009536743</v>
      </c>
      <c r="M76" s="158">
        <v>0.10719999670982361</v>
      </c>
      <c r="N76" s="158">
        <v>0.10700000077486038</v>
      </c>
      <c r="O76" s="158">
        <v>0.10670000314712524</v>
      </c>
      <c r="P76" s="158">
        <v>0.10679999738931656</v>
      </c>
      <c r="Q76" s="158">
        <v>0.10649999976158142</v>
      </c>
      <c r="R76" s="158">
        <v>0.10660000145435333</v>
      </c>
      <c r="S76" s="158">
        <v>0.10679999738931656</v>
      </c>
      <c r="T76" s="158">
        <v>0.10700000077486038</v>
      </c>
      <c r="U76" s="158">
        <v>0.10710000246763229</v>
      </c>
      <c r="V76" s="158">
        <f t="shared" si="1"/>
        <v>0.10710000246763229</v>
      </c>
      <c r="W76" s="158">
        <v>0.10710000246763229</v>
      </c>
      <c r="X76" s="158">
        <v>0.10679999738931656</v>
      </c>
      <c r="Y76" s="158">
        <v>0.10660000145435333</v>
      </c>
      <c r="Z76" s="158">
        <v>0.1062999963760376</v>
      </c>
      <c r="AA76" s="158">
        <v>0.10620000213384628</v>
      </c>
      <c r="AB76" s="158">
        <v>0.10599999874830246</v>
      </c>
      <c r="AC76" s="158">
        <v>0.10589999705553055</v>
      </c>
      <c r="AD76" s="158">
        <v>0.10599999874830246</v>
      </c>
      <c r="AE76" s="158">
        <v>0.10599999874830246</v>
      </c>
      <c r="AF76" s="158">
        <v>0.10610000044107437</v>
      </c>
    </row>
    <row r="77" spans="1:32" x14ac:dyDescent="0.2">
      <c r="A77" s="158" t="s">
        <v>230</v>
      </c>
      <c r="B77" s="158">
        <v>0.10639999806880951</v>
      </c>
      <c r="C77" s="158">
        <v>0.10589999705553055</v>
      </c>
      <c r="D77" s="158">
        <v>0.10570000112056732</v>
      </c>
      <c r="E77" s="158">
        <v>0.10570000112056732</v>
      </c>
      <c r="F77" s="158">
        <v>0.1054999977350235</v>
      </c>
      <c r="G77" s="158">
        <v>0.10559999942779541</v>
      </c>
      <c r="H77" s="158">
        <v>0.10540000349283218</v>
      </c>
      <c r="I77" s="158">
        <v>0.10530000180006027</v>
      </c>
      <c r="J77" s="158">
        <v>0.10509999841451645</v>
      </c>
      <c r="K77" s="158">
        <v>0.10520000010728836</v>
      </c>
      <c r="L77" s="158">
        <v>0.10520000010728836</v>
      </c>
      <c r="M77" s="158">
        <v>0.10499999672174454</v>
      </c>
      <c r="N77" s="158">
        <v>0.10480000078678131</v>
      </c>
      <c r="O77" s="158">
        <v>0.10450000315904617</v>
      </c>
      <c r="P77" s="158">
        <v>0.10429999977350235</v>
      </c>
      <c r="Q77" s="158">
        <v>0.10429999977350235</v>
      </c>
      <c r="R77" s="158">
        <v>0.10429999977350235</v>
      </c>
      <c r="S77" s="158">
        <v>0.10440000146627426</v>
      </c>
      <c r="T77" s="158">
        <v>0.10459999740123749</v>
      </c>
      <c r="U77" s="158">
        <v>0.1046999990940094</v>
      </c>
      <c r="V77" s="158">
        <f t="shared" si="1"/>
        <v>0.10520000010728836</v>
      </c>
      <c r="W77" s="158">
        <v>0.10570000112056732</v>
      </c>
      <c r="X77" s="158">
        <v>0.10540000349283218</v>
      </c>
      <c r="Y77" s="158">
        <v>0.10509999841451645</v>
      </c>
      <c r="Z77" s="158">
        <v>0.10499999672174454</v>
      </c>
      <c r="AA77" s="158">
        <v>0.10480000078678131</v>
      </c>
      <c r="AB77" s="158">
        <v>0.1046999990940094</v>
      </c>
      <c r="AC77" s="158">
        <v>0.10459999740123749</v>
      </c>
      <c r="AD77" s="158">
        <v>0.10459999740123749</v>
      </c>
      <c r="AE77" s="158">
        <v>0.1046999990940094</v>
      </c>
      <c r="AF77" s="158">
        <v>0.10400000214576721</v>
      </c>
    </row>
    <row r="78" spans="1:32" x14ac:dyDescent="0.2">
      <c r="A78" s="158" t="s">
        <v>231</v>
      </c>
      <c r="B78" s="158">
        <v>0.10719999670982361</v>
      </c>
      <c r="C78" s="158">
        <v>0.10679999738931656</v>
      </c>
      <c r="D78" s="158">
        <v>0.10670000314712524</v>
      </c>
      <c r="E78" s="158">
        <v>0.10660000145435333</v>
      </c>
      <c r="F78" s="158">
        <v>0.10660000145435333</v>
      </c>
      <c r="G78" s="158">
        <v>0.10679999738931656</v>
      </c>
      <c r="H78" s="158">
        <v>0.10670000314712524</v>
      </c>
      <c r="I78" s="158">
        <v>0.10670000314712524</v>
      </c>
      <c r="J78" s="158">
        <v>0.10660000145435333</v>
      </c>
      <c r="K78" s="158">
        <v>0.10679999738931656</v>
      </c>
      <c r="L78" s="158">
        <v>0.10660000145435333</v>
      </c>
      <c r="M78" s="158">
        <v>0.10639999806880951</v>
      </c>
      <c r="N78" s="158">
        <v>0.10620000213384628</v>
      </c>
      <c r="O78" s="158">
        <v>0.10599999874830246</v>
      </c>
      <c r="P78" s="158">
        <v>0.10580000281333923</v>
      </c>
      <c r="Q78" s="158">
        <v>0.10580000281333923</v>
      </c>
      <c r="R78" s="158">
        <v>0.10580000281333923</v>
      </c>
      <c r="S78" s="158">
        <v>0.10599999874830246</v>
      </c>
      <c r="T78" s="158">
        <v>0.10620000213384628</v>
      </c>
      <c r="U78" s="158">
        <v>0.1062999963760376</v>
      </c>
      <c r="V78" s="158">
        <f t="shared" si="1"/>
        <v>0.1062999963760376</v>
      </c>
      <c r="W78" s="158">
        <v>0.1062999963760376</v>
      </c>
      <c r="X78" s="158">
        <v>0.10610000044107437</v>
      </c>
      <c r="Y78" s="158">
        <v>0.10580000281333923</v>
      </c>
      <c r="Z78" s="158">
        <v>0.10559999942779541</v>
      </c>
      <c r="AA78" s="158">
        <v>0.10540000349283218</v>
      </c>
      <c r="AB78" s="158">
        <v>0.10530000180006027</v>
      </c>
      <c r="AC78" s="158">
        <v>0.10520000010728836</v>
      </c>
      <c r="AD78" s="158">
        <v>0.10520000010728836</v>
      </c>
      <c r="AE78" s="158">
        <v>0.10530000180006027</v>
      </c>
      <c r="AF78" s="158">
        <v>0.10530000180006027</v>
      </c>
    </row>
    <row r="79" spans="1:32" x14ac:dyDescent="0.2">
      <c r="A79" s="158" t="s">
        <v>232</v>
      </c>
      <c r="B79" s="158">
        <v>0.10719999670982361</v>
      </c>
      <c r="C79" s="158">
        <v>0.10660000145435333</v>
      </c>
      <c r="D79" s="158">
        <v>0.1062999963760376</v>
      </c>
      <c r="E79" s="158">
        <v>0.1062999963760376</v>
      </c>
      <c r="F79" s="158">
        <v>0.10620000213384628</v>
      </c>
      <c r="G79" s="158">
        <v>0.1062999963760376</v>
      </c>
      <c r="H79" s="158">
        <v>0.10620000213384628</v>
      </c>
      <c r="I79" s="158">
        <v>0.10610000044107437</v>
      </c>
      <c r="J79" s="158">
        <v>0.10599999874830246</v>
      </c>
      <c r="K79" s="158">
        <v>0.10599999874830246</v>
      </c>
      <c r="L79" s="158">
        <v>0.10599999874830246</v>
      </c>
      <c r="M79" s="158">
        <v>0.10570000112056732</v>
      </c>
      <c r="N79" s="158">
        <v>0.1054999977350235</v>
      </c>
      <c r="O79" s="158">
        <v>0.10520000010728836</v>
      </c>
      <c r="P79" s="158">
        <v>0.10499999672174454</v>
      </c>
      <c r="Q79" s="158">
        <v>0.10499999672174454</v>
      </c>
      <c r="R79" s="158">
        <v>0.10499999672174454</v>
      </c>
      <c r="S79" s="158">
        <v>0.10520000010728836</v>
      </c>
      <c r="T79" s="158">
        <v>0.10540000349283218</v>
      </c>
      <c r="U79" s="158">
        <v>0.1054999977350235</v>
      </c>
      <c r="V79" s="158">
        <f t="shared" si="1"/>
        <v>0.10545000061392784</v>
      </c>
      <c r="W79" s="158">
        <v>0.10540000349283218</v>
      </c>
      <c r="X79" s="158">
        <v>0.10520000010728836</v>
      </c>
      <c r="Y79" s="158">
        <v>0.10490000247955322</v>
      </c>
      <c r="Z79" s="158">
        <v>0.10459999740123749</v>
      </c>
      <c r="AA79" s="158">
        <v>0.10440000146627426</v>
      </c>
      <c r="AB79" s="158">
        <v>0.10429999977350235</v>
      </c>
      <c r="AC79" s="158">
        <v>0.10419999808073044</v>
      </c>
      <c r="AD79" s="158">
        <v>0.10419999808073044</v>
      </c>
      <c r="AE79" s="158">
        <v>0.10419999808073044</v>
      </c>
      <c r="AF79" s="158">
        <v>0.10440000146627426</v>
      </c>
    </row>
    <row r="80" spans="1:32" x14ac:dyDescent="0.2">
      <c r="A80" s="158" t="s">
        <v>233</v>
      </c>
      <c r="B80" s="158">
        <v>0.10769999772310257</v>
      </c>
      <c r="C80" s="158">
        <v>0.10729999840259552</v>
      </c>
      <c r="D80" s="158">
        <v>0.10689999908208847</v>
      </c>
      <c r="E80" s="158">
        <v>0.10689999908208847</v>
      </c>
      <c r="F80" s="158">
        <v>0.10689999908208847</v>
      </c>
      <c r="G80" s="158">
        <v>0.10719999670982361</v>
      </c>
      <c r="H80" s="158">
        <v>0.10710000246763229</v>
      </c>
      <c r="I80" s="158">
        <v>0.10710000246763229</v>
      </c>
      <c r="J80" s="158">
        <v>0.10700000077486038</v>
      </c>
      <c r="K80" s="158">
        <v>0.10700000077486038</v>
      </c>
      <c r="L80" s="158">
        <v>0.10689999908208847</v>
      </c>
      <c r="M80" s="158">
        <v>0.10670000314712524</v>
      </c>
      <c r="N80" s="158">
        <v>0.10639999806880951</v>
      </c>
      <c r="O80" s="158">
        <v>0.10620000213384628</v>
      </c>
      <c r="P80" s="158">
        <v>0.10599999874830246</v>
      </c>
      <c r="Q80" s="158">
        <v>0.10589999705553055</v>
      </c>
      <c r="R80" s="158">
        <v>0.10599999874830246</v>
      </c>
      <c r="S80" s="158">
        <v>0.10620000213384628</v>
      </c>
      <c r="T80" s="158">
        <v>0.10670000314712524</v>
      </c>
      <c r="U80" s="158">
        <v>0.10660000145435333</v>
      </c>
      <c r="V80" s="158">
        <f t="shared" si="1"/>
        <v>0.10660000145435333</v>
      </c>
      <c r="W80" s="158">
        <v>0.10660000145435333</v>
      </c>
      <c r="X80" s="158">
        <v>0.1062999963760376</v>
      </c>
      <c r="Y80" s="158">
        <v>0.10620000213384628</v>
      </c>
      <c r="Z80" s="158">
        <v>0.10559999942779541</v>
      </c>
      <c r="AA80" s="158">
        <v>0.1054999977350235</v>
      </c>
      <c r="AB80" s="158">
        <v>0.10530000180006027</v>
      </c>
      <c r="AC80" s="158">
        <v>0.10509999841451645</v>
      </c>
      <c r="AD80" s="158">
        <v>0.10509999841451645</v>
      </c>
      <c r="AE80" s="158">
        <v>0.10520000010728836</v>
      </c>
      <c r="AF80" s="158">
        <v>0.10530000180006027</v>
      </c>
    </row>
    <row r="81" spans="1:32" x14ac:dyDescent="0.2">
      <c r="A81" s="158" t="s">
        <v>234</v>
      </c>
      <c r="B81" s="158">
        <v>0.10710000246763229</v>
      </c>
      <c r="C81" s="158">
        <v>0.10679999738931656</v>
      </c>
      <c r="D81" s="158">
        <v>0.10639999806880951</v>
      </c>
      <c r="E81" s="158">
        <v>0.10639999806880951</v>
      </c>
      <c r="F81" s="158">
        <v>0.1062999963760376</v>
      </c>
      <c r="G81" s="158">
        <v>0.10649999976158142</v>
      </c>
      <c r="H81" s="158">
        <v>0.10639999806880951</v>
      </c>
      <c r="I81" s="158">
        <v>0.1062999963760376</v>
      </c>
      <c r="J81" s="158">
        <v>0.10639999806880951</v>
      </c>
      <c r="K81" s="158">
        <v>0.10620000213384628</v>
      </c>
      <c r="L81" s="158">
        <v>0.10620000213384628</v>
      </c>
      <c r="M81" s="158">
        <v>0.10599999874830246</v>
      </c>
      <c r="N81" s="158">
        <v>0.10580000281333923</v>
      </c>
      <c r="O81" s="158">
        <v>0.1054999977350235</v>
      </c>
      <c r="P81" s="158">
        <v>0.10530000180006027</v>
      </c>
      <c r="Q81" s="158">
        <v>0.10530000180006027</v>
      </c>
      <c r="R81" s="158">
        <v>0.10540000349283218</v>
      </c>
      <c r="S81" s="158">
        <v>0.10559999942779541</v>
      </c>
      <c r="T81" s="158">
        <v>0.10580000281333923</v>
      </c>
      <c r="U81" s="158">
        <v>0.10589999705553055</v>
      </c>
      <c r="V81" s="158">
        <f t="shared" si="1"/>
        <v>0.10589999705553055</v>
      </c>
      <c r="W81" s="158">
        <v>0.10589999705553055</v>
      </c>
      <c r="X81" s="158">
        <v>0.10570000112056732</v>
      </c>
      <c r="Y81" s="158">
        <v>0.10530000180006027</v>
      </c>
      <c r="Z81" s="158">
        <v>0.10509999841451645</v>
      </c>
      <c r="AA81" s="158">
        <v>0.10520000010728836</v>
      </c>
      <c r="AB81" s="158">
        <v>0.10480000078678131</v>
      </c>
      <c r="AC81" s="158">
        <v>0.10459999740123749</v>
      </c>
      <c r="AD81" s="158">
        <v>0.1046999990940094</v>
      </c>
      <c r="AE81" s="158">
        <v>0.1046999990940094</v>
      </c>
      <c r="AF81" s="158">
        <v>0.10509999841451645</v>
      </c>
    </row>
    <row r="82" spans="1:32" x14ac:dyDescent="0.2">
      <c r="A82" s="158" t="s">
        <v>235</v>
      </c>
      <c r="B82" s="158">
        <v>0.10719999670982361</v>
      </c>
      <c r="C82" s="158">
        <v>0.10679999738931656</v>
      </c>
      <c r="D82" s="158">
        <v>0.10670000314712524</v>
      </c>
      <c r="E82" s="158">
        <v>0.10649999976158142</v>
      </c>
      <c r="F82" s="158">
        <v>0.10639999806880951</v>
      </c>
      <c r="G82" s="158">
        <v>0.10670000314712524</v>
      </c>
      <c r="H82" s="158">
        <v>0.10660000145435333</v>
      </c>
      <c r="I82" s="158">
        <v>0.10639999806880951</v>
      </c>
      <c r="J82" s="158">
        <v>0.10639999806880951</v>
      </c>
      <c r="K82" s="158">
        <v>0.10639999806880951</v>
      </c>
      <c r="L82" s="158">
        <v>0.10639999806880951</v>
      </c>
      <c r="M82" s="158">
        <v>0.10610000044107437</v>
      </c>
      <c r="N82" s="158">
        <v>0.10580000281333923</v>
      </c>
      <c r="O82" s="158">
        <v>0.10559999942779541</v>
      </c>
      <c r="P82" s="158">
        <v>0.10540000349283218</v>
      </c>
      <c r="Q82" s="158">
        <v>0.10540000349283218</v>
      </c>
      <c r="R82" s="158">
        <v>0.1054999977350235</v>
      </c>
      <c r="S82" s="158">
        <v>0.10559999942779541</v>
      </c>
      <c r="T82" s="158">
        <v>0.10589999705553055</v>
      </c>
      <c r="U82" s="158">
        <v>0.10599999874830246</v>
      </c>
      <c r="V82" s="158">
        <f t="shared" si="1"/>
        <v>0.10604999959468842</v>
      </c>
      <c r="W82" s="158">
        <v>0.10610000044107437</v>
      </c>
      <c r="X82" s="158">
        <v>0.10580000281333923</v>
      </c>
      <c r="Y82" s="158">
        <v>0.1054999977350235</v>
      </c>
      <c r="Z82" s="158">
        <v>0.10520000010728836</v>
      </c>
      <c r="AA82" s="158">
        <v>0.10499999672174454</v>
      </c>
      <c r="AB82" s="158">
        <v>0.10490000247955322</v>
      </c>
      <c r="AC82" s="158">
        <v>0.1046999990940094</v>
      </c>
      <c r="AD82" s="158">
        <v>0.10480000078678131</v>
      </c>
      <c r="AE82" s="158">
        <v>0.10480000078678131</v>
      </c>
      <c r="AF82" s="158">
        <v>0.10499999672174454</v>
      </c>
    </row>
    <row r="83" spans="1:32" x14ac:dyDescent="0.2">
      <c r="A83" s="158" t="s">
        <v>236</v>
      </c>
      <c r="B83" s="158">
        <v>0.10639999806880951</v>
      </c>
      <c r="C83" s="158">
        <v>0.10599999874830246</v>
      </c>
      <c r="D83" s="158">
        <v>0.10580000281333923</v>
      </c>
      <c r="E83" s="158">
        <v>0.10580000281333923</v>
      </c>
      <c r="F83" s="158">
        <v>0.10610000044107437</v>
      </c>
      <c r="G83" s="158">
        <v>0.10620000213384628</v>
      </c>
      <c r="H83" s="158">
        <v>0.10610000044107437</v>
      </c>
      <c r="I83" s="158">
        <v>0.10599999874830246</v>
      </c>
      <c r="J83" s="158">
        <v>0.10580000281333923</v>
      </c>
      <c r="K83" s="158">
        <v>0.10580000281333923</v>
      </c>
      <c r="L83" s="158">
        <v>0.10580000281333923</v>
      </c>
      <c r="M83" s="158">
        <v>0.10559999942779541</v>
      </c>
      <c r="N83" s="158">
        <v>0.10530000180006027</v>
      </c>
      <c r="O83" s="158">
        <v>0.10490000247955322</v>
      </c>
      <c r="P83" s="158">
        <v>0.10490000247955322</v>
      </c>
      <c r="Q83" s="158">
        <v>0.10480000078678131</v>
      </c>
      <c r="R83" s="158">
        <v>0.10480000078678131</v>
      </c>
      <c r="S83" s="158">
        <v>0.10509999841451645</v>
      </c>
      <c r="T83" s="158">
        <v>0.10530000180006027</v>
      </c>
      <c r="U83" s="158">
        <v>0.10559999942779541</v>
      </c>
      <c r="V83" s="158">
        <f t="shared" si="1"/>
        <v>0.10619999840855598</v>
      </c>
      <c r="W83" s="158">
        <v>0.10679999738931656</v>
      </c>
      <c r="X83" s="158">
        <v>0.1062999963760376</v>
      </c>
      <c r="Y83" s="158">
        <v>0.10589999705553055</v>
      </c>
      <c r="Z83" s="158">
        <v>0.10580000281333923</v>
      </c>
      <c r="AA83" s="158">
        <v>0.10570000112056732</v>
      </c>
      <c r="AB83" s="158">
        <v>0.10540000349283218</v>
      </c>
      <c r="AC83" s="158">
        <v>0.1054999977350235</v>
      </c>
      <c r="AD83" s="158">
        <v>0.10520000010728836</v>
      </c>
      <c r="AE83" s="158">
        <v>0.10540000349283218</v>
      </c>
      <c r="AF83" s="158">
        <v>0.10480000078678131</v>
      </c>
    </row>
    <row r="84" spans="1:32" x14ac:dyDescent="0.2">
      <c r="A84" s="158" t="s">
        <v>237</v>
      </c>
      <c r="B84" s="158">
        <v>0.10670000314712524</v>
      </c>
      <c r="C84" s="158">
        <v>0.1062999963760376</v>
      </c>
      <c r="D84" s="158">
        <v>0.10620000213384628</v>
      </c>
      <c r="E84" s="158">
        <v>0.10610000044107437</v>
      </c>
      <c r="F84" s="158">
        <v>0.10599999874830246</v>
      </c>
      <c r="G84" s="158">
        <v>0.1062999963760376</v>
      </c>
      <c r="H84" s="158">
        <v>0.10620000213384628</v>
      </c>
      <c r="I84" s="158">
        <v>0.10610000044107437</v>
      </c>
      <c r="J84" s="158">
        <v>0.10649999976158142</v>
      </c>
      <c r="K84" s="158">
        <v>0.10599999874830246</v>
      </c>
      <c r="L84" s="158">
        <v>0.10610000044107437</v>
      </c>
      <c r="M84" s="158">
        <v>0.10589999705553055</v>
      </c>
      <c r="N84" s="158">
        <v>0.1054999977350235</v>
      </c>
      <c r="O84" s="158">
        <v>0.10520000010728836</v>
      </c>
      <c r="P84" s="158">
        <v>0.10499999672174454</v>
      </c>
      <c r="Q84" s="158">
        <v>0.10499999672174454</v>
      </c>
      <c r="R84" s="158">
        <v>0.10509999841451645</v>
      </c>
      <c r="S84" s="158">
        <v>0.10520000010728836</v>
      </c>
      <c r="T84" s="158">
        <v>0.1054999977350235</v>
      </c>
      <c r="U84" s="158">
        <v>0.10559999942779541</v>
      </c>
      <c r="V84" s="158">
        <f t="shared" si="1"/>
        <v>0.10559999942779541</v>
      </c>
      <c r="W84" s="158">
        <v>0.10559999942779541</v>
      </c>
      <c r="X84" s="158">
        <v>0.10540000349283218</v>
      </c>
      <c r="Y84" s="158">
        <v>0.10509999841451645</v>
      </c>
      <c r="Z84" s="158">
        <v>0.10480000078678131</v>
      </c>
      <c r="AA84" s="158">
        <v>0.10459999740123749</v>
      </c>
      <c r="AB84" s="158">
        <v>0.10440000146627426</v>
      </c>
      <c r="AC84" s="158">
        <v>0.10429999977350235</v>
      </c>
      <c r="AD84" s="158">
        <v>0.10429999977350235</v>
      </c>
      <c r="AE84" s="158">
        <v>0.10440000146627426</v>
      </c>
      <c r="AF84" s="158">
        <v>0.10459999740123749</v>
      </c>
    </row>
    <row r="85" spans="1:32" x14ac:dyDescent="0.2">
      <c r="A85" s="158" t="s">
        <v>238</v>
      </c>
      <c r="B85" s="158">
        <v>0.10679999738931656</v>
      </c>
      <c r="C85" s="158">
        <v>0.10649999976158142</v>
      </c>
      <c r="D85" s="158">
        <v>0.10639999806880951</v>
      </c>
      <c r="E85" s="158">
        <v>0.1062999963760376</v>
      </c>
      <c r="F85" s="158">
        <v>0.10620000213384628</v>
      </c>
      <c r="G85" s="158">
        <v>0.10639999806880951</v>
      </c>
      <c r="H85" s="158">
        <v>0.1062999963760376</v>
      </c>
      <c r="I85" s="158">
        <v>0.10620000213384628</v>
      </c>
      <c r="J85" s="158">
        <v>0.10610000044107437</v>
      </c>
      <c r="K85" s="158">
        <v>0.10610000044107437</v>
      </c>
      <c r="L85" s="158">
        <v>0.10610000044107437</v>
      </c>
      <c r="M85" s="158">
        <v>0.10580000281333923</v>
      </c>
      <c r="N85" s="158">
        <v>0.10559999942779541</v>
      </c>
      <c r="O85" s="158">
        <v>0.1054999977350235</v>
      </c>
      <c r="P85" s="158">
        <v>0.10509999841451645</v>
      </c>
      <c r="Q85" s="158">
        <v>0.10509999841451645</v>
      </c>
      <c r="R85" s="158">
        <v>0.10520000010728836</v>
      </c>
      <c r="S85" s="158">
        <v>0.10530000180006027</v>
      </c>
      <c r="T85" s="158">
        <v>0.10559999942779541</v>
      </c>
      <c r="U85" s="158">
        <v>0.10559999942779541</v>
      </c>
      <c r="V85" s="158">
        <f t="shared" si="1"/>
        <v>0.10565000027418137</v>
      </c>
      <c r="W85" s="158">
        <v>0.10570000112056732</v>
      </c>
      <c r="X85" s="158">
        <v>0.10540000349283218</v>
      </c>
      <c r="Y85" s="158">
        <v>0.10509999841451645</v>
      </c>
      <c r="Z85" s="158">
        <v>0.10490000247955322</v>
      </c>
      <c r="AA85" s="158">
        <v>0.10459999740123749</v>
      </c>
      <c r="AB85" s="158">
        <v>0.10450000315904617</v>
      </c>
      <c r="AC85" s="158">
        <v>0.10440000146627426</v>
      </c>
      <c r="AD85" s="158">
        <v>0.10440000146627426</v>
      </c>
      <c r="AE85" s="158">
        <v>0.10440000146627426</v>
      </c>
      <c r="AF85" s="158">
        <v>0.10459999740123749</v>
      </c>
    </row>
    <row r="86" spans="1:32" x14ac:dyDescent="0.2">
      <c r="A86" s="158" t="s">
        <v>239</v>
      </c>
      <c r="B86" s="158">
        <v>0.10679999738931656</v>
      </c>
      <c r="C86" s="158">
        <v>0.1062999963760376</v>
      </c>
      <c r="D86" s="158">
        <v>0.10620000213384628</v>
      </c>
      <c r="E86" s="158">
        <v>0.10610000044107437</v>
      </c>
      <c r="F86" s="158">
        <v>0.10610000044107437</v>
      </c>
      <c r="G86" s="158">
        <v>0.10620000213384628</v>
      </c>
      <c r="H86" s="158">
        <v>0.10620000213384628</v>
      </c>
      <c r="I86" s="158">
        <v>0.10599999874830246</v>
      </c>
      <c r="J86" s="158">
        <v>0.10589999705553055</v>
      </c>
      <c r="K86" s="158">
        <v>0.10589999705553055</v>
      </c>
      <c r="L86" s="158">
        <v>0.10589999705553055</v>
      </c>
      <c r="M86" s="158">
        <v>0.10570000112056732</v>
      </c>
      <c r="N86" s="158">
        <v>0.10540000349283218</v>
      </c>
      <c r="O86" s="158">
        <v>0.10520000010728836</v>
      </c>
      <c r="P86" s="158">
        <v>0.10490000247955322</v>
      </c>
      <c r="Q86" s="158">
        <v>0.10499999672174454</v>
      </c>
      <c r="R86" s="158">
        <v>0.10499999672174454</v>
      </c>
      <c r="S86" s="158">
        <v>0.10520000010728836</v>
      </c>
      <c r="T86" s="158">
        <v>0.1054999977350235</v>
      </c>
      <c r="U86" s="158">
        <v>0.1054999977350235</v>
      </c>
      <c r="V86" s="158">
        <f t="shared" si="1"/>
        <v>0.1054999977350235</v>
      </c>
      <c r="W86" s="158">
        <v>0.1054999977350235</v>
      </c>
      <c r="X86" s="158">
        <v>0.10520000010728836</v>
      </c>
      <c r="Y86" s="158">
        <v>0.10499999672174454</v>
      </c>
      <c r="Z86" s="158">
        <v>0.1046999990940094</v>
      </c>
      <c r="AA86" s="158">
        <v>0.10450000315904617</v>
      </c>
      <c r="AB86" s="158">
        <v>0.10440000146627426</v>
      </c>
      <c r="AC86" s="158">
        <v>0.10429999977350235</v>
      </c>
      <c r="AD86" s="158">
        <v>0.10419999808073044</v>
      </c>
      <c r="AE86" s="158">
        <v>0.10429999977350235</v>
      </c>
      <c r="AF86" s="158">
        <v>0.10450000315904617</v>
      </c>
    </row>
    <row r="87" spans="1:32" x14ac:dyDescent="0.2">
      <c r="A87" s="158" t="s">
        <v>240</v>
      </c>
      <c r="B87" s="158">
        <v>0.10649999976158142</v>
      </c>
      <c r="C87" s="158">
        <v>0.10610000044107437</v>
      </c>
      <c r="D87" s="158">
        <v>0.10589999705553055</v>
      </c>
      <c r="E87" s="158">
        <v>0.10589999705553055</v>
      </c>
      <c r="F87" s="158">
        <v>0.10589999705553055</v>
      </c>
      <c r="G87" s="158">
        <v>0.10599999874830246</v>
      </c>
      <c r="H87" s="158">
        <v>0.10620000213384628</v>
      </c>
      <c r="I87" s="158">
        <v>0.10570000112056732</v>
      </c>
      <c r="J87" s="158">
        <v>0.10570000112056732</v>
      </c>
      <c r="K87" s="158">
        <v>0.10559999942779541</v>
      </c>
      <c r="L87" s="158">
        <v>0.10570000112056732</v>
      </c>
      <c r="M87" s="158">
        <v>0.10540000349283218</v>
      </c>
      <c r="N87" s="158">
        <v>0.10520000010728836</v>
      </c>
      <c r="O87" s="158">
        <v>0.10490000247955322</v>
      </c>
      <c r="P87" s="158">
        <v>0.1046999990940094</v>
      </c>
      <c r="Q87" s="158">
        <v>0.1046999990940094</v>
      </c>
      <c r="R87" s="158">
        <v>0.1046999990940094</v>
      </c>
      <c r="S87" s="158">
        <v>0.10509999841451645</v>
      </c>
      <c r="T87" s="158">
        <v>0.10520000010728836</v>
      </c>
      <c r="U87" s="158">
        <v>0.10530000180006027</v>
      </c>
      <c r="V87" s="158">
        <f t="shared" si="1"/>
        <v>0.10530000180006027</v>
      </c>
      <c r="W87" s="158">
        <v>0.10530000180006027</v>
      </c>
      <c r="X87" s="158">
        <v>0.10499999672174454</v>
      </c>
      <c r="Y87" s="158">
        <v>0.10480000078678131</v>
      </c>
      <c r="Z87" s="158">
        <v>0.10450000315904617</v>
      </c>
      <c r="AA87" s="158">
        <v>0.10419999808073044</v>
      </c>
      <c r="AB87" s="158">
        <v>0.10409999638795853</v>
      </c>
      <c r="AC87" s="158">
        <v>0.10400000214576721</v>
      </c>
      <c r="AD87" s="158">
        <v>0.10400000214576721</v>
      </c>
      <c r="AE87" s="158">
        <v>0.10409999638795853</v>
      </c>
      <c r="AF87" s="158">
        <v>0.10419999808073044</v>
      </c>
    </row>
    <row r="88" spans="1:32" x14ac:dyDescent="0.2">
      <c r="A88" s="158" t="s">
        <v>241</v>
      </c>
      <c r="B88" s="158">
        <v>0.10740000009536743</v>
      </c>
      <c r="C88" s="158">
        <v>0.10700000077486038</v>
      </c>
      <c r="D88" s="158">
        <v>0.10700000077486038</v>
      </c>
      <c r="E88" s="158">
        <v>0.10670000314712524</v>
      </c>
      <c r="F88" s="158">
        <v>0.10660000145435333</v>
      </c>
      <c r="G88" s="158">
        <v>0.10689999908208847</v>
      </c>
      <c r="H88" s="158">
        <v>0.10670000314712524</v>
      </c>
      <c r="I88" s="158">
        <v>0.10660000145435333</v>
      </c>
      <c r="J88" s="158">
        <v>0.10649999976158142</v>
      </c>
      <c r="K88" s="158">
        <v>0.10649999976158142</v>
      </c>
      <c r="L88" s="158">
        <v>0.10679999738931656</v>
      </c>
      <c r="M88" s="158">
        <v>0.1062999963760376</v>
      </c>
      <c r="N88" s="158">
        <v>0.10599999874830246</v>
      </c>
      <c r="O88" s="158">
        <v>0.10580000281333923</v>
      </c>
      <c r="P88" s="158">
        <v>0.1054999977350235</v>
      </c>
      <c r="Q88" s="158">
        <v>0.1054999977350235</v>
      </c>
      <c r="R88" s="158">
        <v>0.10559999942779541</v>
      </c>
      <c r="S88" s="158">
        <v>0.10570000112056732</v>
      </c>
      <c r="T88" s="158">
        <v>0.10599999874830246</v>
      </c>
      <c r="U88" s="158">
        <v>0.10610000044107437</v>
      </c>
      <c r="V88" s="158">
        <f t="shared" si="1"/>
        <v>0.10610000044107437</v>
      </c>
      <c r="W88" s="158">
        <v>0.10610000044107437</v>
      </c>
      <c r="X88" s="158">
        <v>0.10580000281333923</v>
      </c>
      <c r="Y88" s="158">
        <v>0.1054999977350235</v>
      </c>
      <c r="Z88" s="158">
        <v>0.10530000180006027</v>
      </c>
      <c r="AA88" s="158">
        <v>0.10499999672174454</v>
      </c>
      <c r="AB88" s="158">
        <v>0.10490000247955322</v>
      </c>
      <c r="AC88" s="158">
        <v>0.10480000078678131</v>
      </c>
      <c r="AD88" s="158">
        <v>0.10490000247955322</v>
      </c>
      <c r="AE88" s="158">
        <v>0.10480000078678131</v>
      </c>
      <c r="AF88" s="158">
        <v>0.10499999672174454</v>
      </c>
    </row>
    <row r="89" spans="1:32" x14ac:dyDescent="0.2">
      <c r="A89" s="158" t="s">
        <v>242</v>
      </c>
      <c r="B89" s="158">
        <v>0.10719999670982361</v>
      </c>
      <c r="C89" s="158">
        <v>0.10660000145435333</v>
      </c>
      <c r="D89" s="158">
        <v>0.10639999806880951</v>
      </c>
      <c r="E89" s="158">
        <v>0.10639999806880951</v>
      </c>
      <c r="F89" s="158">
        <v>0.10620000213384628</v>
      </c>
      <c r="G89" s="158">
        <v>0.10639999806880951</v>
      </c>
      <c r="H89" s="158">
        <v>0.10620000213384628</v>
      </c>
      <c r="I89" s="158">
        <v>0.10610000044107437</v>
      </c>
      <c r="J89" s="158">
        <v>0.10599999874830246</v>
      </c>
      <c r="K89" s="158">
        <v>0.10610000044107437</v>
      </c>
      <c r="L89" s="158">
        <v>0.10599999874830246</v>
      </c>
      <c r="M89" s="158">
        <v>0.10580000281333923</v>
      </c>
      <c r="N89" s="158">
        <v>0.1054999977350235</v>
      </c>
      <c r="O89" s="158">
        <v>0.10540000349283218</v>
      </c>
      <c r="P89" s="158">
        <v>0.10499999672174454</v>
      </c>
      <c r="Q89" s="158">
        <v>0.10509999841451645</v>
      </c>
      <c r="R89" s="158">
        <v>0.10509999841451645</v>
      </c>
      <c r="S89" s="158">
        <v>0.10520000010728836</v>
      </c>
      <c r="T89" s="158">
        <v>0.1054999977350235</v>
      </c>
      <c r="U89" s="158">
        <v>0.10559999942779541</v>
      </c>
      <c r="V89" s="158">
        <f t="shared" si="1"/>
        <v>0.10559999942779541</v>
      </c>
      <c r="W89" s="158">
        <v>0.10559999942779541</v>
      </c>
      <c r="X89" s="158">
        <v>0.10540000349283218</v>
      </c>
      <c r="Y89" s="158">
        <v>0.10509999841451645</v>
      </c>
      <c r="Z89" s="158">
        <v>0.10490000247955322</v>
      </c>
      <c r="AA89" s="158">
        <v>0.10459999740123749</v>
      </c>
      <c r="AB89" s="158">
        <v>0.10440000146627426</v>
      </c>
      <c r="AC89" s="158">
        <v>0.10440000146627426</v>
      </c>
      <c r="AD89" s="158">
        <v>0.10440000146627426</v>
      </c>
      <c r="AE89" s="158">
        <v>0.10440000146627426</v>
      </c>
      <c r="AF89" s="158">
        <v>0.10459999740123749</v>
      </c>
    </row>
    <row r="90" spans="1:32" x14ac:dyDescent="0.2">
      <c r="A90" s="158" t="s">
        <v>243</v>
      </c>
      <c r="B90" s="158">
        <v>0.10740000009536743</v>
      </c>
      <c r="C90" s="158">
        <v>0.10679999738931656</v>
      </c>
      <c r="D90" s="158">
        <v>0.10660000145435333</v>
      </c>
      <c r="E90" s="158">
        <v>0.10639999806880951</v>
      </c>
      <c r="F90" s="158">
        <v>0.1062999963760376</v>
      </c>
      <c r="G90" s="158">
        <v>0.10649999976158142</v>
      </c>
      <c r="H90" s="158">
        <v>0.1062999963760376</v>
      </c>
      <c r="I90" s="158">
        <v>0.10620000213384628</v>
      </c>
      <c r="J90" s="158">
        <v>0.10610000044107437</v>
      </c>
      <c r="K90" s="158">
        <v>0.10610000044107437</v>
      </c>
      <c r="L90" s="158">
        <v>0.10599999874830246</v>
      </c>
      <c r="M90" s="158">
        <v>0.10580000281333923</v>
      </c>
      <c r="N90" s="158">
        <v>0.1054999977350235</v>
      </c>
      <c r="O90" s="158">
        <v>0.10530000180006027</v>
      </c>
      <c r="P90" s="158">
        <v>0.10499999672174454</v>
      </c>
      <c r="Q90" s="158">
        <v>0.10499999672174454</v>
      </c>
      <c r="R90" s="158">
        <v>0.10509999841451645</v>
      </c>
      <c r="S90" s="158">
        <v>0.10520000010728836</v>
      </c>
      <c r="T90" s="158">
        <v>0.1054999977350235</v>
      </c>
      <c r="U90" s="158">
        <v>0.10559999942779541</v>
      </c>
      <c r="V90" s="158">
        <f t="shared" si="1"/>
        <v>0.10559999942779541</v>
      </c>
      <c r="W90" s="158">
        <v>0.10559999942779541</v>
      </c>
      <c r="X90" s="158">
        <v>0.10530000180006027</v>
      </c>
      <c r="Y90" s="158">
        <v>0.10509999841451645</v>
      </c>
      <c r="Z90" s="158">
        <v>0.10480000078678131</v>
      </c>
      <c r="AA90" s="158">
        <v>0.10450000315904617</v>
      </c>
      <c r="AB90" s="158">
        <v>0.10440000146627426</v>
      </c>
      <c r="AC90" s="158">
        <v>0.10429999977350235</v>
      </c>
      <c r="AD90" s="158">
        <v>0.10429999977350235</v>
      </c>
      <c r="AE90" s="158">
        <v>0.10429999977350235</v>
      </c>
      <c r="AF90" s="158">
        <v>0.10450000315904617</v>
      </c>
    </row>
    <row r="91" spans="1:32" x14ac:dyDescent="0.2">
      <c r="A91" s="158" t="s">
        <v>244</v>
      </c>
      <c r="B91" s="158">
        <v>0.10750000178813934</v>
      </c>
      <c r="C91" s="158">
        <v>0.10639999806880951</v>
      </c>
      <c r="D91" s="158">
        <v>0.10639999806880951</v>
      </c>
      <c r="E91" s="158">
        <v>0.10670000314712524</v>
      </c>
      <c r="F91" s="158">
        <v>0.10639999806880951</v>
      </c>
      <c r="G91" s="158">
        <v>0.10660000145435333</v>
      </c>
      <c r="H91" s="158">
        <v>0.1062999963760376</v>
      </c>
      <c r="I91" s="158">
        <v>0.10620000213384628</v>
      </c>
      <c r="J91" s="158">
        <v>0.10599999874830246</v>
      </c>
      <c r="K91" s="158">
        <v>0.10599999874830246</v>
      </c>
      <c r="L91" s="158">
        <v>0.10599999874830246</v>
      </c>
      <c r="M91" s="158">
        <v>0.10570000112056732</v>
      </c>
      <c r="N91" s="158">
        <v>0.1054999977350235</v>
      </c>
      <c r="O91" s="158">
        <v>0.10530000180006027</v>
      </c>
      <c r="P91" s="158">
        <v>0.10490000247955322</v>
      </c>
      <c r="Q91" s="158">
        <v>0.10490000247955322</v>
      </c>
      <c r="R91" s="158">
        <v>0.10499999672174454</v>
      </c>
      <c r="S91" s="158">
        <v>0.10509999841451645</v>
      </c>
      <c r="T91" s="158">
        <v>0.10530000180006027</v>
      </c>
      <c r="U91" s="158">
        <v>0.10530000180006027</v>
      </c>
      <c r="V91" s="158">
        <f t="shared" si="1"/>
        <v>0.10530000180006027</v>
      </c>
      <c r="W91" s="158">
        <v>0.10530000180006027</v>
      </c>
      <c r="X91" s="158">
        <v>0.10499999672174454</v>
      </c>
      <c r="Y91" s="158">
        <v>0.1046999990940094</v>
      </c>
      <c r="Z91" s="158">
        <v>0.10450000315904617</v>
      </c>
      <c r="AA91" s="158">
        <v>0.10419999808073044</v>
      </c>
      <c r="AB91" s="158">
        <v>0.10400000214576721</v>
      </c>
      <c r="AC91" s="158">
        <v>0.10400000214576721</v>
      </c>
      <c r="AD91" s="158">
        <v>0.10409999638795853</v>
      </c>
      <c r="AE91" s="158">
        <v>0.1039000004529953</v>
      </c>
      <c r="AF91" s="158">
        <v>0.10350000113248825</v>
      </c>
    </row>
    <row r="92" spans="1:32" x14ac:dyDescent="0.2">
      <c r="A92" s="156" t="s">
        <v>286</v>
      </c>
      <c r="B92" s="156">
        <f>$B$55-AVERAGE($B$56)</f>
        <v>6.999969482421875E-4</v>
      </c>
      <c r="C92" s="156">
        <f>$C$55-AVERAGE($C$56)</f>
        <v>7.9999864101409912E-4</v>
      </c>
      <c r="D92" s="156">
        <f>$D$55-AVERAGE($D$56)</f>
        <v>1.100003719329834E-3</v>
      </c>
      <c r="E92" s="156">
        <f>$E$55-AVERAGE($E$56)</f>
        <v>1.1999979615211487E-3</v>
      </c>
      <c r="F92" s="156">
        <f>$F$55-AVERAGE($F$56)</f>
        <v>1.8000006675720215E-3</v>
      </c>
      <c r="G92" s="156">
        <f>$G$55-AVERAGE($G$56)</f>
        <v>2.499997615814209E-3</v>
      </c>
      <c r="H92" s="156">
        <f>$H$55-AVERAGE($H$56)</f>
        <v>3.2999962568283081E-3</v>
      </c>
      <c r="I92" s="156">
        <f>$I$55-AVERAGE($I$56)</f>
        <v>4.1000023484230042E-3</v>
      </c>
      <c r="J92" s="156">
        <f>$J$55-AVERAGE($J$56)</f>
        <v>5.1000043749809265E-3</v>
      </c>
      <c r="K92" s="156">
        <f>$K$55-AVERAGE($K$56)</f>
        <v>6.4000040292739868E-3</v>
      </c>
      <c r="L92" s="156">
        <f>$L$55-AVERAGE($L$56)</f>
        <v>8.299998939037323E-3</v>
      </c>
      <c r="M92" s="156">
        <f>$M$55-AVERAGE($M$56)</f>
        <v>1.0800004005432129E-2</v>
      </c>
      <c r="N92" s="156">
        <f>$N$55-AVERAGE($N$56)</f>
        <v>1.4499999582767487E-2</v>
      </c>
      <c r="O92" s="156">
        <f>$O$55-AVERAGE($O$56)</f>
        <v>1.940000057220459E-2</v>
      </c>
      <c r="P92" s="156">
        <f>$P$55-AVERAGE($P$56)</f>
        <v>2.7300000190734863E-2</v>
      </c>
      <c r="Q92" s="156">
        <f>$Q$55-AVERAGE($Q$56)</f>
        <v>3.9299994707107544E-2</v>
      </c>
      <c r="R92" s="156">
        <f>$R$55-AVERAGE($R$56)</f>
        <v>5.8100000023841858E-2</v>
      </c>
      <c r="S92" s="156">
        <f>$S$55-AVERAGE($S$56)</f>
        <v>8.4100000560283661E-2</v>
      </c>
      <c r="T92" s="156">
        <f>$T$55-AVERAGE($T$56)</f>
        <v>0.1169000044465065</v>
      </c>
      <c r="U92" s="156">
        <f>$U$55-AVERAGE($U$56)</f>
        <v>0.15610000491142273</v>
      </c>
      <c r="V92" s="156">
        <f>$V$55-AVERAGE($V$56)</f>
        <v>0.19795000180602074</v>
      </c>
      <c r="W92" s="156">
        <f>$W$55-AVERAGE($W$56)</f>
        <v>0.23979999870061874</v>
      </c>
      <c r="X92" s="156">
        <f>$X$55-AVERAGE($X$56)</f>
        <v>0.27969998866319656</v>
      </c>
      <c r="Y92" s="156">
        <f>$Y$55-AVERAGE($Y$56)</f>
        <v>0.31759999692440033</v>
      </c>
      <c r="Z92" s="156">
        <f>$Z$55-AVERAGE($Z$56)</f>
        <v>0.34260000288486481</v>
      </c>
      <c r="AA92" s="156">
        <f>$AA$55-AVERAGE($AA$56)</f>
        <v>0.35460001230239868</v>
      </c>
      <c r="AB92" s="156">
        <f>$AB$55-AVERAGE($AB$56)</f>
        <v>0.3635999858379364</v>
      </c>
      <c r="AC92" s="156">
        <f>$AC$55-AVERAGE($AC$56)</f>
        <v>0.36810000240802765</v>
      </c>
      <c r="AD92" s="156">
        <f>$AD$55-AVERAGE($AD$56)</f>
        <v>0.37199999392032623</v>
      </c>
      <c r="AE92" s="156">
        <f>$AE$55-AVERAGE($AE$56)</f>
        <v>0.37920001149177551</v>
      </c>
      <c r="AF92" s="156">
        <f>$AF$55-AVERAGE($AF$56)</f>
        <v>0.38820001482963562</v>
      </c>
    </row>
    <row r="93" spans="1:32" x14ac:dyDescent="0.2">
      <c r="A93" t="s">
        <v>287</v>
      </c>
      <c r="H93">
        <f>INDEX(LOGEST($B$92:$H$92,$B$54:$H$54,TRUE,TRUE), 3)</f>
        <v>0.97914508834506975</v>
      </c>
      <c r="I93">
        <f>INDEX(LOGEST($B$92:$I$92,$B$54:$I$54,TRUE,TRUE), 3)</f>
        <v>0.98605787742434192</v>
      </c>
      <c r="J93">
        <f>INDEX(LOGEST($B$92:$J$92,$B$54:$J$54,TRUE,TRUE), 3)</f>
        <v>0.98972005589316148</v>
      </c>
      <c r="K93">
        <f>INDEX(LOGEST($B$92:$K$92,$B$54:$K$54,TRUE,TRUE), 3)</f>
        <v>0.9918535304338173</v>
      </c>
      <c r="L93">
        <f>INDEX(LOGEST($B$92:$L$92,$B$54:$L$54,TRUE,TRUE), 3)</f>
        <v>0.99363942680416428</v>
      </c>
      <c r="M93">
        <f>INDEX(LOGEST($B$92:$M$92,$B$54:$M$54,TRUE,TRUE), 3)</f>
        <v>0.99503198078733845</v>
      </c>
      <c r="N93">
        <f>INDEX(LOGEST($B$92:$N$92,$B$54:$N$54,TRUE,TRUE), 3)</f>
        <v>0.99608508689246889</v>
      </c>
      <c r="O93">
        <f>INDEX(LOGEST($B$92:$O$92,$B$54:$O$54,TRUE,TRUE), 3)</f>
        <v>0.99678053713007198</v>
      </c>
      <c r="P93" s="155">
        <f>INDEX(LOGEST($B$92:$P$92,$B$54:$P$54,TRUE,TRUE), 3)</f>
        <v>0.99688171522379676</v>
      </c>
      <c r="Q93">
        <f>INDEX(LOGEST($B$92:$Q$92,$B$54:$Q$54,TRUE,TRUE), 3)</f>
        <v>0.99632670279771651</v>
      </c>
      <c r="R93">
        <f>INDEX(LOGEST($B$92:$R$92,$B$54:$R$54,TRUE,TRUE), 3)</f>
        <v>0.99512049230348154</v>
      </c>
      <c r="S93">
        <f>INDEX(LOGEST($B$92:$S$92,$B$54:$S$54,TRUE,TRUE), 3)</f>
        <v>0.9939769122446277</v>
      </c>
      <c r="T93">
        <f>INDEX(LOGEST($B$92:$T$92,$B$54:$T$54,TRUE,TRUE), 3)</f>
        <v>0.99345338294735575</v>
      </c>
      <c r="U93">
        <f>INDEX(LOGEST($B$92:$U$92,$B$54:$U$54,TRUE,TRUE), 3)</f>
        <v>0.99359595162364933</v>
      </c>
      <c r="V93">
        <f>INDEX(LOGEST($B$92:$V$92,$B$54:$V$54,TRUE,TRUE), 3)</f>
        <v>0.99423261333432333</v>
      </c>
      <c r="W93">
        <f>INDEX(LOGEST($B$92:$W$92,$B$54:$W$54,TRUE,TRUE), 3)</f>
        <v>0.99498273523332814</v>
      </c>
      <c r="X93">
        <f>INDEX(LOGEST($B$92:$X$92,$B$54:$X$54,TRUE,TRUE), 3)</f>
        <v>0.99545689432346041</v>
      </c>
      <c r="Y93">
        <f>INDEX(LOGEST($B$92:$Y$92,$B$54:$Y$54,TRUE,TRUE), 3)</f>
        <v>0.9953701337388966</v>
      </c>
      <c r="Z93">
        <f>INDEX(LOGEST($B$92:$Z$92,$B$54:$Z$54,TRUE,TRUE), 3)</f>
        <v>0.99434600490211222</v>
      </c>
      <c r="AA93">
        <f>INDEX(LOGEST($B$92:$AA$92,$B$54:$AA$54,TRUE,TRUE), 3)</f>
        <v>0.9920274082200351</v>
      </c>
      <c r="AB93">
        <f>INDEX(LOGEST($B$92:$AB$92,$B$54:$AB$54,TRUE,TRUE), 3)</f>
        <v>0.98840113903338223</v>
      </c>
      <c r="AC93">
        <f>INDEX(LOGEST($B$92:$AC$92,$B$54:$AC$54,TRUE,TRUE), 3)</f>
        <v>0.98346753872391968</v>
      </c>
      <c r="AD93">
        <f>INDEX(LOGEST($B$92:$AD$92,$B$54:$AD$54,TRUE,TRUE), 3)</f>
        <v>0.97739368996801712</v>
      </c>
      <c r="AE93">
        <f>INDEX(LOGEST($B$92:$AE$92,$B$54:$AE$54,TRUE,TRUE), 3)</f>
        <v>0.97050496056962476</v>
      </c>
      <c r="AF93">
        <f>INDEX(LOGEST($B$92:$AF$92,$B$54:$AF$54,TRUE,TRUE), 3)</f>
        <v>0.96303973250091635</v>
      </c>
    </row>
    <row r="94" spans="1:32" s="160" customFormat="1" x14ac:dyDescent="0.2">
      <c r="A94" s="160" t="s">
        <v>288</v>
      </c>
      <c r="B94" s="160">
        <f>$K$43*EXP($J$49*$B$54)</f>
        <v>6.3655395589319076E-4</v>
      </c>
      <c r="C94" s="160">
        <f>$K$43*EXP($J$49*$C$54)</f>
        <v>8.272166840199573E-4</v>
      </c>
      <c r="D94" s="160">
        <f>$K$43*EXP($J$49*$D$54)</f>
        <v>1.0749873376575045E-3</v>
      </c>
      <c r="E94" s="160">
        <f>$K$43*EXP($J$49*$E$54)</f>
        <v>1.3969710699114604E-3</v>
      </c>
      <c r="F94" s="160">
        <f>$K$43*EXP($J$49*$F$54)</f>
        <v>1.8153964254333705E-3</v>
      </c>
      <c r="G94" s="160">
        <f>$K$43*EXP($J$49*$G$54)</f>
        <v>2.359149915456115E-3</v>
      </c>
      <c r="H94" s="160">
        <f>$K$43*EXP($J$49*$H$54)</f>
        <v>3.0657702337757884E-3</v>
      </c>
      <c r="I94" s="160">
        <f>$K$43*EXP($J$49*$I$54)</f>
        <v>3.9840397868435018E-3</v>
      </c>
      <c r="J94" s="160">
        <f>$K$43*EXP($J$49*$J$54)</f>
        <v>5.1773524474479074E-3</v>
      </c>
      <c r="K94" s="160">
        <f>$K$43*EXP($J$49*$K$54)</f>
        <v>6.7280900290235422E-3</v>
      </c>
      <c r="L94" s="160">
        <f>$K$43*EXP($J$49*$L$54)</f>
        <v>8.7433096158944616E-3</v>
      </c>
      <c r="M94" s="160">
        <f>$K$43*EXP($J$49*$M$54)</f>
        <v>1.136213438132117E-2</v>
      </c>
      <c r="N94" s="160">
        <f>$K$43*EXP($J$49*$N$54)</f>
        <v>1.4765358127603446E-2</v>
      </c>
      <c r="O94" s="160">
        <f>$K$43*EXP($J$49*$O$54)</f>
        <v>1.918792660952796E-2</v>
      </c>
      <c r="P94" s="160">
        <f>$K$43*EXP($J$49*$P$54)</f>
        <v>2.4935157304741221E-2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5B953-1201-5B4D-B3B7-6FF68955BAA6}">
  <sheetPr codeName="Sheet40"/>
  <dimension ref="A42:AF94"/>
  <sheetViews>
    <sheetView workbookViewId="0"/>
  </sheetViews>
  <sheetFormatPr baseColWidth="10" defaultRowHeight="15" x14ac:dyDescent="0.2"/>
  <sheetData>
    <row r="42" spans="9:12" x14ac:dyDescent="0.2">
      <c r="I42" t="s">
        <v>249</v>
      </c>
    </row>
    <row r="43" spans="9:12" x14ac:dyDescent="0.2">
      <c r="I43" t="s">
        <v>250</v>
      </c>
      <c r="J43" s="159">
        <f t="array" ref="J43:K47">LOGEST($B$92:$Q$92,$B$54:$Q$54,TRUE,TRUE)</f>
        <v>1.0004713814322002</v>
      </c>
      <c r="K43" s="159">
        <v>2.9846153582945803E-4</v>
      </c>
      <c r="L43" t="s">
        <v>255</v>
      </c>
    </row>
    <row r="44" spans="9:12" x14ac:dyDescent="0.2">
      <c r="I44" t="s">
        <v>251</v>
      </c>
      <c r="J44" s="159">
        <v>8.672472387439247E-6</v>
      </c>
      <c r="K44" s="159">
        <v>6.8720219610200056E-2</v>
      </c>
      <c r="L44" t="s">
        <v>256</v>
      </c>
    </row>
    <row r="45" spans="9:12" x14ac:dyDescent="0.2">
      <c r="I45" t="s">
        <v>252</v>
      </c>
      <c r="J45" s="159">
        <v>0.99528133136736097</v>
      </c>
      <c r="K45" s="159">
        <v>0.14393723176410014</v>
      </c>
      <c r="L45" t="s">
        <v>257</v>
      </c>
    </row>
    <row r="46" spans="9:12" x14ac:dyDescent="0.2">
      <c r="I46" t="s">
        <v>253</v>
      </c>
      <c r="J46" s="159">
        <v>2952.9385773694385</v>
      </c>
      <c r="K46" s="159">
        <v>14</v>
      </c>
      <c r="L46" t="s">
        <v>258</v>
      </c>
    </row>
    <row r="47" spans="9:12" x14ac:dyDescent="0.2">
      <c r="I47" t="s">
        <v>254</v>
      </c>
      <c r="J47" s="159">
        <v>61.17876495984801</v>
      </c>
      <c r="K47" s="159">
        <v>0.29005097363077192</v>
      </c>
      <c r="L47" t="s">
        <v>259</v>
      </c>
    </row>
    <row r="49" spans="1:32" x14ac:dyDescent="0.2">
      <c r="I49" t="s">
        <v>260</v>
      </c>
      <c r="J49">
        <f>LN($J$43)</f>
        <v>4.7127036687423019E-4</v>
      </c>
    </row>
    <row r="50" spans="1:32" x14ac:dyDescent="0.2">
      <c r="I50" t="s">
        <v>261</v>
      </c>
      <c r="J50">
        <f>ROUND(LN(2)/$J$49, 1)</f>
        <v>1470.8</v>
      </c>
    </row>
    <row r="51" spans="1:32" x14ac:dyDescent="0.2">
      <c r="I51" t="s">
        <v>204</v>
      </c>
      <c r="J51" s="155">
        <f>ROUND($J$50/60, 1)</f>
        <v>24.5</v>
      </c>
    </row>
    <row r="54" spans="1:32" x14ac:dyDescent="0.2">
      <c r="A54" t="s">
        <v>206</v>
      </c>
      <c r="B54" s="166">
        <v>0</v>
      </c>
      <c r="C54" s="166">
        <v>900.1</v>
      </c>
      <c r="D54" s="166">
        <v>1800.2</v>
      </c>
      <c r="E54" s="166">
        <v>2700.3</v>
      </c>
      <c r="F54" s="166">
        <v>3600.4</v>
      </c>
      <c r="G54" s="166">
        <v>4500.5</v>
      </c>
      <c r="H54" s="166">
        <v>5400.6</v>
      </c>
      <c r="I54" s="166">
        <v>6300.7</v>
      </c>
      <c r="J54" s="166">
        <v>7200.8</v>
      </c>
      <c r="K54" s="166">
        <v>8100.9</v>
      </c>
      <c r="L54" s="166">
        <v>9001</v>
      </c>
      <c r="M54" s="166">
        <v>9901.1</v>
      </c>
      <c r="N54" s="166">
        <v>10801.2</v>
      </c>
      <c r="O54" s="166">
        <v>11701.3</v>
      </c>
      <c r="P54" s="166">
        <v>12601.4</v>
      </c>
      <c r="Q54" s="166">
        <v>13501.5</v>
      </c>
      <c r="R54" s="166">
        <v>14401.6</v>
      </c>
      <c r="S54" s="166">
        <v>15301.7</v>
      </c>
      <c r="T54" s="166">
        <v>16201.8</v>
      </c>
      <c r="U54" s="166">
        <v>17101.900000000001</v>
      </c>
      <c r="V54" s="166">
        <v>18002</v>
      </c>
      <c r="W54" s="166">
        <v>18902.099999999999</v>
      </c>
      <c r="X54" s="166">
        <v>19802.2</v>
      </c>
      <c r="Y54" s="166">
        <v>20702.3</v>
      </c>
      <c r="Z54" s="166">
        <v>21602.400000000001</v>
      </c>
      <c r="AA54" s="166">
        <v>22502.5</v>
      </c>
      <c r="AB54" s="166">
        <v>23402.6</v>
      </c>
      <c r="AC54" s="166">
        <v>24302.7</v>
      </c>
      <c r="AD54" s="166">
        <v>25202.799999999999</v>
      </c>
      <c r="AE54" s="166">
        <v>26102.9</v>
      </c>
      <c r="AF54" s="166">
        <v>27003</v>
      </c>
    </row>
    <row r="55" spans="1:32" x14ac:dyDescent="0.2">
      <c r="A55" s="156" t="s">
        <v>289</v>
      </c>
      <c r="B55" s="156">
        <v>0.10520000010728836</v>
      </c>
      <c r="C55" s="156">
        <v>0.10520000010728836</v>
      </c>
      <c r="D55" s="156">
        <v>0.10540000349283218</v>
      </c>
      <c r="E55" s="156">
        <v>0.10570000112056732</v>
      </c>
      <c r="F55" s="156">
        <v>0.10589999705553055</v>
      </c>
      <c r="G55" s="156">
        <v>0.10670000314712524</v>
      </c>
      <c r="H55" s="156">
        <v>0.10779999941587448</v>
      </c>
      <c r="I55" s="156">
        <v>0.1096000000834465</v>
      </c>
      <c r="J55" s="156">
        <v>0.1128000020980835</v>
      </c>
      <c r="K55" s="156">
        <v>0.1185000017285347</v>
      </c>
      <c r="L55" s="156">
        <v>0.12749999761581421</v>
      </c>
      <c r="M55" s="156">
        <v>0.14049999415874481</v>
      </c>
      <c r="N55" s="156">
        <v>0.15929999947547913</v>
      </c>
      <c r="O55" s="156">
        <v>0.1843000054359436</v>
      </c>
      <c r="P55" s="156">
        <v>0.2159000039100647</v>
      </c>
      <c r="Q55" s="156">
        <v>0.25400000810623169</v>
      </c>
      <c r="R55" s="156">
        <v>0.29690000414848328</v>
      </c>
      <c r="S55" s="156">
        <v>0.34529998898506165</v>
      </c>
      <c r="T55" s="156">
        <v>0.38699999451637268</v>
      </c>
      <c r="U55" s="156">
        <v>0.41819998621940613</v>
      </c>
      <c r="V55" s="156">
        <f t="shared" ref="V55" si="0">AVERAGE(U55,W55)</f>
        <v>0.43669998645782471</v>
      </c>
      <c r="W55" s="156">
        <v>0.45519998669624329</v>
      </c>
      <c r="X55" s="156">
        <v>0.4643000066280365</v>
      </c>
      <c r="Y55" s="156">
        <v>0.4666999876499176</v>
      </c>
      <c r="Z55" s="156">
        <v>0.46610000729560852</v>
      </c>
      <c r="AA55" s="156">
        <v>0.46869999170303345</v>
      </c>
      <c r="AB55" s="156">
        <v>0.46860000491142273</v>
      </c>
      <c r="AC55" s="156">
        <v>0.47400000691413879</v>
      </c>
      <c r="AD55" s="156">
        <v>0.4796999990940094</v>
      </c>
      <c r="AE55" s="156">
        <v>0.49300000071525574</v>
      </c>
      <c r="AF55" s="156">
        <v>0.50529998540878296</v>
      </c>
    </row>
    <row r="56" spans="1:32" x14ac:dyDescent="0.2">
      <c r="A56" s="158" t="s">
        <v>209</v>
      </c>
      <c r="B56" s="158">
        <v>0.10480000078678131</v>
      </c>
      <c r="C56" s="158">
        <v>0.1046999990940094</v>
      </c>
      <c r="D56" s="158">
        <v>0.1046999990940094</v>
      </c>
      <c r="E56" s="158">
        <v>0.10480000078678131</v>
      </c>
      <c r="F56" s="158">
        <v>0.10459999740123749</v>
      </c>
      <c r="G56" s="158">
        <v>0.10450000315904617</v>
      </c>
      <c r="H56" s="158">
        <v>0.10440000146627426</v>
      </c>
      <c r="I56" s="158">
        <v>0.10429999977350235</v>
      </c>
      <c r="J56" s="158">
        <v>0.10419999808073044</v>
      </c>
      <c r="K56" s="158">
        <v>0.10419999808073044</v>
      </c>
      <c r="L56" s="158">
        <v>0.10419999808073044</v>
      </c>
      <c r="M56" s="158">
        <v>0.10409999638795853</v>
      </c>
      <c r="N56" s="158">
        <v>0.10400000214576721</v>
      </c>
      <c r="O56" s="158">
        <v>0.1039000004529953</v>
      </c>
      <c r="P56" s="158">
        <v>0.10379999876022339</v>
      </c>
      <c r="Q56" s="158">
        <v>0.10379999876022339</v>
      </c>
      <c r="R56" s="158">
        <v>0.1039000004529953</v>
      </c>
      <c r="S56" s="158">
        <v>0.10360000282526016</v>
      </c>
      <c r="T56" s="158">
        <v>0.10360000282526016</v>
      </c>
      <c r="U56" s="158">
        <v>0.10379999876022339</v>
      </c>
      <c r="V56" s="158">
        <f>AVERAGE(U56,W56)</f>
        <v>0.10359999909996986</v>
      </c>
      <c r="W56" s="158">
        <v>0.10339999943971634</v>
      </c>
      <c r="X56" s="158">
        <v>0.10329999774694443</v>
      </c>
      <c r="Y56" s="158">
        <v>0.10320000350475311</v>
      </c>
      <c r="Z56" s="158">
        <v>0.10320000350475311</v>
      </c>
      <c r="AA56" s="158">
        <v>0.1031000018119812</v>
      </c>
      <c r="AB56" s="158">
        <v>0.1031000018119812</v>
      </c>
      <c r="AC56" s="158">
        <v>0.10300000011920929</v>
      </c>
      <c r="AD56" s="158">
        <v>0.10300000011920929</v>
      </c>
      <c r="AE56" s="158">
        <v>0.10289999842643738</v>
      </c>
      <c r="AF56" s="158">
        <v>0.10289999842643738</v>
      </c>
    </row>
    <row r="57" spans="1:32" x14ac:dyDescent="0.2">
      <c r="A57" s="158" t="s">
        <v>210</v>
      </c>
      <c r="B57" s="158">
        <v>0.10660000145435333</v>
      </c>
      <c r="C57" s="158">
        <v>0.10649999976158142</v>
      </c>
      <c r="D57" s="158">
        <v>0.10649999976158142</v>
      </c>
      <c r="E57" s="158">
        <v>0.10649999976158142</v>
      </c>
      <c r="F57" s="158">
        <v>0.10639999806880951</v>
      </c>
      <c r="G57" s="158">
        <v>0.1062999963760376</v>
      </c>
      <c r="H57" s="158">
        <v>0.1062999963760376</v>
      </c>
      <c r="I57" s="158">
        <v>0.10610000044107437</v>
      </c>
      <c r="J57" s="158">
        <v>0.10610000044107437</v>
      </c>
      <c r="K57" s="158">
        <v>0.10610000044107437</v>
      </c>
      <c r="L57" s="158">
        <v>0.10610000044107437</v>
      </c>
      <c r="M57" s="158">
        <v>0.10599999874830246</v>
      </c>
      <c r="N57" s="158">
        <v>0.10589999705553055</v>
      </c>
      <c r="O57" s="158">
        <v>0.10589999705553055</v>
      </c>
      <c r="P57" s="158">
        <v>0.10570000112056732</v>
      </c>
      <c r="Q57" s="158">
        <v>0.10570000112056732</v>
      </c>
      <c r="R57" s="158">
        <v>0.10570000112056732</v>
      </c>
      <c r="S57" s="158">
        <v>0.10559999942779541</v>
      </c>
      <c r="T57" s="158">
        <v>0.10559999942779541</v>
      </c>
      <c r="U57" s="158">
        <v>0.10559999942779541</v>
      </c>
      <c r="V57" s="158">
        <f t="shared" ref="V57:V91" si="1">AVERAGE(U57,W57)</f>
        <v>0.1055000014603138</v>
      </c>
      <c r="W57" s="158">
        <v>0.10540000349283218</v>
      </c>
      <c r="X57" s="158">
        <v>0.10540000349283218</v>
      </c>
      <c r="Y57" s="158">
        <v>0.10530000180006027</v>
      </c>
      <c r="Z57" s="158">
        <v>0.10530000180006027</v>
      </c>
      <c r="AA57" s="158">
        <v>0.10520000010728836</v>
      </c>
      <c r="AB57" s="158">
        <v>0.10520000010728836</v>
      </c>
      <c r="AC57" s="158">
        <v>0.10520000010728836</v>
      </c>
      <c r="AD57" s="158">
        <v>0.10509999841451645</v>
      </c>
      <c r="AE57" s="158">
        <v>0.10509999841451645</v>
      </c>
      <c r="AF57" s="158">
        <v>0.10509999841451645</v>
      </c>
    </row>
    <row r="58" spans="1:32" x14ac:dyDescent="0.2">
      <c r="A58" s="158" t="s">
        <v>211</v>
      </c>
      <c r="B58" s="158">
        <v>0.10740000009536743</v>
      </c>
      <c r="C58" s="158">
        <v>0.10740000009536743</v>
      </c>
      <c r="D58" s="158">
        <v>0.10729999840259552</v>
      </c>
      <c r="E58" s="158">
        <v>0.10729999840259552</v>
      </c>
      <c r="F58" s="158">
        <v>0.10719999670982361</v>
      </c>
      <c r="G58" s="158">
        <v>0.10719999670982361</v>
      </c>
      <c r="H58" s="158">
        <v>0.10710000246763229</v>
      </c>
      <c r="I58" s="158">
        <v>0.10689999908208847</v>
      </c>
      <c r="J58" s="158">
        <v>0.10689999908208847</v>
      </c>
      <c r="K58" s="158">
        <v>0.10710000246763229</v>
      </c>
      <c r="L58" s="158">
        <v>0.10679999738931656</v>
      </c>
      <c r="M58" s="158">
        <v>0.10670000314712524</v>
      </c>
      <c r="N58" s="158">
        <v>0.10670000314712524</v>
      </c>
      <c r="O58" s="158">
        <v>0.10660000145435333</v>
      </c>
      <c r="P58" s="158">
        <v>0.10649999976158142</v>
      </c>
      <c r="Q58" s="158">
        <v>0.10649999976158142</v>
      </c>
      <c r="R58" s="158">
        <v>0.10639999806880951</v>
      </c>
      <c r="S58" s="158">
        <v>0.1062999963760376</v>
      </c>
      <c r="T58" s="158">
        <v>0.1062999963760376</v>
      </c>
      <c r="U58" s="158">
        <v>0.1062999963760376</v>
      </c>
      <c r="V58" s="158">
        <f t="shared" si="1"/>
        <v>0.10624999925494194</v>
      </c>
      <c r="W58" s="158">
        <v>0.10620000213384628</v>
      </c>
      <c r="X58" s="158">
        <v>0.10610000044107437</v>
      </c>
      <c r="Y58" s="158">
        <v>0.10610000044107437</v>
      </c>
      <c r="Z58" s="158">
        <v>0.10599999874830246</v>
      </c>
      <c r="AA58" s="158">
        <v>0.10589999705553055</v>
      </c>
      <c r="AB58" s="158">
        <v>0.10589999705553055</v>
      </c>
      <c r="AC58" s="158">
        <v>0.10599999874830246</v>
      </c>
      <c r="AD58" s="158">
        <v>0.10580000281333923</v>
      </c>
      <c r="AE58" s="158">
        <v>0.10580000281333923</v>
      </c>
      <c r="AF58" s="158">
        <v>0.10580000281333923</v>
      </c>
    </row>
    <row r="59" spans="1:32" x14ac:dyDescent="0.2">
      <c r="A59" s="158" t="s">
        <v>212</v>
      </c>
      <c r="B59" s="158">
        <v>0.10700000077486038</v>
      </c>
      <c r="C59" s="158">
        <v>0.10689999908208847</v>
      </c>
      <c r="D59" s="158">
        <v>0.10679999738931656</v>
      </c>
      <c r="E59" s="158">
        <v>0.10689999908208847</v>
      </c>
      <c r="F59" s="158">
        <v>0.10670000314712524</v>
      </c>
      <c r="G59" s="158">
        <v>0.10689999908208847</v>
      </c>
      <c r="H59" s="158">
        <v>0.10660000145435333</v>
      </c>
      <c r="I59" s="158">
        <v>0.10639999806880951</v>
      </c>
      <c r="J59" s="158">
        <v>0.10639999806880951</v>
      </c>
      <c r="K59" s="158">
        <v>0.1062999963760376</v>
      </c>
      <c r="L59" s="158">
        <v>0.1062999963760376</v>
      </c>
      <c r="M59" s="158">
        <v>0.1062999963760376</v>
      </c>
      <c r="N59" s="158">
        <v>0.10620000213384628</v>
      </c>
      <c r="O59" s="158">
        <v>0.10610000044107437</v>
      </c>
      <c r="P59" s="158">
        <v>0.10599999874830246</v>
      </c>
      <c r="Q59" s="158">
        <v>0.10599999874830246</v>
      </c>
      <c r="R59" s="158">
        <v>0.10599999874830246</v>
      </c>
      <c r="S59" s="158">
        <v>0.10580000281333923</v>
      </c>
      <c r="T59" s="158">
        <v>0.10580000281333923</v>
      </c>
      <c r="U59" s="158">
        <v>0.10580000281333923</v>
      </c>
      <c r="V59" s="158">
        <f t="shared" si="1"/>
        <v>0.10575000196695328</v>
      </c>
      <c r="W59" s="158">
        <v>0.10570000112056732</v>
      </c>
      <c r="X59" s="158">
        <v>0.10559999942779541</v>
      </c>
      <c r="Y59" s="158">
        <v>0.10559999942779541</v>
      </c>
      <c r="Z59" s="158">
        <v>0.10559999942779541</v>
      </c>
      <c r="AA59" s="158">
        <v>0.10540000349283218</v>
      </c>
      <c r="AB59" s="158">
        <v>0.10540000349283218</v>
      </c>
      <c r="AC59" s="158">
        <v>0.10540000349283218</v>
      </c>
      <c r="AD59" s="158">
        <v>0.10540000349283218</v>
      </c>
      <c r="AE59" s="158">
        <v>0.10530000180006027</v>
      </c>
      <c r="AF59" s="158">
        <v>0.10530000180006027</v>
      </c>
    </row>
    <row r="60" spans="1:32" x14ac:dyDescent="0.2">
      <c r="A60" s="158" t="s">
        <v>213</v>
      </c>
      <c r="B60" s="158">
        <v>0.10570000112056732</v>
      </c>
      <c r="C60" s="158">
        <v>0.1054999977350235</v>
      </c>
      <c r="D60" s="158">
        <v>0.1054999977350235</v>
      </c>
      <c r="E60" s="158">
        <v>0.1054999977350235</v>
      </c>
      <c r="F60" s="158">
        <v>0.10540000349283218</v>
      </c>
      <c r="G60" s="158">
        <v>0.10530000180006027</v>
      </c>
      <c r="H60" s="158">
        <v>0.10520000010728836</v>
      </c>
      <c r="I60" s="158">
        <v>0.10520000010728836</v>
      </c>
      <c r="J60" s="158">
        <v>0.10499999672174454</v>
      </c>
      <c r="K60" s="158">
        <v>0.10499999672174454</v>
      </c>
      <c r="L60" s="158">
        <v>0.10499999672174454</v>
      </c>
      <c r="M60" s="158">
        <v>0.10490000247955322</v>
      </c>
      <c r="N60" s="158">
        <v>0.10490000247955322</v>
      </c>
      <c r="O60" s="158">
        <v>0.10480000078678131</v>
      </c>
      <c r="P60" s="158">
        <v>0.10459999740123749</v>
      </c>
      <c r="Q60" s="158">
        <v>0.10459999740123749</v>
      </c>
      <c r="R60" s="158">
        <v>0.10459999740123749</v>
      </c>
      <c r="S60" s="158">
        <v>0.10440000146627426</v>
      </c>
      <c r="T60" s="158">
        <v>0.10450000315904617</v>
      </c>
      <c r="U60" s="158">
        <v>0.10450000315904617</v>
      </c>
      <c r="V60" s="158">
        <f t="shared" si="1"/>
        <v>0.10445000231266022</v>
      </c>
      <c r="W60" s="158">
        <v>0.10440000146627426</v>
      </c>
      <c r="X60" s="158">
        <v>0.10440000146627426</v>
      </c>
      <c r="Y60" s="158">
        <v>0.10429999977350235</v>
      </c>
      <c r="Z60" s="158">
        <v>0.10419999808073044</v>
      </c>
      <c r="AA60" s="158">
        <v>0.10419999808073044</v>
      </c>
      <c r="AB60" s="158">
        <v>0.10419999808073044</v>
      </c>
      <c r="AC60" s="158">
        <v>0.10440000146627426</v>
      </c>
      <c r="AD60" s="158">
        <v>0.10409999638795853</v>
      </c>
      <c r="AE60" s="158">
        <v>0.10400000214576721</v>
      </c>
      <c r="AF60" s="158">
        <v>0.10400000214576721</v>
      </c>
    </row>
    <row r="61" spans="1:32" x14ac:dyDescent="0.2">
      <c r="A61" s="158" t="s">
        <v>214</v>
      </c>
      <c r="B61" s="158">
        <v>0.10689999908208847</v>
      </c>
      <c r="C61" s="158">
        <v>0.10679999738931656</v>
      </c>
      <c r="D61" s="158">
        <v>0.10679999738931656</v>
      </c>
      <c r="E61" s="158">
        <v>0.10679999738931656</v>
      </c>
      <c r="F61" s="158">
        <v>0.10670000314712524</v>
      </c>
      <c r="G61" s="158">
        <v>0.10660000145435333</v>
      </c>
      <c r="H61" s="158">
        <v>0.10649999976158142</v>
      </c>
      <c r="I61" s="158">
        <v>0.1062999963760376</v>
      </c>
      <c r="J61" s="158">
        <v>0.1062999963760376</v>
      </c>
      <c r="K61" s="158">
        <v>0.10620000213384628</v>
      </c>
      <c r="L61" s="158">
        <v>0.1062999963760376</v>
      </c>
      <c r="M61" s="158">
        <v>0.10620000213384628</v>
      </c>
      <c r="N61" s="158">
        <v>0.10610000044107437</v>
      </c>
      <c r="O61" s="158">
        <v>0.10610000044107437</v>
      </c>
      <c r="P61" s="158">
        <v>0.10580000281333923</v>
      </c>
      <c r="Q61" s="158">
        <v>0.10589999705553055</v>
      </c>
      <c r="R61" s="158">
        <v>0.10580000281333923</v>
      </c>
      <c r="S61" s="158">
        <v>0.10570000112056732</v>
      </c>
      <c r="T61" s="158">
        <v>0.10570000112056732</v>
      </c>
      <c r="U61" s="158">
        <v>0.10570000112056732</v>
      </c>
      <c r="V61" s="158">
        <f t="shared" si="1"/>
        <v>0.10565000027418137</v>
      </c>
      <c r="W61" s="158">
        <v>0.10559999942779541</v>
      </c>
      <c r="X61" s="158">
        <v>0.1054999977350235</v>
      </c>
      <c r="Y61" s="158">
        <v>0.1054999977350235</v>
      </c>
      <c r="Z61" s="158">
        <v>0.10540000349283218</v>
      </c>
      <c r="AA61" s="158">
        <v>0.10540000349283218</v>
      </c>
      <c r="AB61" s="158">
        <v>0.10540000349283218</v>
      </c>
      <c r="AC61" s="158">
        <v>0.10540000349283218</v>
      </c>
      <c r="AD61" s="158">
        <v>0.10530000180006027</v>
      </c>
      <c r="AE61" s="158">
        <v>0.10520000010728836</v>
      </c>
      <c r="AF61" s="158">
        <v>0.10530000180006027</v>
      </c>
    </row>
    <row r="62" spans="1:32" x14ac:dyDescent="0.2">
      <c r="A62" s="158" t="s">
        <v>215</v>
      </c>
      <c r="B62" s="158">
        <v>0.10819999873638153</v>
      </c>
      <c r="C62" s="158">
        <v>0.10790000110864639</v>
      </c>
      <c r="D62" s="158">
        <v>0.10779999941587448</v>
      </c>
      <c r="E62" s="158">
        <v>0.1080000028014183</v>
      </c>
      <c r="F62" s="158">
        <v>0.10760000348091125</v>
      </c>
      <c r="G62" s="158">
        <v>0.10750000178813934</v>
      </c>
      <c r="H62" s="158">
        <v>0.10740000009536743</v>
      </c>
      <c r="I62" s="158">
        <v>0.10719999670982361</v>
      </c>
      <c r="J62" s="158">
        <v>0.10719999670982361</v>
      </c>
      <c r="K62" s="158">
        <v>0.10710000246763229</v>
      </c>
      <c r="L62" s="158">
        <v>0.10719999670982361</v>
      </c>
      <c r="M62" s="158">
        <v>0.10700000077486038</v>
      </c>
      <c r="N62" s="158">
        <v>0.10700000077486038</v>
      </c>
      <c r="O62" s="158">
        <v>0.10700000077486038</v>
      </c>
      <c r="P62" s="158">
        <v>0.10679999738931656</v>
      </c>
      <c r="Q62" s="158">
        <v>0.10679999738931656</v>
      </c>
      <c r="R62" s="158">
        <v>0.10670000314712524</v>
      </c>
      <c r="S62" s="158">
        <v>0.10660000145435333</v>
      </c>
      <c r="T62" s="158">
        <v>0.10660000145435333</v>
      </c>
      <c r="U62" s="158">
        <v>0.10660000145435333</v>
      </c>
      <c r="V62" s="158">
        <f t="shared" si="1"/>
        <v>0.10655000060796738</v>
      </c>
      <c r="W62" s="158">
        <v>0.10649999976158142</v>
      </c>
      <c r="X62" s="158">
        <v>0.10649999976158142</v>
      </c>
      <c r="Y62" s="158">
        <v>0.1062999963760376</v>
      </c>
      <c r="Z62" s="158">
        <v>0.1062999963760376</v>
      </c>
      <c r="AA62" s="158">
        <v>0.1062999963760376</v>
      </c>
      <c r="AB62" s="158">
        <v>0.1062999963760376</v>
      </c>
      <c r="AC62" s="158">
        <v>0.1062999963760376</v>
      </c>
      <c r="AD62" s="158">
        <v>0.10620000213384628</v>
      </c>
      <c r="AE62" s="158">
        <v>0.10610000044107437</v>
      </c>
      <c r="AF62" s="158">
        <v>0.10610000044107437</v>
      </c>
    </row>
    <row r="63" spans="1:32" x14ac:dyDescent="0.2">
      <c r="A63" s="158" t="s">
        <v>216</v>
      </c>
      <c r="B63" s="158">
        <v>0.10639999806880951</v>
      </c>
      <c r="C63" s="158">
        <v>0.10599999874830246</v>
      </c>
      <c r="D63" s="158">
        <v>0.10589999705553055</v>
      </c>
      <c r="E63" s="158">
        <v>0.10840000212192535</v>
      </c>
      <c r="F63" s="158">
        <v>0.10869999974966049</v>
      </c>
      <c r="G63" s="158">
        <v>0.10819999873638153</v>
      </c>
      <c r="H63" s="158">
        <v>0.10819999873638153</v>
      </c>
      <c r="I63" s="158">
        <v>0.1080000028014183</v>
      </c>
      <c r="J63" s="158">
        <v>0.10779999941587448</v>
      </c>
      <c r="K63" s="158">
        <v>0.1080000028014183</v>
      </c>
      <c r="L63" s="158">
        <v>0.10830000042915344</v>
      </c>
      <c r="M63" s="158">
        <v>0.1080000028014183</v>
      </c>
      <c r="N63" s="158">
        <v>0.10809999704360962</v>
      </c>
      <c r="O63" s="158">
        <v>0.10779999941587448</v>
      </c>
      <c r="P63" s="158">
        <v>0.10740000009536743</v>
      </c>
      <c r="Q63" s="158">
        <v>0.10760000348091125</v>
      </c>
      <c r="R63" s="158">
        <v>0.10760000348091125</v>
      </c>
      <c r="S63" s="158">
        <v>0.1080000028014183</v>
      </c>
      <c r="T63" s="158">
        <v>0.10750000178813934</v>
      </c>
      <c r="U63" s="158">
        <v>0.10750000178813934</v>
      </c>
      <c r="V63" s="158">
        <f t="shared" si="1"/>
        <v>0.1075500026345253</v>
      </c>
      <c r="W63" s="158">
        <v>0.10760000348091125</v>
      </c>
      <c r="X63" s="158">
        <v>0.10779999941587448</v>
      </c>
      <c r="Y63" s="158">
        <v>0.10740000009536743</v>
      </c>
      <c r="Z63" s="158">
        <v>0.10750000178813934</v>
      </c>
      <c r="AA63" s="158">
        <v>0.10920000076293945</v>
      </c>
      <c r="AB63" s="158">
        <v>0.10830000042915344</v>
      </c>
      <c r="AC63" s="158">
        <v>0.10909999907016754</v>
      </c>
      <c r="AD63" s="158">
        <v>0.10819999873638153</v>
      </c>
      <c r="AE63" s="158">
        <v>0.10740000009536743</v>
      </c>
      <c r="AF63" s="158">
        <v>0.10849999636411667</v>
      </c>
    </row>
    <row r="64" spans="1:32" x14ac:dyDescent="0.2">
      <c r="A64" s="158" t="s">
        <v>217</v>
      </c>
      <c r="B64" s="158">
        <v>0.10580000281333923</v>
      </c>
      <c r="C64" s="158">
        <v>0.10570000112056732</v>
      </c>
      <c r="D64" s="158">
        <v>0.10570000112056732</v>
      </c>
      <c r="E64" s="158">
        <v>0.10580000281333923</v>
      </c>
      <c r="F64" s="158">
        <v>0.1054999977350235</v>
      </c>
      <c r="G64" s="158">
        <v>0.10559999942779541</v>
      </c>
      <c r="H64" s="158">
        <v>0.10540000349283218</v>
      </c>
      <c r="I64" s="158">
        <v>0.10530000180006027</v>
      </c>
      <c r="J64" s="158">
        <v>0.10520000010728836</v>
      </c>
      <c r="K64" s="158">
        <v>0.10520000010728836</v>
      </c>
      <c r="L64" s="158">
        <v>0.10520000010728836</v>
      </c>
      <c r="M64" s="158">
        <v>0.10509999841451645</v>
      </c>
      <c r="N64" s="158">
        <v>0.10509999841451645</v>
      </c>
      <c r="O64" s="158">
        <v>0.10499999672174454</v>
      </c>
      <c r="P64" s="158">
        <v>0.10480000078678131</v>
      </c>
      <c r="Q64" s="158">
        <v>0.10480000078678131</v>
      </c>
      <c r="R64" s="158">
        <v>0.10480000078678131</v>
      </c>
      <c r="S64" s="158">
        <v>0.1046999990940094</v>
      </c>
      <c r="T64" s="158">
        <v>0.1046999990940094</v>
      </c>
      <c r="U64" s="158">
        <v>0.1046999990940094</v>
      </c>
      <c r="V64" s="158">
        <f t="shared" si="1"/>
        <v>0.10464999824762344</v>
      </c>
      <c r="W64" s="158">
        <v>0.10459999740123749</v>
      </c>
      <c r="X64" s="158">
        <v>0.10459999740123749</v>
      </c>
      <c r="Y64" s="158">
        <v>0.10450000315904617</v>
      </c>
      <c r="Z64" s="158">
        <v>0.10450000315904617</v>
      </c>
      <c r="AA64" s="158">
        <v>0.10429999977350235</v>
      </c>
      <c r="AB64" s="158">
        <v>0.10429999977350235</v>
      </c>
      <c r="AC64" s="158">
        <v>0.10429999977350235</v>
      </c>
      <c r="AD64" s="158">
        <v>0.10429999977350235</v>
      </c>
      <c r="AE64" s="158">
        <v>0.10419999808073044</v>
      </c>
      <c r="AF64" s="158">
        <v>0.10419999808073044</v>
      </c>
    </row>
    <row r="65" spans="1:32" x14ac:dyDescent="0.2">
      <c r="A65" s="158" t="s">
        <v>218</v>
      </c>
      <c r="B65" s="158">
        <v>0.10999999940395355</v>
      </c>
      <c r="C65" s="158">
        <v>0.10859999805688858</v>
      </c>
      <c r="D65" s="158">
        <v>0.1088000014424324</v>
      </c>
      <c r="E65" s="158">
        <v>0.10869999974966049</v>
      </c>
      <c r="F65" s="158">
        <v>0.10859999805688858</v>
      </c>
      <c r="G65" s="158">
        <v>0.10890000313520432</v>
      </c>
      <c r="H65" s="158">
        <v>0.10849999636411667</v>
      </c>
      <c r="I65" s="158">
        <v>0.10830000042915344</v>
      </c>
      <c r="J65" s="158">
        <v>0.10840000212192535</v>
      </c>
      <c r="K65" s="158">
        <v>0.10809999704360962</v>
      </c>
      <c r="L65" s="158">
        <v>0.10869999974966049</v>
      </c>
      <c r="M65" s="158">
        <v>0.10849999636411667</v>
      </c>
      <c r="N65" s="158">
        <v>0.10859999805688858</v>
      </c>
      <c r="O65" s="158">
        <v>0.10849999636411667</v>
      </c>
      <c r="P65" s="158">
        <v>0.1080000028014183</v>
      </c>
      <c r="Q65" s="158">
        <v>0.10769999772310257</v>
      </c>
      <c r="R65" s="158">
        <v>0.10769999772310257</v>
      </c>
      <c r="S65" s="158">
        <v>0.1080000028014183</v>
      </c>
      <c r="T65" s="158">
        <v>0.10769999772310257</v>
      </c>
      <c r="U65" s="158">
        <v>0.10809999704360962</v>
      </c>
      <c r="V65" s="158">
        <f t="shared" si="1"/>
        <v>0.10794999822974205</v>
      </c>
      <c r="W65" s="158">
        <v>0.10779999941587448</v>
      </c>
      <c r="X65" s="158">
        <v>0.10740000009536743</v>
      </c>
      <c r="Y65" s="158">
        <v>0.10750000178813934</v>
      </c>
      <c r="Z65" s="158">
        <v>0.10750000178813934</v>
      </c>
      <c r="AA65" s="158">
        <v>0.10620000213384628</v>
      </c>
      <c r="AB65" s="158">
        <v>0.10670000314712524</v>
      </c>
      <c r="AC65" s="158">
        <v>0.10620000213384628</v>
      </c>
      <c r="AD65" s="158">
        <v>0.10700000077486038</v>
      </c>
      <c r="AE65" s="158">
        <v>0.10679999738931656</v>
      </c>
      <c r="AF65" s="158">
        <v>0.10639999806880951</v>
      </c>
    </row>
    <row r="66" spans="1:32" x14ac:dyDescent="0.2">
      <c r="A66" s="158" t="s">
        <v>219</v>
      </c>
      <c r="B66" s="158">
        <v>0.10649999976158142</v>
      </c>
      <c r="C66" s="158">
        <v>0.10620000213384628</v>
      </c>
      <c r="D66" s="158">
        <v>0.10610000044107437</v>
      </c>
      <c r="E66" s="158">
        <v>0.10639999806880951</v>
      </c>
      <c r="F66" s="158">
        <v>0.10620000213384628</v>
      </c>
      <c r="G66" s="158">
        <v>0.10620000213384628</v>
      </c>
      <c r="H66" s="158">
        <v>0.10610000044107437</v>
      </c>
      <c r="I66" s="158">
        <v>0.10589999705553055</v>
      </c>
      <c r="J66" s="158">
        <v>0.10610000044107437</v>
      </c>
      <c r="K66" s="158">
        <v>0.10589999705553055</v>
      </c>
      <c r="L66" s="158">
        <v>0.10589999705553055</v>
      </c>
      <c r="M66" s="158">
        <v>0.10570000112056732</v>
      </c>
      <c r="N66" s="158">
        <v>0.10570000112056732</v>
      </c>
      <c r="O66" s="158">
        <v>0.10559999942779541</v>
      </c>
      <c r="P66" s="158">
        <v>0.10540000349283218</v>
      </c>
      <c r="Q66" s="158">
        <v>0.10540000349283218</v>
      </c>
      <c r="R66" s="158">
        <v>0.10540000349283218</v>
      </c>
      <c r="S66" s="158">
        <v>0.10530000180006027</v>
      </c>
      <c r="T66" s="158">
        <v>0.10530000180006027</v>
      </c>
      <c r="U66" s="158">
        <v>0.10530000180006027</v>
      </c>
      <c r="V66" s="158">
        <f t="shared" si="1"/>
        <v>0.10525000095367432</v>
      </c>
      <c r="W66" s="158">
        <v>0.10520000010728836</v>
      </c>
      <c r="X66" s="158">
        <v>0.10509999841451645</v>
      </c>
      <c r="Y66" s="158">
        <v>0.10499999672174454</v>
      </c>
      <c r="Z66" s="158">
        <v>0.10520000010728836</v>
      </c>
      <c r="AA66" s="158">
        <v>0.10490000247955322</v>
      </c>
      <c r="AB66" s="158">
        <v>0.10490000247955322</v>
      </c>
      <c r="AC66" s="158">
        <v>0.10490000247955322</v>
      </c>
      <c r="AD66" s="158">
        <v>0.10480000078678131</v>
      </c>
      <c r="AE66" s="158">
        <v>0.10499999672174454</v>
      </c>
      <c r="AF66" s="158">
        <v>0.10480000078678131</v>
      </c>
    </row>
    <row r="67" spans="1:32" x14ac:dyDescent="0.2">
      <c r="A67" s="158" t="s">
        <v>220</v>
      </c>
      <c r="B67" s="158">
        <v>0.10679999738931656</v>
      </c>
      <c r="C67" s="158">
        <v>0.10660000145435333</v>
      </c>
      <c r="D67" s="158">
        <v>0.10649999976158142</v>
      </c>
      <c r="E67" s="158">
        <v>0.10649999976158142</v>
      </c>
      <c r="F67" s="158">
        <v>0.1062999963760376</v>
      </c>
      <c r="G67" s="158">
        <v>0.10620000213384628</v>
      </c>
      <c r="H67" s="158">
        <v>0.10610000044107437</v>
      </c>
      <c r="I67" s="158">
        <v>0.10599999874830246</v>
      </c>
      <c r="J67" s="158">
        <v>0.10589999705553055</v>
      </c>
      <c r="K67" s="158">
        <v>0.10589999705553055</v>
      </c>
      <c r="L67" s="158">
        <v>0.10589999705553055</v>
      </c>
      <c r="M67" s="158">
        <v>0.10580000281333923</v>
      </c>
      <c r="N67" s="158">
        <v>0.10570000112056732</v>
      </c>
      <c r="O67" s="158">
        <v>0.10559999942779541</v>
      </c>
      <c r="P67" s="158">
        <v>0.10540000349283218</v>
      </c>
      <c r="Q67" s="158">
        <v>0.10540000349283218</v>
      </c>
      <c r="R67" s="158">
        <v>0.10530000180006027</v>
      </c>
      <c r="S67" s="158">
        <v>0.10520000010728836</v>
      </c>
      <c r="T67" s="158">
        <v>0.10520000010728836</v>
      </c>
      <c r="U67" s="158">
        <v>0.10520000010728836</v>
      </c>
      <c r="V67" s="158">
        <f t="shared" si="1"/>
        <v>0.10509999841451645</v>
      </c>
      <c r="W67" s="158">
        <v>0.10499999672174454</v>
      </c>
      <c r="X67" s="158">
        <v>0.10499999672174454</v>
      </c>
      <c r="Y67" s="158">
        <v>0.10480000078678131</v>
      </c>
      <c r="Z67" s="158">
        <v>0.10480000078678131</v>
      </c>
      <c r="AA67" s="158">
        <v>0.10459999740123749</v>
      </c>
      <c r="AB67" s="158">
        <v>0.10459999740123749</v>
      </c>
      <c r="AC67" s="158">
        <v>0.10459999740123749</v>
      </c>
      <c r="AD67" s="158">
        <v>0.10450000315904617</v>
      </c>
      <c r="AE67" s="158">
        <v>0.10440000146627426</v>
      </c>
      <c r="AF67" s="158">
        <v>0.10440000146627426</v>
      </c>
    </row>
    <row r="68" spans="1:32" x14ac:dyDescent="0.2">
      <c r="A68" s="158" t="s">
        <v>221</v>
      </c>
      <c r="B68" s="158">
        <v>0.10620000213384628</v>
      </c>
      <c r="C68" s="158">
        <v>0.10610000044107437</v>
      </c>
      <c r="D68" s="158">
        <v>0.10599999874830246</v>
      </c>
      <c r="E68" s="158">
        <v>0.10610000044107437</v>
      </c>
      <c r="F68" s="158">
        <v>0.10589999705553055</v>
      </c>
      <c r="G68" s="158">
        <v>0.10599999874830246</v>
      </c>
      <c r="H68" s="158">
        <v>0.10589999705553055</v>
      </c>
      <c r="I68" s="158">
        <v>0.10580000281333923</v>
      </c>
      <c r="J68" s="158">
        <v>0.10570000112056732</v>
      </c>
      <c r="K68" s="158">
        <v>0.10570000112056732</v>
      </c>
      <c r="L68" s="158">
        <v>0.10580000281333923</v>
      </c>
      <c r="M68" s="158">
        <v>0.10570000112056732</v>
      </c>
      <c r="N68" s="158">
        <v>0.10559999942779541</v>
      </c>
      <c r="O68" s="158">
        <v>0.10540000349283218</v>
      </c>
      <c r="P68" s="158">
        <v>0.10530000180006027</v>
      </c>
      <c r="Q68" s="158">
        <v>0.10530000180006027</v>
      </c>
      <c r="R68" s="158">
        <v>0.10520000010728836</v>
      </c>
      <c r="S68" s="158">
        <v>0.10530000180006027</v>
      </c>
      <c r="T68" s="158">
        <v>0.10530000180006027</v>
      </c>
      <c r="U68" s="158">
        <v>0.10540000349283218</v>
      </c>
      <c r="V68" s="158">
        <f t="shared" si="1"/>
        <v>0.10530000180006027</v>
      </c>
      <c r="W68" s="158">
        <v>0.10520000010728836</v>
      </c>
      <c r="X68" s="158">
        <v>0.10520000010728836</v>
      </c>
      <c r="Y68" s="158">
        <v>0.10499999672174454</v>
      </c>
      <c r="Z68" s="158">
        <v>0.10490000247955322</v>
      </c>
      <c r="AA68" s="158">
        <v>0.10490000247955322</v>
      </c>
      <c r="AB68" s="158">
        <v>0.10480000078678131</v>
      </c>
      <c r="AC68" s="158">
        <v>0.1046999990940094</v>
      </c>
      <c r="AD68" s="158">
        <v>0.10480000078678131</v>
      </c>
      <c r="AE68" s="158">
        <v>0.1046999990940094</v>
      </c>
      <c r="AF68" s="158">
        <v>0.10480000078678131</v>
      </c>
    </row>
    <row r="69" spans="1:32" x14ac:dyDescent="0.2">
      <c r="A69" s="158" t="s">
        <v>222</v>
      </c>
      <c r="B69" s="158">
        <v>0.10649999976158142</v>
      </c>
      <c r="C69" s="158">
        <v>0.10610000044107437</v>
      </c>
      <c r="D69" s="158">
        <v>0.10599999874830246</v>
      </c>
      <c r="E69" s="158">
        <v>0.10610000044107437</v>
      </c>
      <c r="F69" s="158">
        <v>0.10589999705553055</v>
      </c>
      <c r="G69" s="158">
        <v>0.10580000281333923</v>
      </c>
      <c r="H69" s="158">
        <v>0.10570000112056732</v>
      </c>
      <c r="I69" s="158">
        <v>0.10559999942779541</v>
      </c>
      <c r="J69" s="158">
        <v>0.1054999977350235</v>
      </c>
      <c r="K69" s="158">
        <v>0.1054999977350235</v>
      </c>
      <c r="L69" s="158">
        <v>0.1054999977350235</v>
      </c>
      <c r="M69" s="158">
        <v>0.10540000349283218</v>
      </c>
      <c r="N69" s="158">
        <v>0.10540000349283218</v>
      </c>
      <c r="O69" s="158">
        <v>0.10530000180006027</v>
      </c>
      <c r="P69" s="158">
        <v>0.10499999672174454</v>
      </c>
      <c r="Q69" s="158">
        <v>0.10499999672174454</v>
      </c>
      <c r="R69" s="158">
        <v>0.10499999672174454</v>
      </c>
      <c r="S69" s="158">
        <v>0.10490000247955322</v>
      </c>
      <c r="T69" s="158">
        <v>0.10490000247955322</v>
      </c>
      <c r="U69" s="158">
        <v>0.10490000247955322</v>
      </c>
      <c r="V69" s="158">
        <f t="shared" si="1"/>
        <v>0.10485000163316727</v>
      </c>
      <c r="W69" s="158">
        <v>0.10480000078678131</v>
      </c>
      <c r="X69" s="158">
        <v>0.10480000078678131</v>
      </c>
      <c r="Y69" s="158">
        <v>0.1046999990940094</v>
      </c>
      <c r="Z69" s="158">
        <v>0.10450000315904617</v>
      </c>
      <c r="AA69" s="158">
        <v>0.10450000315904617</v>
      </c>
      <c r="AB69" s="158">
        <v>0.10450000315904617</v>
      </c>
      <c r="AC69" s="158">
        <v>0.10440000146627426</v>
      </c>
      <c r="AD69" s="158">
        <v>0.10440000146627426</v>
      </c>
      <c r="AE69" s="158">
        <v>0.10440000146627426</v>
      </c>
      <c r="AF69" s="158">
        <v>0.10429999977350235</v>
      </c>
    </row>
    <row r="70" spans="1:32" x14ac:dyDescent="0.2">
      <c r="A70" s="158" t="s">
        <v>223</v>
      </c>
      <c r="B70" s="158">
        <v>0.10710000246763229</v>
      </c>
      <c r="C70" s="158">
        <v>0.10689999908208847</v>
      </c>
      <c r="D70" s="158">
        <v>0.10679999738931656</v>
      </c>
      <c r="E70" s="158">
        <v>0.10679999738931656</v>
      </c>
      <c r="F70" s="158">
        <v>0.10689999908208847</v>
      </c>
      <c r="G70" s="158">
        <v>0.10670000314712524</v>
      </c>
      <c r="H70" s="158">
        <v>0.10670000314712524</v>
      </c>
      <c r="I70" s="158">
        <v>0.10649999976158142</v>
      </c>
      <c r="J70" s="158">
        <v>0.10649999976158142</v>
      </c>
      <c r="K70" s="158">
        <v>0.10639999806880951</v>
      </c>
      <c r="L70" s="158">
        <v>0.10649999976158142</v>
      </c>
      <c r="M70" s="158">
        <v>0.10639999806880951</v>
      </c>
      <c r="N70" s="158">
        <v>0.1062999963760376</v>
      </c>
      <c r="O70" s="158">
        <v>0.10620000213384628</v>
      </c>
      <c r="P70" s="158">
        <v>0.10610000044107437</v>
      </c>
      <c r="Q70" s="158">
        <v>0.10599999874830246</v>
      </c>
      <c r="R70" s="158">
        <v>0.10599999874830246</v>
      </c>
      <c r="S70" s="158">
        <v>0.10610000044107437</v>
      </c>
      <c r="T70" s="158">
        <v>0.10610000044107437</v>
      </c>
      <c r="U70" s="158">
        <v>0.10610000044107437</v>
      </c>
      <c r="V70" s="158">
        <f t="shared" si="1"/>
        <v>0.10610000044107437</v>
      </c>
      <c r="W70" s="158">
        <v>0.10610000044107437</v>
      </c>
      <c r="X70" s="158">
        <v>0.10599999874830246</v>
      </c>
      <c r="Y70" s="158">
        <v>0.10589999705553055</v>
      </c>
      <c r="Z70" s="158">
        <v>0.10580000281333923</v>
      </c>
      <c r="AA70" s="158">
        <v>0.10589999705553055</v>
      </c>
      <c r="AB70" s="158">
        <v>0.10559999942779541</v>
      </c>
      <c r="AC70" s="158">
        <v>0.10559999942779541</v>
      </c>
      <c r="AD70" s="158">
        <v>0.10559999942779541</v>
      </c>
      <c r="AE70" s="158">
        <v>0.10559999942779541</v>
      </c>
      <c r="AF70" s="158">
        <v>0.10589999705553055</v>
      </c>
    </row>
    <row r="71" spans="1:32" x14ac:dyDescent="0.2">
      <c r="A71" s="158" t="s">
        <v>224</v>
      </c>
      <c r="B71" s="158">
        <v>0.10710000246763229</v>
      </c>
      <c r="C71" s="158">
        <v>0.10679999738931656</v>
      </c>
      <c r="D71" s="158">
        <v>0.10670000314712524</v>
      </c>
      <c r="E71" s="158">
        <v>0.10670000314712524</v>
      </c>
      <c r="F71" s="158">
        <v>0.10660000145435333</v>
      </c>
      <c r="G71" s="158">
        <v>0.10660000145435333</v>
      </c>
      <c r="H71" s="158">
        <v>0.10639999806880951</v>
      </c>
      <c r="I71" s="158">
        <v>0.1062999963760376</v>
      </c>
      <c r="J71" s="158">
        <v>0.10620000213384628</v>
      </c>
      <c r="K71" s="158">
        <v>0.10620000213384628</v>
      </c>
      <c r="L71" s="158">
        <v>0.10620000213384628</v>
      </c>
      <c r="M71" s="158">
        <v>0.10599999874830246</v>
      </c>
      <c r="N71" s="158">
        <v>0.10589999705553055</v>
      </c>
      <c r="O71" s="158">
        <v>0.10570000112056732</v>
      </c>
      <c r="P71" s="158">
        <v>0.1054999977350235</v>
      </c>
      <c r="Q71" s="158">
        <v>0.1054999977350235</v>
      </c>
      <c r="R71" s="158">
        <v>0.1054999977350235</v>
      </c>
      <c r="S71" s="158">
        <v>0.1054999977350235</v>
      </c>
      <c r="T71" s="158">
        <v>0.10559999942779541</v>
      </c>
      <c r="U71" s="158">
        <v>0.10570000112056732</v>
      </c>
      <c r="V71" s="158">
        <f t="shared" si="1"/>
        <v>0.10559999942779541</v>
      </c>
      <c r="W71" s="158">
        <v>0.1054999977350235</v>
      </c>
      <c r="X71" s="158">
        <v>0.10540000349283218</v>
      </c>
      <c r="Y71" s="158">
        <v>0.10520000010728836</v>
      </c>
      <c r="Z71" s="158">
        <v>0.10509999841451645</v>
      </c>
      <c r="AA71" s="158">
        <v>0.10490000247955322</v>
      </c>
      <c r="AB71" s="158">
        <v>0.10480000078678131</v>
      </c>
      <c r="AC71" s="158">
        <v>0.10480000078678131</v>
      </c>
      <c r="AD71" s="158">
        <v>0.10480000078678131</v>
      </c>
      <c r="AE71" s="158">
        <v>0.1046999990940094</v>
      </c>
      <c r="AF71" s="158">
        <v>0.10490000247955322</v>
      </c>
    </row>
    <row r="72" spans="1:32" x14ac:dyDescent="0.2">
      <c r="A72" s="158" t="s">
        <v>225</v>
      </c>
      <c r="B72" s="158">
        <v>0.10719999670982361</v>
      </c>
      <c r="C72" s="158">
        <v>0.10719999670982361</v>
      </c>
      <c r="D72" s="158">
        <v>0.10719999670982361</v>
      </c>
      <c r="E72" s="158">
        <v>0.10729999840259552</v>
      </c>
      <c r="F72" s="158">
        <v>0.10729999840259552</v>
      </c>
      <c r="G72" s="158">
        <v>0.10740000009536743</v>
      </c>
      <c r="H72" s="158">
        <v>0.10729999840259552</v>
      </c>
      <c r="I72" s="158">
        <v>0.10729999840259552</v>
      </c>
      <c r="J72" s="158">
        <v>0.10719999670982361</v>
      </c>
      <c r="K72" s="158">
        <v>0.10719999670982361</v>
      </c>
      <c r="L72" s="158">
        <v>0.10719999670982361</v>
      </c>
      <c r="M72" s="158">
        <v>0.10729999840259552</v>
      </c>
      <c r="N72" s="158">
        <v>0.10689999908208847</v>
      </c>
      <c r="O72" s="158">
        <v>0.10679999738931656</v>
      </c>
      <c r="P72" s="158">
        <v>0.10660000145435333</v>
      </c>
      <c r="Q72" s="158">
        <v>0.10660000145435333</v>
      </c>
      <c r="R72" s="158">
        <v>0.10660000145435333</v>
      </c>
      <c r="S72" s="158">
        <v>0.10670000314712524</v>
      </c>
      <c r="T72" s="158">
        <v>0.10679999738931656</v>
      </c>
      <c r="U72" s="158">
        <v>0.10689999908208847</v>
      </c>
      <c r="V72" s="158">
        <f t="shared" si="1"/>
        <v>0.10684999823570251</v>
      </c>
      <c r="W72" s="158">
        <v>0.10679999738931656</v>
      </c>
      <c r="X72" s="158">
        <v>0.10679999738931656</v>
      </c>
      <c r="Y72" s="158">
        <v>0.10649999976158142</v>
      </c>
      <c r="Z72" s="158">
        <v>0.1062999963760376</v>
      </c>
      <c r="AA72" s="158">
        <v>0.10620000213384628</v>
      </c>
      <c r="AB72" s="158">
        <v>0.10610000044107437</v>
      </c>
      <c r="AC72" s="158">
        <v>0.10610000044107437</v>
      </c>
      <c r="AD72" s="158">
        <v>0.10610000044107437</v>
      </c>
      <c r="AE72" s="158">
        <v>0.10610000044107437</v>
      </c>
      <c r="AF72" s="158">
        <v>0.10620000213384628</v>
      </c>
    </row>
    <row r="73" spans="1:32" x14ac:dyDescent="0.2">
      <c r="A73" s="158" t="s">
        <v>226</v>
      </c>
      <c r="B73" s="158">
        <v>0.10740000009536743</v>
      </c>
      <c r="C73" s="158">
        <v>0.10710000246763229</v>
      </c>
      <c r="D73" s="158">
        <v>0.10710000246763229</v>
      </c>
      <c r="E73" s="158">
        <v>0.10700000077486038</v>
      </c>
      <c r="F73" s="158">
        <v>0.10689999908208847</v>
      </c>
      <c r="G73" s="158">
        <v>0.10719999670982361</v>
      </c>
      <c r="H73" s="158">
        <v>0.10679999738931656</v>
      </c>
      <c r="I73" s="158">
        <v>0.10670000314712524</v>
      </c>
      <c r="J73" s="158">
        <v>0.10670000314712524</v>
      </c>
      <c r="K73" s="158">
        <v>0.10670000314712524</v>
      </c>
      <c r="L73" s="158">
        <v>0.10670000314712524</v>
      </c>
      <c r="M73" s="158">
        <v>0.10649999976158142</v>
      </c>
      <c r="N73" s="158">
        <v>0.10639999806880951</v>
      </c>
      <c r="O73" s="158">
        <v>0.10620000213384628</v>
      </c>
      <c r="P73" s="158">
        <v>0.10599999874830246</v>
      </c>
      <c r="Q73" s="158">
        <v>0.10599999874830246</v>
      </c>
      <c r="R73" s="158">
        <v>0.10599999874830246</v>
      </c>
      <c r="S73" s="158">
        <v>0.10599999874830246</v>
      </c>
      <c r="T73" s="158">
        <v>0.10610000044107437</v>
      </c>
      <c r="U73" s="158">
        <v>0.10620000213384628</v>
      </c>
      <c r="V73" s="158">
        <f t="shared" si="1"/>
        <v>0.10615000128746033</v>
      </c>
      <c r="W73" s="158">
        <v>0.10610000044107437</v>
      </c>
      <c r="X73" s="158">
        <v>0.10599999874830246</v>
      </c>
      <c r="Y73" s="158">
        <v>0.10570000112056732</v>
      </c>
      <c r="Z73" s="158">
        <v>0.1054999977350235</v>
      </c>
      <c r="AA73" s="158">
        <v>0.10540000349283218</v>
      </c>
      <c r="AB73" s="158">
        <v>0.10540000349283218</v>
      </c>
      <c r="AC73" s="158">
        <v>0.10530000180006027</v>
      </c>
      <c r="AD73" s="158">
        <v>0.10540000349283218</v>
      </c>
      <c r="AE73" s="158">
        <v>0.10530000180006027</v>
      </c>
      <c r="AF73" s="158">
        <v>0.1054999977350235</v>
      </c>
    </row>
    <row r="74" spans="1:32" x14ac:dyDescent="0.2">
      <c r="A74" s="158" t="s">
        <v>227</v>
      </c>
      <c r="B74" s="158">
        <v>0.10859999805688858</v>
      </c>
      <c r="C74" s="158">
        <v>0.10819999873638153</v>
      </c>
      <c r="D74" s="158">
        <v>0.10809999704360962</v>
      </c>
      <c r="E74" s="158">
        <v>0.10819999873638153</v>
      </c>
      <c r="F74" s="158">
        <v>0.10809999704360962</v>
      </c>
      <c r="G74" s="158">
        <v>0.10819999873638153</v>
      </c>
      <c r="H74" s="158">
        <v>0.10809999704360962</v>
      </c>
      <c r="I74" s="158">
        <v>0.1080000028014183</v>
      </c>
      <c r="J74" s="158">
        <v>0.1080000028014183</v>
      </c>
      <c r="K74" s="158">
        <v>0.1080000028014183</v>
      </c>
      <c r="L74" s="158">
        <v>0.1080000028014183</v>
      </c>
      <c r="M74" s="158">
        <v>0.10779999941587448</v>
      </c>
      <c r="N74" s="158">
        <v>0.10769999772310257</v>
      </c>
      <c r="O74" s="158">
        <v>0.10750000178813934</v>
      </c>
      <c r="P74" s="158">
        <v>0.10729999840259552</v>
      </c>
      <c r="Q74" s="158">
        <v>0.10760000348091125</v>
      </c>
      <c r="R74" s="158">
        <v>0.10729999840259552</v>
      </c>
      <c r="S74" s="158">
        <v>0.10760000348091125</v>
      </c>
      <c r="T74" s="158">
        <v>0.10760000348091125</v>
      </c>
      <c r="U74" s="158">
        <v>0.10769999772310257</v>
      </c>
      <c r="V74" s="158">
        <f t="shared" si="1"/>
        <v>0.10799999907612801</v>
      </c>
      <c r="W74" s="158">
        <v>0.10830000042915344</v>
      </c>
      <c r="X74" s="158">
        <v>0.10819999873638153</v>
      </c>
      <c r="Y74" s="158">
        <v>0.10939999669790268</v>
      </c>
      <c r="Z74" s="158">
        <v>0.10899999737739563</v>
      </c>
      <c r="AA74" s="158">
        <v>0.10920000076293945</v>
      </c>
      <c r="AB74" s="158">
        <v>0.10930000245571136</v>
      </c>
      <c r="AC74" s="158">
        <v>0.10890000313520432</v>
      </c>
      <c r="AD74" s="158">
        <v>0.10890000313520432</v>
      </c>
      <c r="AE74" s="158">
        <v>0.1088000014424324</v>
      </c>
      <c r="AF74" s="158">
        <v>0.10830000042915344</v>
      </c>
    </row>
    <row r="75" spans="1:32" x14ac:dyDescent="0.2">
      <c r="A75" s="158" t="s">
        <v>228</v>
      </c>
      <c r="B75" s="158">
        <v>0.10719999670982361</v>
      </c>
      <c r="C75" s="158">
        <v>0.10660000145435333</v>
      </c>
      <c r="D75" s="158">
        <v>0.10660000145435333</v>
      </c>
      <c r="E75" s="158">
        <v>0.10660000145435333</v>
      </c>
      <c r="F75" s="158">
        <v>0.10639999806880951</v>
      </c>
      <c r="G75" s="158">
        <v>0.10649999976158142</v>
      </c>
      <c r="H75" s="158">
        <v>0.10660000145435333</v>
      </c>
      <c r="I75" s="158">
        <v>0.10620000213384628</v>
      </c>
      <c r="J75" s="158">
        <v>0.10620000213384628</v>
      </c>
      <c r="K75" s="158">
        <v>0.10620000213384628</v>
      </c>
      <c r="L75" s="158">
        <v>0.10610000044107437</v>
      </c>
      <c r="M75" s="158">
        <v>0.10589999705553055</v>
      </c>
      <c r="N75" s="158">
        <v>0.10580000281333923</v>
      </c>
      <c r="O75" s="158">
        <v>0.1054999977350235</v>
      </c>
      <c r="P75" s="158">
        <v>0.10530000180006027</v>
      </c>
      <c r="Q75" s="158">
        <v>0.10530000180006027</v>
      </c>
      <c r="R75" s="158">
        <v>0.10530000180006027</v>
      </c>
      <c r="S75" s="158">
        <v>0.10540000349283218</v>
      </c>
      <c r="T75" s="158">
        <v>0.10570000112056732</v>
      </c>
      <c r="U75" s="158">
        <v>0.10570000112056732</v>
      </c>
      <c r="V75" s="158">
        <f t="shared" si="1"/>
        <v>0.10610000044107437</v>
      </c>
      <c r="W75" s="158">
        <v>0.10649999976158142</v>
      </c>
      <c r="X75" s="158">
        <v>0.10639999806880951</v>
      </c>
      <c r="Y75" s="158">
        <v>0.10620000213384628</v>
      </c>
      <c r="Z75" s="158">
        <v>0.10580000281333923</v>
      </c>
      <c r="AA75" s="158">
        <v>0.10570000112056732</v>
      </c>
      <c r="AB75" s="158">
        <v>0.10559999942779541</v>
      </c>
      <c r="AC75" s="158">
        <v>0.10540000349283218</v>
      </c>
      <c r="AD75" s="158">
        <v>0.1054999977350235</v>
      </c>
      <c r="AE75" s="158">
        <v>0.1054999977350235</v>
      </c>
      <c r="AF75" s="158">
        <v>0.10580000281333923</v>
      </c>
    </row>
    <row r="76" spans="1:32" x14ac:dyDescent="0.2">
      <c r="A76" s="158" t="s">
        <v>229</v>
      </c>
      <c r="B76" s="158">
        <v>0.10790000110864639</v>
      </c>
      <c r="C76" s="158">
        <v>0.10760000348091125</v>
      </c>
      <c r="D76" s="158">
        <v>0.10750000178813934</v>
      </c>
      <c r="E76" s="158">
        <v>0.10750000178813934</v>
      </c>
      <c r="F76" s="158">
        <v>0.10750000178813934</v>
      </c>
      <c r="G76" s="158">
        <v>0.10760000348091125</v>
      </c>
      <c r="H76" s="158">
        <v>0.10750000178813934</v>
      </c>
      <c r="I76" s="158">
        <v>0.10750000178813934</v>
      </c>
      <c r="J76" s="158">
        <v>0.10740000009536743</v>
      </c>
      <c r="K76" s="158">
        <v>0.10740000009536743</v>
      </c>
      <c r="L76" s="158">
        <v>0.10740000009536743</v>
      </c>
      <c r="M76" s="158">
        <v>0.10719999670982361</v>
      </c>
      <c r="N76" s="158">
        <v>0.10700000077486038</v>
      </c>
      <c r="O76" s="158">
        <v>0.10670000314712524</v>
      </c>
      <c r="P76" s="158">
        <v>0.10679999738931656</v>
      </c>
      <c r="Q76" s="158">
        <v>0.10649999976158142</v>
      </c>
      <c r="R76" s="158">
        <v>0.10660000145435333</v>
      </c>
      <c r="S76" s="158">
        <v>0.10679999738931656</v>
      </c>
      <c r="T76" s="158">
        <v>0.10700000077486038</v>
      </c>
      <c r="U76" s="158">
        <v>0.10710000246763229</v>
      </c>
      <c r="V76" s="158">
        <f t="shared" si="1"/>
        <v>0.10710000246763229</v>
      </c>
      <c r="W76" s="158">
        <v>0.10710000246763229</v>
      </c>
      <c r="X76" s="158">
        <v>0.10679999738931656</v>
      </c>
      <c r="Y76" s="158">
        <v>0.10660000145435333</v>
      </c>
      <c r="Z76" s="158">
        <v>0.1062999963760376</v>
      </c>
      <c r="AA76" s="158">
        <v>0.10620000213384628</v>
      </c>
      <c r="AB76" s="158">
        <v>0.10599999874830246</v>
      </c>
      <c r="AC76" s="158">
        <v>0.10589999705553055</v>
      </c>
      <c r="AD76" s="158">
        <v>0.10599999874830246</v>
      </c>
      <c r="AE76" s="158">
        <v>0.10599999874830246</v>
      </c>
      <c r="AF76" s="158">
        <v>0.10610000044107437</v>
      </c>
    </row>
    <row r="77" spans="1:32" x14ac:dyDescent="0.2">
      <c r="A77" s="158" t="s">
        <v>230</v>
      </c>
      <c r="B77" s="158">
        <v>0.10639999806880951</v>
      </c>
      <c r="C77" s="158">
        <v>0.10589999705553055</v>
      </c>
      <c r="D77" s="158">
        <v>0.10570000112056732</v>
      </c>
      <c r="E77" s="158">
        <v>0.10570000112056732</v>
      </c>
      <c r="F77" s="158">
        <v>0.1054999977350235</v>
      </c>
      <c r="G77" s="158">
        <v>0.10559999942779541</v>
      </c>
      <c r="H77" s="158">
        <v>0.10540000349283218</v>
      </c>
      <c r="I77" s="158">
        <v>0.10530000180006027</v>
      </c>
      <c r="J77" s="158">
        <v>0.10509999841451645</v>
      </c>
      <c r="K77" s="158">
        <v>0.10520000010728836</v>
      </c>
      <c r="L77" s="158">
        <v>0.10520000010728836</v>
      </c>
      <c r="M77" s="158">
        <v>0.10499999672174454</v>
      </c>
      <c r="N77" s="158">
        <v>0.10480000078678131</v>
      </c>
      <c r="O77" s="158">
        <v>0.10450000315904617</v>
      </c>
      <c r="P77" s="158">
        <v>0.10429999977350235</v>
      </c>
      <c r="Q77" s="158">
        <v>0.10429999977350235</v>
      </c>
      <c r="R77" s="158">
        <v>0.10429999977350235</v>
      </c>
      <c r="S77" s="158">
        <v>0.10440000146627426</v>
      </c>
      <c r="T77" s="158">
        <v>0.10459999740123749</v>
      </c>
      <c r="U77" s="158">
        <v>0.1046999990940094</v>
      </c>
      <c r="V77" s="158">
        <f t="shared" si="1"/>
        <v>0.10520000010728836</v>
      </c>
      <c r="W77" s="158">
        <v>0.10570000112056732</v>
      </c>
      <c r="X77" s="158">
        <v>0.10540000349283218</v>
      </c>
      <c r="Y77" s="158">
        <v>0.10509999841451645</v>
      </c>
      <c r="Z77" s="158">
        <v>0.10499999672174454</v>
      </c>
      <c r="AA77" s="158">
        <v>0.10480000078678131</v>
      </c>
      <c r="AB77" s="158">
        <v>0.1046999990940094</v>
      </c>
      <c r="AC77" s="158">
        <v>0.10459999740123749</v>
      </c>
      <c r="AD77" s="158">
        <v>0.10459999740123749</v>
      </c>
      <c r="AE77" s="158">
        <v>0.1046999990940094</v>
      </c>
      <c r="AF77" s="158">
        <v>0.10400000214576721</v>
      </c>
    </row>
    <row r="78" spans="1:32" x14ac:dyDescent="0.2">
      <c r="A78" s="158" t="s">
        <v>231</v>
      </c>
      <c r="B78" s="158">
        <v>0.10719999670982361</v>
      </c>
      <c r="C78" s="158">
        <v>0.10679999738931656</v>
      </c>
      <c r="D78" s="158">
        <v>0.10670000314712524</v>
      </c>
      <c r="E78" s="158">
        <v>0.10660000145435333</v>
      </c>
      <c r="F78" s="158">
        <v>0.10660000145435333</v>
      </c>
      <c r="G78" s="158">
        <v>0.10679999738931656</v>
      </c>
      <c r="H78" s="158">
        <v>0.10670000314712524</v>
      </c>
      <c r="I78" s="158">
        <v>0.10670000314712524</v>
      </c>
      <c r="J78" s="158">
        <v>0.10660000145435333</v>
      </c>
      <c r="K78" s="158">
        <v>0.10679999738931656</v>
      </c>
      <c r="L78" s="158">
        <v>0.10660000145435333</v>
      </c>
      <c r="M78" s="158">
        <v>0.10639999806880951</v>
      </c>
      <c r="N78" s="158">
        <v>0.10620000213384628</v>
      </c>
      <c r="O78" s="158">
        <v>0.10599999874830246</v>
      </c>
      <c r="P78" s="158">
        <v>0.10580000281333923</v>
      </c>
      <c r="Q78" s="158">
        <v>0.10580000281333923</v>
      </c>
      <c r="R78" s="158">
        <v>0.10580000281333923</v>
      </c>
      <c r="S78" s="158">
        <v>0.10599999874830246</v>
      </c>
      <c r="T78" s="158">
        <v>0.10620000213384628</v>
      </c>
      <c r="U78" s="158">
        <v>0.1062999963760376</v>
      </c>
      <c r="V78" s="158">
        <f t="shared" si="1"/>
        <v>0.1062999963760376</v>
      </c>
      <c r="W78" s="158">
        <v>0.1062999963760376</v>
      </c>
      <c r="X78" s="158">
        <v>0.10610000044107437</v>
      </c>
      <c r="Y78" s="158">
        <v>0.10580000281333923</v>
      </c>
      <c r="Z78" s="158">
        <v>0.10559999942779541</v>
      </c>
      <c r="AA78" s="158">
        <v>0.10540000349283218</v>
      </c>
      <c r="AB78" s="158">
        <v>0.10530000180006027</v>
      </c>
      <c r="AC78" s="158">
        <v>0.10520000010728836</v>
      </c>
      <c r="AD78" s="158">
        <v>0.10520000010728836</v>
      </c>
      <c r="AE78" s="158">
        <v>0.10530000180006027</v>
      </c>
      <c r="AF78" s="158">
        <v>0.10530000180006027</v>
      </c>
    </row>
    <row r="79" spans="1:32" x14ac:dyDescent="0.2">
      <c r="A79" s="158" t="s">
        <v>232</v>
      </c>
      <c r="B79" s="158">
        <v>0.10719999670982361</v>
      </c>
      <c r="C79" s="158">
        <v>0.10660000145435333</v>
      </c>
      <c r="D79" s="158">
        <v>0.1062999963760376</v>
      </c>
      <c r="E79" s="158">
        <v>0.1062999963760376</v>
      </c>
      <c r="F79" s="158">
        <v>0.10620000213384628</v>
      </c>
      <c r="G79" s="158">
        <v>0.1062999963760376</v>
      </c>
      <c r="H79" s="158">
        <v>0.10620000213384628</v>
      </c>
      <c r="I79" s="158">
        <v>0.10610000044107437</v>
      </c>
      <c r="J79" s="158">
        <v>0.10599999874830246</v>
      </c>
      <c r="K79" s="158">
        <v>0.10599999874830246</v>
      </c>
      <c r="L79" s="158">
        <v>0.10599999874830246</v>
      </c>
      <c r="M79" s="158">
        <v>0.10570000112056732</v>
      </c>
      <c r="N79" s="158">
        <v>0.1054999977350235</v>
      </c>
      <c r="O79" s="158">
        <v>0.10520000010728836</v>
      </c>
      <c r="P79" s="158">
        <v>0.10499999672174454</v>
      </c>
      <c r="Q79" s="158">
        <v>0.10499999672174454</v>
      </c>
      <c r="R79" s="158">
        <v>0.10499999672174454</v>
      </c>
      <c r="S79" s="158">
        <v>0.10520000010728836</v>
      </c>
      <c r="T79" s="158">
        <v>0.10540000349283218</v>
      </c>
      <c r="U79" s="158">
        <v>0.1054999977350235</v>
      </c>
      <c r="V79" s="158">
        <f t="shared" si="1"/>
        <v>0.10545000061392784</v>
      </c>
      <c r="W79" s="158">
        <v>0.10540000349283218</v>
      </c>
      <c r="X79" s="158">
        <v>0.10520000010728836</v>
      </c>
      <c r="Y79" s="158">
        <v>0.10490000247955322</v>
      </c>
      <c r="Z79" s="158">
        <v>0.10459999740123749</v>
      </c>
      <c r="AA79" s="158">
        <v>0.10440000146627426</v>
      </c>
      <c r="AB79" s="158">
        <v>0.10429999977350235</v>
      </c>
      <c r="AC79" s="158">
        <v>0.10419999808073044</v>
      </c>
      <c r="AD79" s="158">
        <v>0.10419999808073044</v>
      </c>
      <c r="AE79" s="158">
        <v>0.10419999808073044</v>
      </c>
      <c r="AF79" s="158">
        <v>0.10440000146627426</v>
      </c>
    </row>
    <row r="80" spans="1:32" x14ac:dyDescent="0.2">
      <c r="A80" s="158" t="s">
        <v>233</v>
      </c>
      <c r="B80" s="158">
        <v>0.10769999772310257</v>
      </c>
      <c r="C80" s="158">
        <v>0.10729999840259552</v>
      </c>
      <c r="D80" s="158">
        <v>0.10689999908208847</v>
      </c>
      <c r="E80" s="158">
        <v>0.10689999908208847</v>
      </c>
      <c r="F80" s="158">
        <v>0.10689999908208847</v>
      </c>
      <c r="G80" s="158">
        <v>0.10719999670982361</v>
      </c>
      <c r="H80" s="158">
        <v>0.10710000246763229</v>
      </c>
      <c r="I80" s="158">
        <v>0.10710000246763229</v>
      </c>
      <c r="J80" s="158">
        <v>0.10700000077486038</v>
      </c>
      <c r="K80" s="158">
        <v>0.10700000077486038</v>
      </c>
      <c r="L80" s="158">
        <v>0.10689999908208847</v>
      </c>
      <c r="M80" s="158">
        <v>0.10670000314712524</v>
      </c>
      <c r="N80" s="158">
        <v>0.10639999806880951</v>
      </c>
      <c r="O80" s="158">
        <v>0.10620000213384628</v>
      </c>
      <c r="P80" s="158">
        <v>0.10599999874830246</v>
      </c>
      <c r="Q80" s="158">
        <v>0.10589999705553055</v>
      </c>
      <c r="R80" s="158">
        <v>0.10599999874830246</v>
      </c>
      <c r="S80" s="158">
        <v>0.10620000213384628</v>
      </c>
      <c r="T80" s="158">
        <v>0.10670000314712524</v>
      </c>
      <c r="U80" s="158">
        <v>0.10660000145435333</v>
      </c>
      <c r="V80" s="158">
        <f t="shared" si="1"/>
        <v>0.10660000145435333</v>
      </c>
      <c r="W80" s="158">
        <v>0.10660000145435333</v>
      </c>
      <c r="X80" s="158">
        <v>0.1062999963760376</v>
      </c>
      <c r="Y80" s="158">
        <v>0.10620000213384628</v>
      </c>
      <c r="Z80" s="158">
        <v>0.10559999942779541</v>
      </c>
      <c r="AA80" s="158">
        <v>0.1054999977350235</v>
      </c>
      <c r="AB80" s="158">
        <v>0.10530000180006027</v>
      </c>
      <c r="AC80" s="158">
        <v>0.10509999841451645</v>
      </c>
      <c r="AD80" s="158">
        <v>0.10509999841451645</v>
      </c>
      <c r="AE80" s="158">
        <v>0.10520000010728836</v>
      </c>
      <c r="AF80" s="158">
        <v>0.10530000180006027</v>
      </c>
    </row>
    <row r="81" spans="1:32" x14ac:dyDescent="0.2">
      <c r="A81" s="158" t="s">
        <v>234</v>
      </c>
      <c r="B81" s="158">
        <v>0.10710000246763229</v>
      </c>
      <c r="C81" s="158">
        <v>0.10679999738931656</v>
      </c>
      <c r="D81" s="158">
        <v>0.10639999806880951</v>
      </c>
      <c r="E81" s="158">
        <v>0.10639999806880951</v>
      </c>
      <c r="F81" s="158">
        <v>0.1062999963760376</v>
      </c>
      <c r="G81" s="158">
        <v>0.10649999976158142</v>
      </c>
      <c r="H81" s="158">
        <v>0.10639999806880951</v>
      </c>
      <c r="I81" s="158">
        <v>0.1062999963760376</v>
      </c>
      <c r="J81" s="158">
        <v>0.10639999806880951</v>
      </c>
      <c r="K81" s="158">
        <v>0.10620000213384628</v>
      </c>
      <c r="L81" s="158">
        <v>0.10620000213384628</v>
      </c>
      <c r="M81" s="158">
        <v>0.10599999874830246</v>
      </c>
      <c r="N81" s="158">
        <v>0.10580000281333923</v>
      </c>
      <c r="O81" s="158">
        <v>0.1054999977350235</v>
      </c>
      <c r="P81" s="158">
        <v>0.10530000180006027</v>
      </c>
      <c r="Q81" s="158">
        <v>0.10530000180006027</v>
      </c>
      <c r="R81" s="158">
        <v>0.10540000349283218</v>
      </c>
      <c r="S81" s="158">
        <v>0.10559999942779541</v>
      </c>
      <c r="T81" s="158">
        <v>0.10580000281333923</v>
      </c>
      <c r="U81" s="158">
        <v>0.10589999705553055</v>
      </c>
      <c r="V81" s="158">
        <f t="shared" si="1"/>
        <v>0.10589999705553055</v>
      </c>
      <c r="W81" s="158">
        <v>0.10589999705553055</v>
      </c>
      <c r="X81" s="158">
        <v>0.10570000112056732</v>
      </c>
      <c r="Y81" s="158">
        <v>0.10530000180006027</v>
      </c>
      <c r="Z81" s="158">
        <v>0.10509999841451645</v>
      </c>
      <c r="AA81" s="158">
        <v>0.10520000010728836</v>
      </c>
      <c r="AB81" s="158">
        <v>0.10480000078678131</v>
      </c>
      <c r="AC81" s="158">
        <v>0.10459999740123749</v>
      </c>
      <c r="AD81" s="158">
        <v>0.1046999990940094</v>
      </c>
      <c r="AE81" s="158">
        <v>0.1046999990940094</v>
      </c>
      <c r="AF81" s="158">
        <v>0.10509999841451645</v>
      </c>
    </row>
    <row r="82" spans="1:32" x14ac:dyDescent="0.2">
      <c r="A82" s="158" t="s">
        <v>235</v>
      </c>
      <c r="B82" s="158">
        <v>0.10719999670982361</v>
      </c>
      <c r="C82" s="158">
        <v>0.10679999738931656</v>
      </c>
      <c r="D82" s="158">
        <v>0.10670000314712524</v>
      </c>
      <c r="E82" s="158">
        <v>0.10649999976158142</v>
      </c>
      <c r="F82" s="158">
        <v>0.10639999806880951</v>
      </c>
      <c r="G82" s="158">
        <v>0.10670000314712524</v>
      </c>
      <c r="H82" s="158">
        <v>0.10660000145435333</v>
      </c>
      <c r="I82" s="158">
        <v>0.10639999806880951</v>
      </c>
      <c r="J82" s="158">
        <v>0.10639999806880951</v>
      </c>
      <c r="K82" s="158">
        <v>0.10639999806880951</v>
      </c>
      <c r="L82" s="158">
        <v>0.10639999806880951</v>
      </c>
      <c r="M82" s="158">
        <v>0.10610000044107437</v>
      </c>
      <c r="N82" s="158">
        <v>0.10580000281333923</v>
      </c>
      <c r="O82" s="158">
        <v>0.10559999942779541</v>
      </c>
      <c r="P82" s="158">
        <v>0.10540000349283218</v>
      </c>
      <c r="Q82" s="158">
        <v>0.10540000349283218</v>
      </c>
      <c r="R82" s="158">
        <v>0.1054999977350235</v>
      </c>
      <c r="S82" s="158">
        <v>0.10559999942779541</v>
      </c>
      <c r="T82" s="158">
        <v>0.10589999705553055</v>
      </c>
      <c r="U82" s="158">
        <v>0.10599999874830246</v>
      </c>
      <c r="V82" s="158">
        <f t="shared" si="1"/>
        <v>0.10604999959468842</v>
      </c>
      <c r="W82" s="158">
        <v>0.10610000044107437</v>
      </c>
      <c r="X82" s="158">
        <v>0.10580000281333923</v>
      </c>
      <c r="Y82" s="158">
        <v>0.1054999977350235</v>
      </c>
      <c r="Z82" s="158">
        <v>0.10520000010728836</v>
      </c>
      <c r="AA82" s="158">
        <v>0.10499999672174454</v>
      </c>
      <c r="AB82" s="158">
        <v>0.10490000247955322</v>
      </c>
      <c r="AC82" s="158">
        <v>0.1046999990940094</v>
      </c>
      <c r="AD82" s="158">
        <v>0.10480000078678131</v>
      </c>
      <c r="AE82" s="158">
        <v>0.10480000078678131</v>
      </c>
      <c r="AF82" s="158">
        <v>0.10499999672174454</v>
      </c>
    </row>
    <row r="83" spans="1:32" x14ac:dyDescent="0.2">
      <c r="A83" s="158" t="s">
        <v>236</v>
      </c>
      <c r="B83" s="158">
        <v>0.10639999806880951</v>
      </c>
      <c r="C83" s="158">
        <v>0.10599999874830246</v>
      </c>
      <c r="D83" s="158">
        <v>0.10580000281333923</v>
      </c>
      <c r="E83" s="158">
        <v>0.10580000281333923</v>
      </c>
      <c r="F83" s="158">
        <v>0.10610000044107437</v>
      </c>
      <c r="G83" s="158">
        <v>0.10620000213384628</v>
      </c>
      <c r="H83" s="158">
        <v>0.10610000044107437</v>
      </c>
      <c r="I83" s="158">
        <v>0.10599999874830246</v>
      </c>
      <c r="J83" s="158">
        <v>0.10580000281333923</v>
      </c>
      <c r="K83" s="158">
        <v>0.10580000281333923</v>
      </c>
      <c r="L83" s="158">
        <v>0.10580000281333923</v>
      </c>
      <c r="M83" s="158">
        <v>0.10559999942779541</v>
      </c>
      <c r="N83" s="158">
        <v>0.10530000180006027</v>
      </c>
      <c r="O83" s="158">
        <v>0.10490000247955322</v>
      </c>
      <c r="P83" s="158">
        <v>0.10490000247955322</v>
      </c>
      <c r="Q83" s="158">
        <v>0.10480000078678131</v>
      </c>
      <c r="R83" s="158">
        <v>0.10480000078678131</v>
      </c>
      <c r="S83" s="158">
        <v>0.10509999841451645</v>
      </c>
      <c r="T83" s="158">
        <v>0.10530000180006027</v>
      </c>
      <c r="U83" s="158">
        <v>0.10559999942779541</v>
      </c>
      <c r="V83" s="158">
        <f t="shared" si="1"/>
        <v>0.10619999840855598</v>
      </c>
      <c r="W83" s="158">
        <v>0.10679999738931656</v>
      </c>
      <c r="X83" s="158">
        <v>0.1062999963760376</v>
      </c>
      <c r="Y83" s="158">
        <v>0.10589999705553055</v>
      </c>
      <c r="Z83" s="158">
        <v>0.10580000281333923</v>
      </c>
      <c r="AA83" s="158">
        <v>0.10570000112056732</v>
      </c>
      <c r="AB83" s="158">
        <v>0.10540000349283218</v>
      </c>
      <c r="AC83" s="158">
        <v>0.1054999977350235</v>
      </c>
      <c r="AD83" s="158">
        <v>0.10520000010728836</v>
      </c>
      <c r="AE83" s="158">
        <v>0.10540000349283218</v>
      </c>
      <c r="AF83" s="158">
        <v>0.10480000078678131</v>
      </c>
    </row>
    <row r="84" spans="1:32" x14ac:dyDescent="0.2">
      <c r="A84" s="158" t="s">
        <v>237</v>
      </c>
      <c r="B84" s="158">
        <v>0.10670000314712524</v>
      </c>
      <c r="C84" s="158">
        <v>0.1062999963760376</v>
      </c>
      <c r="D84" s="158">
        <v>0.10620000213384628</v>
      </c>
      <c r="E84" s="158">
        <v>0.10610000044107437</v>
      </c>
      <c r="F84" s="158">
        <v>0.10599999874830246</v>
      </c>
      <c r="G84" s="158">
        <v>0.1062999963760376</v>
      </c>
      <c r="H84" s="158">
        <v>0.10620000213384628</v>
      </c>
      <c r="I84" s="158">
        <v>0.10610000044107437</v>
      </c>
      <c r="J84" s="158">
        <v>0.10649999976158142</v>
      </c>
      <c r="K84" s="158">
        <v>0.10599999874830246</v>
      </c>
      <c r="L84" s="158">
        <v>0.10610000044107437</v>
      </c>
      <c r="M84" s="158">
        <v>0.10589999705553055</v>
      </c>
      <c r="N84" s="158">
        <v>0.1054999977350235</v>
      </c>
      <c r="O84" s="158">
        <v>0.10520000010728836</v>
      </c>
      <c r="P84" s="158">
        <v>0.10499999672174454</v>
      </c>
      <c r="Q84" s="158">
        <v>0.10499999672174454</v>
      </c>
      <c r="R84" s="158">
        <v>0.10509999841451645</v>
      </c>
      <c r="S84" s="158">
        <v>0.10520000010728836</v>
      </c>
      <c r="T84" s="158">
        <v>0.1054999977350235</v>
      </c>
      <c r="U84" s="158">
        <v>0.10559999942779541</v>
      </c>
      <c r="V84" s="158">
        <f t="shared" si="1"/>
        <v>0.10559999942779541</v>
      </c>
      <c r="W84" s="158">
        <v>0.10559999942779541</v>
      </c>
      <c r="X84" s="158">
        <v>0.10540000349283218</v>
      </c>
      <c r="Y84" s="158">
        <v>0.10509999841451645</v>
      </c>
      <c r="Z84" s="158">
        <v>0.10480000078678131</v>
      </c>
      <c r="AA84" s="158">
        <v>0.10459999740123749</v>
      </c>
      <c r="AB84" s="158">
        <v>0.10440000146627426</v>
      </c>
      <c r="AC84" s="158">
        <v>0.10429999977350235</v>
      </c>
      <c r="AD84" s="158">
        <v>0.10429999977350235</v>
      </c>
      <c r="AE84" s="158">
        <v>0.10440000146627426</v>
      </c>
      <c r="AF84" s="158">
        <v>0.10459999740123749</v>
      </c>
    </row>
    <row r="85" spans="1:32" x14ac:dyDescent="0.2">
      <c r="A85" s="158" t="s">
        <v>238</v>
      </c>
      <c r="B85" s="158">
        <v>0.10679999738931656</v>
      </c>
      <c r="C85" s="158">
        <v>0.10649999976158142</v>
      </c>
      <c r="D85" s="158">
        <v>0.10639999806880951</v>
      </c>
      <c r="E85" s="158">
        <v>0.1062999963760376</v>
      </c>
      <c r="F85" s="158">
        <v>0.10620000213384628</v>
      </c>
      <c r="G85" s="158">
        <v>0.10639999806880951</v>
      </c>
      <c r="H85" s="158">
        <v>0.1062999963760376</v>
      </c>
      <c r="I85" s="158">
        <v>0.10620000213384628</v>
      </c>
      <c r="J85" s="158">
        <v>0.10610000044107437</v>
      </c>
      <c r="K85" s="158">
        <v>0.10610000044107437</v>
      </c>
      <c r="L85" s="158">
        <v>0.10610000044107437</v>
      </c>
      <c r="M85" s="158">
        <v>0.10580000281333923</v>
      </c>
      <c r="N85" s="158">
        <v>0.10559999942779541</v>
      </c>
      <c r="O85" s="158">
        <v>0.1054999977350235</v>
      </c>
      <c r="P85" s="158">
        <v>0.10509999841451645</v>
      </c>
      <c r="Q85" s="158">
        <v>0.10509999841451645</v>
      </c>
      <c r="R85" s="158">
        <v>0.10520000010728836</v>
      </c>
      <c r="S85" s="158">
        <v>0.10530000180006027</v>
      </c>
      <c r="T85" s="158">
        <v>0.10559999942779541</v>
      </c>
      <c r="U85" s="158">
        <v>0.10559999942779541</v>
      </c>
      <c r="V85" s="158">
        <f t="shared" si="1"/>
        <v>0.10565000027418137</v>
      </c>
      <c r="W85" s="158">
        <v>0.10570000112056732</v>
      </c>
      <c r="X85" s="158">
        <v>0.10540000349283218</v>
      </c>
      <c r="Y85" s="158">
        <v>0.10509999841451645</v>
      </c>
      <c r="Z85" s="158">
        <v>0.10490000247955322</v>
      </c>
      <c r="AA85" s="158">
        <v>0.10459999740123749</v>
      </c>
      <c r="AB85" s="158">
        <v>0.10450000315904617</v>
      </c>
      <c r="AC85" s="158">
        <v>0.10440000146627426</v>
      </c>
      <c r="AD85" s="158">
        <v>0.10440000146627426</v>
      </c>
      <c r="AE85" s="158">
        <v>0.10440000146627426</v>
      </c>
      <c r="AF85" s="158">
        <v>0.10459999740123749</v>
      </c>
    </row>
    <row r="86" spans="1:32" x14ac:dyDescent="0.2">
      <c r="A86" s="158" t="s">
        <v>239</v>
      </c>
      <c r="B86" s="158">
        <v>0.10679999738931656</v>
      </c>
      <c r="C86" s="158">
        <v>0.1062999963760376</v>
      </c>
      <c r="D86" s="158">
        <v>0.10620000213384628</v>
      </c>
      <c r="E86" s="158">
        <v>0.10610000044107437</v>
      </c>
      <c r="F86" s="158">
        <v>0.10610000044107437</v>
      </c>
      <c r="G86" s="158">
        <v>0.10620000213384628</v>
      </c>
      <c r="H86" s="158">
        <v>0.10620000213384628</v>
      </c>
      <c r="I86" s="158">
        <v>0.10599999874830246</v>
      </c>
      <c r="J86" s="158">
        <v>0.10589999705553055</v>
      </c>
      <c r="K86" s="158">
        <v>0.10589999705553055</v>
      </c>
      <c r="L86" s="158">
        <v>0.10589999705553055</v>
      </c>
      <c r="M86" s="158">
        <v>0.10570000112056732</v>
      </c>
      <c r="N86" s="158">
        <v>0.10540000349283218</v>
      </c>
      <c r="O86" s="158">
        <v>0.10520000010728836</v>
      </c>
      <c r="P86" s="158">
        <v>0.10490000247955322</v>
      </c>
      <c r="Q86" s="158">
        <v>0.10499999672174454</v>
      </c>
      <c r="R86" s="158">
        <v>0.10499999672174454</v>
      </c>
      <c r="S86" s="158">
        <v>0.10520000010728836</v>
      </c>
      <c r="T86" s="158">
        <v>0.1054999977350235</v>
      </c>
      <c r="U86" s="158">
        <v>0.1054999977350235</v>
      </c>
      <c r="V86" s="158">
        <f t="shared" si="1"/>
        <v>0.1054999977350235</v>
      </c>
      <c r="W86" s="158">
        <v>0.1054999977350235</v>
      </c>
      <c r="X86" s="158">
        <v>0.10520000010728836</v>
      </c>
      <c r="Y86" s="158">
        <v>0.10499999672174454</v>
      </c>
      <c r="Z86" s="158">
        <v>0.1046999990940094</v>
      </c>
      <c r="AA86" s="158">
        <v>0.10450000315904617</v>
      </c>
      <c r="AB86" s="158">
        <v>0.10440000146627426</v>
      </c>
      <c r="AC86" s="158">
        <v>0.10429999977350235</v>
      </c>
      <c r="AD86" s="158">
        <v>0.10419999808073044</v>
      </c>
      <c r="AE86" s="158">
        <v>0.10429999977350235</v>
      </c>
      <c r="AF86" s="158">
        <v>0.10450000315904617</v>
      </c>
    </row>
    <row r="87" spans="1:32" x14ac:dyDescent="0.2">
      <c r="A87" s="158" t="s">
        <v>240</v>
      </c>
      <c r="B87" s="158">
        <v>0.10649999976158142</v>
      </c>
      <c r="C87" s="158">
        <v>0.10610000044107437</v>
      </c>
      <c r="D87" s="158">
        <v>0.10589999705553055</v>
      </c>
      <c r="E87" s="158">
        <v>0.10589999705553055</v>
      </c>
      <c r="F87" s="158">
        <v>0.10589999705553055</v>
      </c>
      <c r="G87" s="158">
        <v>0.10599999874830246</v>
      </c>
      <c r="H87" s="158">
        <v>0.10620000213384628</v>
      </c>
      <c r="I87" s="158">
        <v>0.10570000112056732</v>
      </c>
      <c r="J87" s="158">
        <v>0.10570000112056732</v>
      </c>
      <c r="K87" s="158">
        <v>0.10559999942779541</v>
      </c>
      <c r="L87" s="158">
        <v>0.10570000112056732</v>
      </c>
      <c r="M87" s="158">
        <v>0.10540000349283218</v>
      </c>
      <c r="N87" s="158">
        <v>0.10520000010728836</v>
      </c>
      <c r="O87" s="158">
        <v>0.10490000247955322</v>
      </c>
      <c r="P87" s="158">
        <v>0.1046999990940094</v>
      </c>
      <c r="Q87" s="158">
        <v>0.1046999990940094</v>
      </c>
      <c r="R87" s="158">
        <v>0.1046999990940094</v>
      </c>
      <c r="S87" s="158">
        <v>0.10509999841451645</v>
      </c>
      <c r="T87" s="158">
        <v>0.10520000010728836</v>
      </c>
      <c r="U87" s="158">
        <v>0.10530000180006027</v>
      </c>
      <c r="V87" s="158">
        <f t="shared" si="1"/>
        <v>0.10530000180006027</v>
      </c>
      <c r="W87" s="158">
        <v>0.10530000180006027</v>
      </c>
      <c r="X87" s="158">
        <v>0.10499999672174454</v>
      </c>
      <c r="Y87" s="158">
        <v>0.10480000078678131</v>
      </c>
      <c r="Z87" s="158">
        <v>0.10450000315904617</v>
      </c>
      <c r="AA87" s="158">
        <v>0.10419999808073044</v>
      </c>
      <c r="AB87" s="158">
        <v>0.10409999638795853</v>
      </c>
      <c r="AC87" s="158">
        <v>0.10400000214576721</v>
      </c>
      <c r="AD87" s="158">
        <v>0.10400000214576721</v>
      </c>
      <c r="AE87" s="158">
        <v>0.10409999638795853</v>
      </c>
      <c r="AF87" s="158">
        <v>0.10419999808073044</v>
      </c>
    </row>
    <row r="88" spans="1:32" x14ac:dyDescent="0.2">
      <c r="A88" s="158" t="s">
        <v>241</v>
      </c>
      <c r="B88" s="158">
        <v>0.10740000009536743</v>
      </c>
      <c r="C88" s="158">
        <v>0.10700000077486038</v>
      </c>
      <c r="D88" s="158">
        <v>0.10700000077486038</v>
      </c>
      <c r="E88" s="158">
        <v>0.10670000314712524</v>
      </c>
      <c r="F88" s="158">
        <v>0.10660000145435333</v>
      </c>
      <c r="G88" s="158">
        <v>0.10689999908208847</v>
      </c>
      <c r="H88" s="158">
        <v>0.10670000314712524</v>
      </c>
      <c r="I88" s="158">
        <v>0.10660000145435333</v>
      </c>
      <c r="J88" s="158">
        <v>0.10649999976158142</v>
      </c>
      <c r="K88" s="158">
        <v>0.10649999976158142</v>
      </c>
      <c r="L88" s="158">
        <v>0.10679999738931656</v>
      </c>
      <c r="M88" s="158">
        <v>0.1062999963760376</v>
      </c>
      <c r="N88" s="158">
        <v>0.10599999874830246</v>
      </c>
      <c r="O88" s="158">
        <v>0.10580000281333923</v>
      </c>
      <c r="P88" s="158">
        <v>0.1054999977350235</v>
      </c>
      <c r="Q88" s="158">
        <v>0.1054999977350235</v>
      </c>
      <c r="R88" s="158">
        <v>0.10559999942779541</v>
      </c>
      <c r="S88" s="158">
        <v>0.10570000112056732</v>
      </c>
      <c r="T88" s="158">
        <v>0.10599999874830246</v>
      </c>
      <c r="U88" s="158">
        <v>0.10610000044107437</v>
      </c>
      <c r="V88" s="158">
        <f t="shared" si="1"/>
        <v>0.10610000044107437</v>
      </c>
      <c r="W88" s="158">
        <v>0.10610000044107437</v>
      </c>
      <c r="X88" s="158">
        <v>0.10580000281333923</v>
      </c>
      <c r="Y88" s="158">
        <v>0.1054999977350235</v>
      </c>
      <c r="Z88" s="158">
        <v>0.10530000180006027</v>
      </c>
      <c r="AA88" s="158">
        <v>0.10499999672174454</v>
      </c>
      <c r="AB88" s="158">
        <v>0.10490000247955322</v>
      </c>
      <c r="AC88" s="158">
        <v>0.10480000078678131</v>
      </c>
      <c r="AD88" s="158">
        <v>0.10490000247955322</v>
      </c>
      <c r="AE88" s="158">
        <v>0.10480000078678131</v>
      </c>
      <c r="AF88" s="158">
        <v>0.10499999672174454</v>
      </c>
    </row>
    <row r="89" spans="1:32" x14ac:dyDescent="0.2">
      <c r="A89" s="158" t="s">
        <v>242</v>
      </c>
      <c r="B89" s="158">
        <v>0.10719999670982361</v>
      </c>
      <c r="C89" s="158">
        <v>0.10660000145435333</v>
      </c>
      <c r="D89" s="158">
        <v>0.10639999806880951</v>
      </c>
      <c r="E89" s="158">
        <v>0.10639999806880951</v>
      </c>
      <c r="F89" s="158">
        <v>0.10620000213384628</v>
      </c>
      <c r="G89" s="158">
        <v>0.10639999806880951</v>
      </c>
      <c r="H89" s="158">
        <v>0.10620000213384628</v>
      </c>
      <c r="I89" s="158">
        <v>0.10610000044107437</v>
      </c>
      <c r="J89" s="158">
        <v>0.10599999874830246</v>
      </c>
      <c r="K89" s="158">
        <v>0.10610000044107437</v>
      </c>
      <c r="L89" s="158">
        <v>0.10599999874830246</v>
      </c>
      <c r="M89" s="158">
        <v>0.10580000281333923</v>
      </c>
      <c r="N89" s="158">
        <v>0.1054999977350235</v>
      </c>
      <c r="O89" s="158">
        <v>0.10540000349283218</v>
      </c>
      <c r="P89" s="158">
        <v>0.10499999672174454</v>
      </c>
      <c r="Q89" s="158">
        <v>0.10509999841451645</v>
      </c>
      <c r="R89" s="158">
        <v>0.10509999841451645</v>
      </c>
      <c r="S89" s="158">
        <v>0.10520000010728836</v>
      </c>
      <c r="T89" s="158">
        <v>0.1054999977350235</v>
      </c>
      <c r="U89" s="158">
        <v>0.10559999942779541</v>
      </c>
      <c r="V89" s="158">
        <f t="shared" si="1"/>
        <v>0.10559999942779541</v>
      </c>
      <c r="W89" s="158">
        <v>0.10559999942779541</v>
      </c>
      <c r="X89" s="158">
        <v>0.10540000349283218</v>
      </c>
      <c r="Y89" s="158">
        <v>0.10509999841451645</v>
      </c>
      <c r="Z89" s="158">
        <v>0.10490000247955322</v>
      </c>
      <c r="AA89" s="158">
        <v>0.10459999740123749</v>
      </c>
      <c r="AB89" s="158">
        <v>0.10440000146627426</v>
      </c>
      <c r="AC89" s="158">
        <v>0.10440000146627426</v>
      </c>
      <c r="AD89" s="158">
        <v>0.10440000146627426</v>
      </c>
      <c r="AE89" s="158">
        <v>0.10440000146627426</v>
      </c>
      <c r="AF89" s="158">
        <v>0.10459999740123749</v>
      </c>
    </row>
    <row r="90" spans="1:32" x14ac:dyDescent="0.2">
      <c r="A90" s="158" t="s">
        <v>243</v>
      </c>
      <c r="B90" s="158">
        <v>0.10740000009536743</v>
      </c>
      <c r="C90" s="158">
        <v>0.10679999738931656</v>
      </c>
      <c r="D90" s="158">
        <v>0.10660000145435333</v>
      </c>
      <c r="E90" s="158">
        <v>0.10639999806880951</v>
      </c>
      <c r="F90" s="158">
        <v>0.1062999963760376</v>
      </c>
      <c r="G90" s="158">
        <v>0.10649999976158142</v>
      </c>
      <c r="H90" s="158">
        <v>0.1062999963760376</v>
      </c>
      <c r="I90" s="158">
        <v>0.10620000213384628</v>
      </c>
      <c r="J90" s="158">
        <v>0.10610000044107437</v>
      </c>
      <c r="K90" s="158">
        <v>0.10610000044107437</v>
      </c>
      <c r="L90" s="158">
        <v>0.10599999874830246</v>
      </c>
      <c r="M90" s="158">
        <v>0.10580000281333923</v>
      </c>
      <c r="N90" s="158">
        <v>0.1054999977350235</v>
      </c>
      <c r="O90" s="158">
        <v>0.10530000180006027</v>
      </c>
      <c r="P90" s="158">
        <v>0.10499999672174454</v>
      </c>
      <c r="Q90" s="158">
        <v>0.10499999672174454</v>
      </c>
      <c r="R90" s="158">
        <v>0.10509999841451645</v>
      </c>
      <c r="S90" s="158">
        <v>0.10520000010728836</v>
      </c>
      <c r="T90" s="158">
        <v>0.1054999977350235</v>
      </c>
      <c r="U90" s="158">
        <v>0.10559999942779541</v>
      </c>
      <c r="V90" s="158">
        <f t="shared" si="1"/>
        <v>0.10559999942779541</v>
      </c>
      <c r="W90" s="158">
        <v>0.10559999942779541</v>
      </c>
      <c r="X90" s="158">
        <v>0.10530000180006027</v>
      </c>
      <c r="Y90" s="158">
        <v>0.10509999841451645</v>
      </c>
      <c r="Z90" s="158">
        <v>0.10480000078678131</v>
      </c>
      <c r="AA90" s="158">
        <v>0.10450000315904617</v>
      </c>
      <c r="AB90" s="158">
        <v>0.10440000146627426</v>
      </c>
      <c r="AC90" s="158">
        <v>0.10429999977350235</v>
      </c>
      <c r="AD90" s="158">
        <v>0.10429999977350235</v>
      </c>
      <c r="AE90" s="158">
        <v>0.10429999977350235</v>
      </c>
      <c r="AF90" s="158">
        <v>0.10450000315904617</v>
      </c>
    </row>
    <row r="91" spans="1:32" x14ac:dyDescent="0.2">
      <c r="A91" s="158" t="s">
        <v>244</v>
      </c>
      <c r="B91" s="158">
        <v>0.10750000178813934</v>
      </c>
      <c r="C91" s="158">
        <v>0.10639999806880951</v>
      </c>
      <c r="D91" s="158">
        <v>0.10639999806880951</v>
      </c>
      <c r="E91" s="158">
        <v>0.10670000314712524</v>
      </c>
      <c r="F91" s="158">
        <v>0.10639999806880951</v>
      </c>
      <c r="G91" s="158">
        <v>0.10660000145435333</v>
      </c>
      <c r="H91" s="158">
        <v>0.1062999963760376</v>
      </c>
      <c r="I91" s="158">
        <v>0.10620000213384628</v>
      </c>
      <c r="J91" s="158">
        <v>0.10599999874830246</v>
      </c>
      <c r="K91" s="158">
        <v>0.10599999874830246</v>
      </c>
      <c r="L91" s="158">
        <v>0.10599999874830246</v>
      </c>
      <c r="M91" s="158">
        <v>0.10570000112056732</v>
      </c>
      <c r="N91" s="158">
        <v>0.1054999977350235</v>
      </c>
      <c r="O91" s="158">
        <v>0.10530000180006027</v>
      </c>
      <c r="P91" s="158">
        <v>0.10490000247955322</v>
      </c>
      <c r="Q91" s="158">
        <v>0.10490000247955322</v>
      </c>
      <c r="R91" s="158">
        <v>0.10499999672174454</v>
      </c>
      <c r="S91" s="158">
        <v>0.10509999841451645</v>
      </c>
      <c r="T91" s="158">
        <v>0.10530000180006027</v>
      </c>
      <c r="U91" s="158">
        <v>0.10530000180006027</v>
      </c>
      <c r="V91" s="158">
        <f t="shared" si="1"/>
        <v>0.10530000180006027</v>
      </c>
      <c r="W91" s="158">
        <v>0.10530000180006027</v>
      </c>
      <c r="X91" s="158">
        <v>0.10499999672174454</v>
      </c>
      <c r="Y91" s="158">
        <v>0.1046999990940094</v>
      </c>
      <c r="Z91" s="158">
        <v>0.10450000315904617</v>
      </c>
      <c r="AA91" s="158">
        <v>0.10419999808073044</v>
      </c>
      <c r="AB91" s="158">
        <v>0.10400000214576721</v>
      </c>
      <c r="AC91" s="158">
        <v>0.10400000214576721</v>
      </c>
      <c r="AD91" s="158">
        <v>0.10409999638795853</v>
      </c>
      <c r="AE91" s="158">
        <v>0.1039000004529953</v>
      </c>
      <c r="AF91" s="158">
        <v>0.10350000113248825</v>
      </c>
    </row>
    <row r="92" spans="1:32" x14ac:dyDescent="0.2">
      <c r="A92" s="156" t="s">
        <v>290</v>
      </c>
      <c r="B92" s="156">
        <f>$B$55-AVERAGE($B$56)</f>
        <v>3.9999932050704956E-4</v>
      </c>
      <c r="C92" s="156">
        <f>$C$55-AVERAGE($C$56)</f>
        <v>5.0000101327896118E-4</v>
      </c>
      <c r="D92" s="156">
        <f>$D$55-AVERAGE($D$56)</f>
        <v>7.0000439882278442E-4</v>
      </c>
      <c r="E92" s="156">
        <f>$E$55-AVERAGE($E$56)</f>
        <v>9.0000033378601074E-4</v>
      </c>
      <c r="F92" s="156">
        <f>$F$55-AVERAGE($F$56)</f>
        <v>1.2999996542930603E-3</v>
      </c>
      <c r="G92" s="156">
        <f>$G$55-AVERAGE($G$56)</f>
        <v>2.199999988079071E-3</v>
      </c>
      <c r="H92" s="156">
        <f>$H$55-AVERAGE($H$56)</f>
        <v>3.3999979496002197E-3</v>
      </c>
      <c r="I92" s="156">
        <f>$I$55-AVERAGE($I$56)</f>
        <v>5.3000003099441528E-3</v>
      </c>
      <c r="J92" s="156">
        <f>$J$55-AVERAGE($J$56)</f>
        <v>8.6000040173530579E-3</v>
      </c>
      <c r="K92" s="156">
        <f>$K$55-AVERAGE($K$56)</f>
        <v>1.430000364780426E-2</v>
      </c>
      <c r="L92" s="156">
        <f>$L$55-AVERAGE($L$56)</f>
        <v>2.3299999535083771E-2</v>
      </c>
      <c r="M92" s="156">
        <f>$M$55-AVERAGE($M$56)</f>
        <v>3.6399997770786285E-2</v>
      </c>
      <c r="N92" s="156">
        <f>$N$55-AVERAGE($N$56)</f>
        <v>5.5299997329711914E-2</v>
      </c>
      <c r="O92" s="156">
        <f>$O$55-AVERAGE($O$56)</f>
        <v>8.0400004982948303E-2</v>
      </c>
      <c r="P92" s="156">
        <f>$P$55-AVERAGE($P$56)</f>
        <v>0.11210000514984131</v>
      </c>
      <c r="Q92" s="156">
        <f>$Q$55-AVERAGE($Q$56)</f>
        <v>0.1502000093460083</v>
      </c>
      <c r="R92" s="156">
        <f>$R$55-AVERAGE($R$56)</f>
        <v>0.19300000369548798</v>
      </c>
      <c r="S92" s="156">
        <f>$S$55-AVERAGE($S$56)</f>
        <v>0.24169998615980148</v>
      </c>
      <c r="T92" s="156">
        <f>$T$55-AVERAGE($T$56)</f>
        <v>0.28339999169111252</v>
      </c>
      <c r="U92" s="156">
        <f>$U$55-AVERAGE($U$56)</f>
        <v>0.31439998745918274</v>
      </c>
      <c r="V92" s="156">
        <f>$V$55-AVERAGE($V$56)</f>
        <v>0.33309998735785484</v>
      </c>
      <c r="W92" s="156">
        <f>$W$55-AVERAGE($W$56)</f>
        <v>0.35179998725652695</v>
      </c>
      <c r="X92" s="156">
        <f>$X$55-AVERAGE($X$56)</f>
        <v>0.36100000888109207</v>
      </c>
      <c r="Y92" s="156">
        <f>$Y$55-AVERAGE($Y$56)</f>
        <v>0.36349998414516449</v>
      </c>
      <c r="Z92" s="156">
        <f>$Z$55-AVERAGE($Z$56)</f>
        <v>0.36290000379085541</v>
      </c>
      <c r="AA92" s="156">
        <f>$AA$55-AVERAGE($AA$56)</f>
        <v>0.36559998989105225</v>
      </c>
      <c r="AB92" s="156">
        <f>$AB$55-AVERAGE($AB$56)</f>
        <v>0.36550000309944153</v>
      </c>
      <c r="AC92" s="156">
        <f>$AC$55-AVERAGE($AC$56)</f>
        <v>0.3710000067949295</v>
      </c>
      <c r="AD92" s="156">
        <f>$AD$55-AVERAGE($AD$56)</f>
        <v>0.37669999897480011</v>
      </c>
      <c r="AE92" s="156">
        <f>$AE$55-AVERAGE($AE$56)</f>
        <v>0.39010000228881836</v>
      </c>
      <c r="AF92" s="156">
        <f>$AF$55-AVERAGE($AF$56)</f>
        <v>0.40239998698234558</v>
      </c>
    </row>
    <row r="93" spans="1:32" x14ac:dyDescent="0.2">
      <c r="A93" t="s">
        <v>291</v>
      </c>
      <c r="H93">
        <f>INDEX(LOGEST($B$92:$H$92,$B$54:$H$54,TRUE,TRUE), 3)</f>
        <v>0.98148258454852289</v>
      </c>
      <c r="I93">
        <f>INDEX(LOGEST($B$92:$I$92,$B$54:$I$54,TRUE,TRUE), 3)</f>
        <v>0.98446092333845148</v>
      </c>
      <c r="J93">
        <f>INDEX(LOGEST($B$92:$J$92,$B$54:$J$54,TRUE,TRUE), 3)</f>
        <v>0.98634007512393385</v>
      </c>
      <c r="K93">
        <f>INDEX(LOGEST($B$92:$K$92,$B$54:$K$54,TRUE,TRUE), 3)</f>
        <v>0.9874460535345716</v>
      </c>
      <c r="L93">
        <f>INDEX(LOGEST($B$92:$L$92,$B$54:$L$54,TRUE,TRUE), 3)</f>
        <v>0.98877919938238512</v>
      </c>
      <c r="M93">
        <f>INDEX(LOGEST($B$92:$M$92,$B$54:$M$54,TRUE,TRUE), 3)</f>
        <v>0.99053697358779058</v>
      </c>
      <c r="N93">
        <f>INDEX(LOGEST($B$92:$N$92,$B$54:$N$54,TRUE,TRUE), 3)</f>
        <v>0.99229738447872151</v>
      </c>
      <c r="O93">
        <f>INDEX(LOGEST($B$92:$O$92,$B$54:$O$54,TRUE,TRUE), 3)</f>
        <v>0.99382889164849308</v>
      </c>
      <c r="P93">
        <f>INDEX(LOGEST($B$92:$P$92,$B$54:$P$54,TRUE,TRUE), 3)</f>
        <v>0.99488472419214879</v>
      </c>
      <c r="Q93" s="155">
        <f>INDEX(LOGEST($B$92:$Q$92,$B$54:$Q$54,TRUE,TRUE), 3)</f>
        <v>0.99528133136736097</v>
      </c>
      <c r="R93">
        <f>INDEX(LOGEST($B$92:$R$92,$B$54:$R$54,TRUE,TRUE), 3)</f>
        <v>0.99486460922925146</v>
      </c>
      <c r="S93">
        <f>INDEX(LOGEST($B$92:$S$92,$B$54:$S$54,TRUE,TRUE), 3)</f>
        <v>0.99363859027065549</v>
      </c>
      <c r="T93">
        <f>INDEX(LOGEST($B$92:$T$92,$B$54:$T$54,TRUE,TRUE), 3)</f>
        <v>0.99119603852450977</v>
      </c>
      <c r="U93">
        <f>INDEX(LOGEST($B$92:$U$92,$B$54:$U$54,TRUE,TRUE), 3)</f>
        <v>0.98718879495301259</v>
      </c>
      <c r="V93">
        <f>INDEX(LOGEST($B$92:$V$92,$B$54:$V$54,TRUE,TRUE), 3)</f>
        <v>0.98134769100146313</v>
      </c>
      <c r="W93">
        <f>INDEX(LOGEST($B$92:$W$92,$B$54:$W$54,TRUE,TRUE), 3)</f>
        <v>0.9740733093817181</v>
      </c>
      <c r="X93">
        <f>INDEX(LOGEST($B$92:$X$92,$B$54:$X$54,TRUE,TRUE), 3)</f>
        <v>0.96526590006937008</v>
      </c>
      <c r="Y93">
        <f>INDEX(LOGEST($B$92:$Y$92,$B$54:$Y$54,TRUE,TRUE), 3)</f>
        <v>0.95496977040489917</v>
      </c>
      <c r="Z93">
        <f>INDEX(LOGEST($B$92:$Z$92,$B$54:$Z$54,TRUE,TRUE), 3)</f>
        <v>0.94338931636798884</v>
      </c>
      <c r="AA93">
        <f>INDEX(LOGEST($B$92:$AA$92,$B$54:$AA$54,TRUE,TRUE), 3)</f>
        <v>0.93104145353149703</v>
      </c>
      <c r="AB93">
        <f>INDEX(LOGEST($B$92:$AB$92,$B$54:$AB$54,TRUE,TRUE), 3)</f>
        <v>0.9180095262998097</v>
      </c>
      <c r="AC93">
        <f>INDEX(LOGEST($B$92:$AC$92,$B$54:$AC$54,TRUE,TRUE), 3)</f>
        <v>0.90483494715863233</v>
      </c>
      <c r="AD93">
        <f>INDEX(LOGEST($B$92:$AD$92,$B$54:$AD$54,TRUE,TRUE), 3)</f>
        <v>0.89165426215808474</v>
      </c>
      <c r="AE93">
        <f>INDEX(LOGEST($B$92:$AE$92,$B$54:$AE$54,TRUE,TRUE), 3)</f>
        <v>0.87898525694889718</v>
      </c>
      <c r="AF93">
        <f>INDEX(LOGEST($B$92:$AF$92,$B$54:$AF$54,TRUE,TRUE), 3)</f>
        <v>0.86676133526616483</v>
      </c>
    </row>
    <row r="94" spans="1:32" s="160" customFormat="1" x14ac:dyDescent="0.2">
      <c r="A94" s="160" t="s">
        <v>292</v>
      </c>
      <c r="B94" s="160">
        <f>$K$43*EXP($J$49*$B$54)</f>
        <v>2.9846153582945803E-4</v>
      </c>
      <c r="C94" s="160">
        <f>$K$43*EXP($J$49*$C$54)</f>
        <v>4.5615447976576185E-4</v>
      </c>
      <c r="D94" s="160">
        <f>$K$43*EXP($J$49*$D$54)</f>
        <v>6.9716490881179644E-4</v>
      </c>
      <c r="E94" s="160">
        <f>$K$43*EXP($J$49*$E$54)</f>
        <v>1.0655138371723203E-3</v>
      </c>
      <c r="F94" s="160">
        <f>$K$43*EXP($J$49*$F$54)</f>
        <v>1.6284808986451265E-3</v>
      </c>
      <c r="G94" s="160">
        <f>$K$43*EXP($J$49*$G$54)</f>
        <v>2.4888930999618273E-3</v>
      </c>
      <c r="H94" s="160">
        <f>$K$43*EXP($J$49*$H$54)</f>
        <v>3.8039063695444082E-3</v>
      </c>
      <c r="I94" s="160">
        <f>$K$43*EXP($J$49*$I$54)</f>
        <v>5.8137103873534936E-3</v>
      </c>
      <c r="J94" s="160">
        <f>$K$43*EXP($J$49*$J$54)</f>
        <v>8.8853996877084115E-3</v>
      </c>
      <c r="K94" s="160">
        <f>$K$43*EXP($J$49*$K$54)</f>
        <v>1.3580024175622599E-2</v>
      </c>
      <c r="L94" s="160">
        <f>$K$43*EXP($J$49*$L$54)</f>
        <v>2.0755065961254066E-2</v>
      </c>
      <c r="M94" s="160">
        <f>$K$43*EXP($J$49*$M$54)</f>
        <v>3.1721060101592771E-2</v>
      </c>
      <c r="N94" s="160">
        <f>$K$43*EXP($J$49*$N$54)</f>
        <v>4.848096632635622E-2</v>
      </c>
      <c r="O94" s="160">
        <f>$K$43*EXP($J$49*$O$54)</f>
        <v>7.4096013450044393E-2</v>
      </c>
      <c r="P94" s="160">
        <f>$K$43*EXP($J$49*$P$54)</f>
        <v>0.1132448386492754</v>
      </c>
      <c r="Q94" s="160">
        <f>$K$43*EXP($J$49*$Q$54)</f>
        <v>0.17307804946006489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C4D47-B70F-E44D-AAAD-5CDDF9362BCF}">
  <sheetPr codeName="Sheet41"/>
  <dimension ref="A42:AF102"/>
  <sheetViews>
    <sheetView workbookViewId="0"/>
  </sheetViews>
  <sheetFormatPr baseColWidth="10" defaultRowHeight="15" x14ac:dyDescent="0.2"/>
  <sheetData>
    <row r="42" spans="9:24" x14ac:dyDescent="0.2">
      <c r="I42" t="s">
        <v>249</v>
      </c>
      <c r="O42" t="s">
        <v>249</v>
      </c>
      <c r="U42" t="s">
        <v>249</v>
      </c>
    </row>
    <row r="43" spans="9:24" x14ac:dyDescent="0.2">
      <c r="I43" t="s">
        <v>250</v>
      </c>
      <c r="J43" s="159">
        <f t="array" ref="J43:K47">LOGEST($B$94:$R$94,$B$54:$R$54,TRUE,TRUE)</f>
        <v>1.000449076745185</v>
      </c>
      <c r="K43" s="159">
        <v>3.8631430237387606E-4</v>
      </c>
      <c r="L43" t="s">
        <v>255</v>
      </c>
      <c r="O43" t="s">
        <v>250</v>
      </c>
      <c r="P43" s="159">
        <f t="array" ref="P43:Q47">LOGEST($B$95:$Q$95,$B$54:$Q$54,TRUE,TRUE)</f>
        <v>1.000434403372898</v>
      </c>
      <c r="Q43" s="159">
        <v>6.0875419591086119E-4</v>
      </c>
      <c r="R43" t="s">
        <v>255</v>
      </c>
      <c r="U43" t="s">
        <v>250</v>
      </c>
      <c r="V43" s="159">
        <f t="array" ref="V43:W47">LOGEST($B$96:$P$96,$B$54:$P$54,TRUE,TRUE)</f>
        <v>1.0004510967387965</v>
      </c>
      <c r="W43" s="159">
        <v>6.1901440834943985E-4</v>
      </c>
      <c r="X43" t="s">
        <v>255</v>
      </c>
    </row>
    <row r="44" spans="9:24" x14ac:dyDescent="0.2">
      <c r="I44" t="s">
        <v>251</v>
      </c>
      <c r="J44" s="159">
        <v>1.0406540716868075E-5</v>
      </c>
      <c r="K44" s="159">
        <v>8.7869566851072736E-2</v>
      </c>
      <c r="L44" t="s">
        <v>256</v>
      </c>
      <c r="O44" t="s">
        <v>251</v>
      </c>
      <c r="P44" s="159">
        <v>1.0626486752402151E-5</v>
      </c>
      <c r="Q44" s="159">
        <v>8.4203727689882241E-2</v>
      </c>
      <c r="R44" t="s">
        <v>256</v>
      </c>
      <c r="U44" t="s">
        <v>251</v>
      </c>
      <c r="V44" s="159">
        <v>1.1178438438706587E-5</v>
      </c>
      <c r="W44" s="159">
        <v>8.2767396180164252E-2</v>
      </c>
      <c r="X44" t="s">
        <v>256</v>
      </c>
    </row>
    <row r="45" spans="9:24" x14ac:dyDescent="0.2">
      <c r="I45" t="s">
        <v>252</v>
      </c>
      <c r="J45" s="159">
        <v>0.99200585296953059</v>
      </c>
      <c r="K45" s="159">
        <v>0.18920265703216754</v>
      </c>
      <c r="L45" t="s">
        <v>257</v>
      </c>
      <c r="O45" t="s">
        <v>252</v>
      </c>
      <c r="P45" s="159">
        <v>0.99168839445181323</v>
      </c>
      <c r="Q45" s="159">
        <v>0.1763680549428977</v>
      </c>
      <c r="R45" t="s">
        <v>257</v>
      </c>
      <c r="U45" t="s">
        <v>252</v>
      </c>
      <c r="V45" s="159">
        <v>0.99207667686204459</v>
      </c>
      <c r="W45" s="159">
        <v>0.16836465191848157</v>
      </c>
      <c r="X45" t="s">
        <v>257</v>
      </c>
    </row>
    <row r="46" spans="9:24" x14ac:dyDescent="0.2">
      <c r="I46" t="s">
        <v>253</v>
      </c>
      <c r="J46" s="159">
        <v>1861.3727940989968</v>
      </c>
      <c r="K46" s="159">
        <v>15</v>
      </c>
      <c r="L46" t="s">
        <v>258</v>
      </c>
      <c r="O46" t="s">
        <v>253</v>
      </c>
      <c r="P46" s="159">
        <v>1670.3917723037434</v>
      </c>
      <c r="Q46" s="159">
        <v>14</v>
      </c>
      <c r="R46" t="s">
        <v>258</v>
      </c>
      <c r="U46" t="s">
        <v>253</v>
      </c>
      <c r="V46" s="159">
        <v>1627.725712387703</v>
      </c>
      <c r="W46" s="159">
        <v>13</v>
      </c>
      <c r="X46" t="s">
        <v>258</v>
      </c>
    </row>
    <row r="47" spans="9:24" x14ac:dyDescent="0.2">
      <c r="I47" t="s">
        <v>254</v>
      </c>
      <c r="J47" s="159">
        <v>66.632763292541128</v>
      </c>
      <c r="K47" s="159">
        <v>0.53696468142048026</v>
      </c>
      <c r="L47" t="s">
        <v>259</v>
      </c>
      <c r="O47" t="s">
        <v>254</v>
      </c>
      <c r="P47" s="159">
        <v>51.958689991395381</v>
      </c>
      <c r="Q47" s="159">
        <v>0.43547967126077369</v>
      </c>
      <c r="R47" t="s">
        <v>259</v>
      </c>
      <c r="U47" t="s">
        <v>254</v>
      </c>
      <c r="V47" s="159">
        <v>46.140580856852885</v>
      </c>
      <c r="W47" s="159">
        <v>0.36850652820320901</v>
      </c>
      <c r="X47" t="s">
        <v>259</v>
      </c>
    </row>
    <row r="49" spans="1:32" x14ac:dyDescent="0.2">
      <c r="I49" t="s">
        <v>260</v>
      </c>
      <c r="J49">
        <f>LN($J$43)</f>
        <v>4.4897594040174471E-4</v>
      </c>
      <c r="O49" t="s">
        <v>260</v>
      </c>
      <c r="P49">
        <f>LN($P$43)</f>
        <v>4.3430904706880888E-4</v>
      </c>
      <c r="U49" t="s">
        <v>260</v>
      </c>
      <c r="V49">
        <f>LN($V$43)</f>
        <v>4.5099502524991489E-4</v>
      </c>
    </row>
    <row r="50" spans="1:32" x14ac:dyDescent="0.2">
      <c r="I50" t="s">
        <v>261</v>
      </c>
      <c r="J50">
        <f>ROUND(LN(2)/$J$49, 1)</f>
        <v>1543.8</v>
      </c>
      <c r="O50" t="s">
        <v>261</v>
      </c>
      <c r="P50">
        <f>ROUND(LN(2)/$P$49, 1)</f>
        <v>1596</v>
      </c>
      <c r="U50" t="s">
        <v>261</v>
      </c>
      <c r="V50">
        <f>ROUND(LN(2)/$V$49, 1)</f>
        <v>1536.9</v>
      </c>
    </row>
    <row r="51" spans="1:32" x14ac:dyDescent="0.2">
      <c r="I51" t="s">
        <v>204</v>
      </c>
      <c r="J51" s="155">
        <f>ROUND($J$50/60, 1)</f>
        <v>25.7</v>
      </c>
      <c r="O51" t="s">
        <v>204</v>
      </c>
      <c r="P51" s="155">
        <f>ROUND($P$50/60, 1)</f>
        <v>26.6</v>
      </c>
      <c r="U51" t="s">
        <v>204</v>
      </c>
      <c r="V51" s="155">
        <f>ROUND($V$50/60, 1)</f>
        <v>25.6</v>
      </c>
    </row>
    <row r="54" spans="1:32" x14ac:dyDescent="0.2">
      <c r="A54" t="s">
        <v>206</v>
      </c>
      <c r="B54" s="166">
        <v>0</v>
      </c>
      <c r="C54" s="166">
        <v>900.1</v>
      </c>
      <c r="D54" s="166">
        <v>1800.2</v>
      </c>
      <c r="E54" s="166">
        <v>2700.3</v>
      </c>
      <c r="F54" s="166">
        <v>3600.4</v>
      </c>
      <c r="G54" s="166">
        <v>4500.5</v>
      </c>
      <c r="H54" s="166">
        <v>5400.6</v>
      </c>
      <c r="I54" s="166">
        <v>6300.7</v>
      </c>
      <c r="J54" s="166">
        <v>7200.8</v>
      </c>
      <c r="K54" s="166">
        <v>8100.9</v>
      </c>
      <c r="L54" s="166">
        <v>9001</v>
      </c>
      <c r="M54" s="166">
        <v>9901.1</v>
      </c>
      <c r="N54" s="166">
        <v>10801.2</v>
      </c>
      <c r="O54" s="166">
        <v>11701.3</v>
      </c>
      <c r="P54" s="166">
        <v>12601.4</v>
      </c>
      <c r="Q54" s="166">
        <v>13501.5</v>
      </c>
      <c r="R54" s="166">
        <v>14401.6</v>
      </c>
      <c r="S54" s="166">
        <v>15301.7</v>
      </c>
      <c r="T54" s="166">
        <v>16201.8</v>
      </c>
      <c r="U54" s="166">
        <v>17101.900000000001</v>
      </c>
      <c r="V54" s="166">
        <v>18002</v>
      </c>
      <c r="W54" s="166">
        <v>18902.099999999999</v>
      </c>
      <c r="X54" s="166">
        <v>19802.2</v>
      </c>
      <c r="Y54" s="166">
        <v>20702.3</v>
      </c>
      <c r="Z54" s="166">
        <v>21602.400000000001</v>
      </c>
      <c r="AA54" s="166">
        <v>22502.5</v>
      </c>
      <c r="AB54" s="166">
        <v>23402.6</v>
      </c>
      <c r="AC54" s="166">
        <v>24302.7</v>
      </c>
      <c r="AD54" s="166">
        <v>25202.799999999999</v>
      </c>
      <c r="AE54" s="166">
        <v>26102.9</v>
      </c>
      <c r="AF54" s="166">
        <v>27003</v>
      </c>
    </row>
    <row r="55" spans="1:32" x14ac:dyDescent="0.2">
      <c r="A55" s="156" t="s">
        <v>293</v>
      </c>
      <c r="B55" s="156">
        <v>0.10540000349283218</v>
      </c>
      <c r="C55" s="156">
        <v>0.10530000180006027</v>
      </c>
      <c r="D55" s="156">
        <v>0.10540000349283218</v>
      </c>
      <c r="E55" s="156">
        <v>0.10589999705553055</v>
      </c>
      <c r="F55" s="156">
        <v>0.10620000213384628</v>
      </c>
      <c r="G55" s="156">
        <v>0.10719999670982361</v>
      </c>
      <c r="H55" s="156">
        <v>0.10809999704360962</v>
      </c>
      <c r="I55" s="156">
        <v>0.11020000278949738</v>
      </c>
      <c r="J55" s="156">
        <v>0.11379999667406082</v>
      </c>
      <c r="K55" s="156">
        <v>0.11980000138282776</v>
      </c>
      <c r="L55" s="156">
        <v>0.12970000505447388</v>
      </c>
      <c r="M55" s="156">
        <v>0.14390000700950623</v>
      </c>
      <c r="N55" s="156">
        <v>0.16380000114440918</v>
      </c>
      <c r="O55" s="156">
        <v>0.18919999897480011</v>
      </c>
      <c r="P55" s="156">
        <v>0.22010000050067902</v>
      </c>
      <c r="Q55" s="156">
        <v>0.2565000057220459</v>
      </c>
      <c r="R55" s="156">
        <v>0.29929998517036438</v>
      </c>
      <c r="S55" s="156">
        <v>0.34509998559951782</v>
      </c>
      <c r="T55" s="156">
        <v>0.38710001111030579</v>
      </c>
      <c r="U55" s="156">
        <v>0.42329999804496765</v>
      </c>
      <c r="V55" s="156">
        <f t="shared" ref="V55:V57" si="0">AVERAGE(U55,W55)</f>
        <v>0.43915000557899475</v>
      </c>
      <c r="W55" s="156">
        <v>0.45500001311302185</v>
      </c>
      <c r="X55" s="156">
        <v>0.4627000093460083</v>
      </c>
      <c r="Y55" s="156">
        <v>0.46639999747276306</v>
      </c>
      <c r="Z55" s="156">
        <v>0.46729999780654907</v>
      </c>
      <c r="AA55" s="156">
        <v>0.47110000252723694</v>
      </c>
      <c r="AB55" s="156">
        <v>0.47519999742507935</v>
      </c>
      <c r="AC55" s="156">
        <v>0.48059999942779541</v>
      </c>
      <c r="AD55" s="156">
        <v>0.48910000920295715</v>
      </c>
      <c r="AE55" s="156">
        <v>0.50129997730255127</v>
      </c>
      <c r="AF55" s="156">
        <v>0.51590001583099365</v>
      </c>
    </row>
    <row r="56" spans="1:32" x14ac:dyDescent="0.2">
      <c r="A56" s="157" t="s">
        <v>294</v>
      </c>
      <c r="B56" s="157">
        <v>0.10570000112056732</v>
      </c>
      <c r="C56" s="157">
        <v>0.10570000112056732</v>
      </c>
      <c r="D56" s="157">
        <v>0.10589999705553055</v>
      </c>
      <c r="E56" s="157">
        <v>0.10649999976158142</v>
      </c>
      <c r="F56" s="157">
        <v>0.10689999908208847</v>
      </c>
      <c r="G56" s="157">
        <v>0.1080000028014183</v>
      </c>
      <c r="H56" s="157">
        <v>0.10980000346899033</v>
      </c>
      <c r="I56" s="157">
        <v>0.11309999972581863</v>
      </c>
      <c r="J56" s="157">
        <v>0.11800000071525574</v>
      </c>
      <c r="K56" s="157">
        <v>0.12630000710487366</v>
      </c>
      <c r="L56" s="157">
        <v>0.13920000195503235</v>
      </c>
      <c r="M56" s="157">
        <v>0.15700000524520874</v>
      </c>
      <c r="N56" s="157">
        <v>0.18150000274181366</v>
      </c>
      <c r="O56" s="157">
        <v>0.21029999852180481</v>
      </c>
      <c r="P56" s="157">
        <v>0.24510000646114349</v>
      </c>
      <c r="Q56" s="157">
        <v>0.28549998998641968</v>
      </c>
      <c r="R56" s="157">
        <v>0.33079999685287476</v>
      </c>
      <c r="S56" s="157">
        <v>0.37509998679161072</v>
      </c>
      <c r="T56" s="157">
        <v>0.41130000352859497</v>
      </c>
      <c r="U56" s="157">
        <v>0.44330000877380371</v>
      </c>
      <c r="V56" s="157">
        <f t="shared" si="0"/>
        <v>0.4513000100851059</v>
      </c>
      <c r="W56" s="157">
        <v>0.45930001139640808</v>
      </c>
      <c r="X56" s="157">
        <v>0.46369999647140503</v>
      </c>
      <c r="Y56" s="157">
        <v>0.46380001306533813</v>
      </c>
      <c r="Z56" s="157">
        <v>0.46689999103546143</v>
      </c>
      <c r="AA56" s="157">
        <v>0.4699999988079071</v>
      </c>
      <c r="AB56" s="157">
        <v>0.47510001063346863</v>
      </c>
      <c r="AC56" s="157">
        <v>0.48330000042915344</v>
      </c>
      <c r="AD56" s="157">
        <v>0.49360001087188721</v>
      </c>
      <c r="AE56" s="157">
        <v>0.50709998607635498</v>
      </c>
      <c r="AF56" s="157">
        <v>0.5218999981880188</v>
      </c>
    </row>
    <row r="57" spans="1:32" x14ac:dyDescent="0.2">
      <c r="A57" s="168" t="s">
        <v>295</v>
      </c>
      <c r="B57" s="168">
        <v>0.10570000112056732</v>
      </c>
      <c r="C57" s="168">
        <v>0.10570000112056732</v>
      </c>
      <c r="D57" s="168">
        <v>0.10599999874830246</v>
      </c>
      <c r="E57" s="168">
        <v>0.10649999976158142</v>
      </c>
      <c r="F57" s="168">
        <v>0.10710000246763229</v>
      </c>
      <c r="G57" s="168">
        <v>0.10859999805688858</v>
      </c>
      <c r="H57" s="168">
        <v>0.11060000211000443</v>
      </c>
      <c r="I57" s="168">
        <v>0.11429999768733978</v>
      </c>
      <c r="J57" s="168">
        <v>0.12060000002384186</v>
      </c>
      <c r="K57" s="168">
        <v>0.13079999387264252</v>
      </c>
      <c r="L57" s="168">
        <v>0.14560000598430634</v>
      </c>
      <c r="M57" s="168">
        <v>0.1664000004529953</v>
      </c>
      <c r="N57" s="168">
        <v>0.1932000070810318</v>
      </c>
      <c r="O57" s="168">
        <v>0.22499999403953552</v>
      </c>
      <c r="P57" s="168">
        <v>0.26240000128746033</v>
      </c>
      <c r="Q57" s="168">
        <v>0.30489999055862427</v>
      </c>
      <c r="R57" s="168">
        <v>0.35040000081062317</v>
      </c>
      <c r="S57" s="168">
        <v>0.39079999923706055</v>
      </c>
      <c r="T57" s="168">
        <v>0.42509999871253967</v>
      </c>
      <c r="U57" s="168">
        <v>0.45239999890327454</v>
      </c>
      <c r="V57" s="168">
        <f t="shared" si="0"/>
        <v>0.45759999752044678</v>
      </c>
      <c r="W57" s="168">
        <v>0.46279999613761902</v>
      </c>
      <c r="X57" s="168">
        <v>0.46549999713897705</v>
      </c>
      <c r="Y57" s="168">
        <v>0.46570000052452087</v>
      </c>
      <c r="Z57" s="168">
        <v>0.46799999475479126</v>
      </c>
      <c r="AA57" s="168">
        <v>0.47249999642372131</v>
      </c>
      <c r="AB57" s="168">
        <v>0.47679999470710754</v>
      </c>
      <c r="AC57" s="168">
        <v>0.48489999771118164</v>
      </c>
      <c r="AD57" s="168">
        <v>0.49590000510215759</v>
      </c>
      <c r="AE57" s="168">
        <v>0.51080000400543213</v>
      </c>
      <c r="AF57" s="168">
        <v>0.52289998531341553</v>
      </c>
    </row>
    <row r="58" spans="1:32" x14ac:dyDescent="0.2">
      <c r="A58" s="158" t="s">
        <v>209</v>
      </c>
      <c r="B58" s="158">
        <v>0.10480000078678131</v>
      </c>
      <c r="C58" s="158">
        <v>0.1046999990940094</v>
      </c>
      <c r="D58" s="158">
        <v>0.1046999990940094</v>
      </c>
      <c r="E58" s="158">
        <v>0.10480000078678131</v>
      </c>
      <c r="F58" s="158">
        <v>0.10459999740123749</v>
      </c>
      <c r="G58" s="158">
        <v>0.10450000315904617</v>
      </c>
      <c r="H58" s="158">
        <v>0.10440000146627426</v>
      </c>
      <c r="I58" s="158">
        <v>0.10429999977350235</v>
      </c>
      <c r="J58" s="158">
        <v>0.10419999808073044</v>
      </c>
      <c r="K58" s="158">
        <v>0.10419999808073044</v>
      </c>
      <c r="L58" s="158">
        <v>0.10419999808073044</v>
      </c>
      <c r="M58" s="158">
        <v>0.10409999638795853</v>
      </c>
      <c r="N58" s="158">
        <v>0.10400000214576721</v>
      </c>
      <c r="O58" s="158">
        <v>0.1039000004529953</v>
      </c>
      <c r="P58" s="158">
        <v>0.10379999876022339</v>
      </c>
      <c r="Q58" s="158">
        <v>0.10379999876022339</v>
      </c>
      <c r="R58" s="158">
        <v>0.1039000004529953</v>
      </c>
      <c r="S58" s="158">
        <v>0.10360000282526016</v>
      </c>
      <c r="T58" s="158">
        <v>0.10360000282526016</v>
      </c>
      <c r="U58" s="158">
        <v>0.10379999876022339</v>
      </c>
      <c r="V58" s="158">
        <f>AVERAGE(U58,W58)</f>
        <v>0.10359999909996986</v>
      </c>
      <c r="W58" s="158">
        <v>0.10339999943971634</v>
      </c>
      <c r="X58" s="158">
        <v>0.10329999774694443</v>
      </c>
      <c r="Y58" s="158">
        <v>0.10320000350475311</v>
      </c>
      <c r="Z58" s="158">
        <v>0.10320000350475311</v>
      </c>
      <c r="AA58" s="158">
        <v>0.1031000018119812</v>
      </c>
      <c r="AB58" s="158">
        <v>0.1031000018119812</v>
      </c>
      <c r="AC58" s="158">
        <v>0.10300000011920929</v>
      </c>
      <c r="AD58" s="158">
        <v>0.10300000011920929</v>
      </c>
      <c r="AE58" s="158">
        <v>0.10289999842643738</v>
      </c>
      <c r="AF58" s="158">
        <v>0.10289999842643738</v>
      </c>
    </row>
    <row r="59" spans="1:32" x14ac:dyDescent="0.2">
      <c r="A59" s="158" t="s">
        <v>210</v>
      </c>
      <c r="B59" s="158">
        <v>0.10660000145435333</v>
      </c>
      <c r="C59" s="158">
        <v>0.10649999976158142</v>
      </c>
      <c r="D59" s="158">
        <v>0.10649999976158142</v>
      </c>
      <c r="E59" s="158">
        <v>0.10649999976158142</v>
      </c>
      <c r="F59" s="158">
        <v>0.10639999806880951</v>
      </c>
      <c r="G59" s="158">
        <v>0.1062999963760376</v>
      </c>
      <c r="H59" s="158">
        <v>0.1062999963760376</v>
      </c>
      <c r="I59" s="158">
        <v>0.10610000044107437</v>
      </c>
      <c r="J59" s="158">
        <v>0.10610000044107437</v>
      </c>
      <c r="K59" s="158">
        <v>0.10610000044107437</v>
      </c>
      <c r="L59" s="158">
        <v>0.10610000044107437</v>
      </c>
      <c r="M59" s="158">
        <v>0.10599999874830246</v>
      </c>
      <c r="N59" s="158">
        <v>0.10589999705553055</v>
      </c>
      <c r="O59" s="158">
        <v>0.10589999705553055</v>
      </c>
      <c r="P59" s="158">
        <v>0.10570000112056732</v>
      </c>
      <c r="Q59" s="158">
        <v>0.10570000112056732</v>
      </c>
      <c r="R59" s="158">
        <v>0.10570000112056732</v>
      </c>
      <c r="S59" s="158">
        <v>0.10559999942779541</v>
      </c>
      <c r="T59" s="158">
        <v>0.10559999942779541</v>
      </c>
      <c r="U59" s="158">
        <v>0.10559999942779541</v>
      </c>
      <c r="V59" s="158">
        <f t="shared" ref="V59:V93" si="1">AVERAGE(U59,W59)</f>
        <v>0.1055000014603138</v>
      </c>
      <c r="W59" s="158">
        <v>0.10540000349283218</v>
      </c>
      <c r="X59" s="158">
        <v>0.10540000349283218</v>
      </c>
      <c r="Y59" s="158">
        <v>0.10530000180006027</v>
      </c>
      <c r="Z59" s="158">
        <v>0.10530000180006027</v>
      </c>
      <c r="AA59" s="158">
        <v>0.10520000010728836</v>
      </c>
      <c r="AB59" s="158">
        <v>0.10520000010728836</v>
      </c>
      <c r="AC59" s="158">
        <v>0.10520000010728836</v>
      </c>
      <c r="AD59" s="158">
        <v>0.10509999841451645</v>
      </c>
      <c r="AE59" s="158">
        <v>0.10509999841451645</v>
      </c>
      <c r="AF59" s="158">
        <v>0.10509999841451645</v>
      </c>
    </row>
    <row r="60" spans="1:32" x14ac:dyDescent="0.2">
      <c r="A60" s="158" t="s">
        <v>211</v>
      </c>
      <c r="B60" s="158">
        <v>0.10740000009536743</v>
      </c>
      <c r="C60" s="158">
        <v>0.10740000009536743</v>
      </c>
      <c r="D60" s="158">
        <v>0.10729999840259552</v>
      </c>
      <c r="E60" s="158">
        <v>0.10729999840259552</v>
      </c>
      <c r="F60" s="158">
        <v>0.10719999670982361</v>
      </c>
      <c r="G60" s="158">
        <v>0.10719999670982361</v>
      </c>
      <c r="H60" s="158">
        <v>0.10710000246763229</v>
      </c>
      <c r="I60" s="158">
        <v>0.10689999908208847</v>
      </c>
      <c r="J60" s="158">
        <v>0.10689999908208847</v>
      </c>
      <c r="K60" s="158">
        <v>0.10710000246763229</v>
      </c>
      <c r="L60" s="158">
        <v>0.10679999738931656</v>
      </c>
      <c r="M60" s="158">
        <v>0.10670000314712524</v>
      </c>
      <c r="N60" s="158">
        <v>0.10670000314712524</v>
      </c>
      <c r="O60" s="158">
        <v>0.10660000145435333</v>
      </c>
      <c r="P60" s="158">
        <v>0.10649999976158142</v>
      </c>
      <c r="Q60" s="158">
        <v>0.10649999976158142</v>
      </c>
      <c r="R60" s="158">
        <v>0.10639999806880951</v>
      </c>
      <c r="S60" s="158">
        <v>0.1062999963760376</v>
      </c>
      <c r="T60" s="158">
        <v>0.1062999963760376</v>
      </c>
      <c r="U60" s="158">
        <v>0.1062999963760376</v>
      </c>
      <c r="V60" s="158">
        <f t="shared" si="1"/>
        <v>0.10624999925494194</v>
      </c>
      <c r="W60" s="158">
        <v>0.10620000213384628</v>
      </c>
      <c r="X60" s="158">
        <v>0.10610000044107437</v>
      </c>
      <c r="Y60" s="158">
        <v>0.10610000044107437</v>
      </c>
      <c r="Z60" s="158">
        <v>0.10599999874830246</v>
      </c>
      <c r="AA60" s="158">
        <v>0.10589999705553055</v>
      </c>
      <c r="AB60" s="158">
        <v>0.10589999705553055</v>
      </c>
      <c r="AC60" s="158">
        <v>0.10599999874830246</v>
      </c>
      <c r="AD60" s="158">
        <v>0.10580000281333923</v>
      </c>
      <c r="AE60" s="158">
        <v>0.10580000281333923</v>
      </c>
      <c r="AF60" s="158">
        <v>0.10580000281333923</v>
      </c>
    </row>
    <row r="61" spans="1:32" x14ac:dyDescent="0.2">
      <c r="A61" s="158" t="s">
        <v>212</v>
      </c>
      <c r="B61" s="158">
        <v>0.10700000077486038</v>
      </c>
      <c r="C61" s="158">
        <v>0.10689999908208847</v>
      </c>
      <c r="D61" s="158">
        <v>0.10679999738931656</v>
      </c>
      <c r="E61" s="158">
        <v>0.10689999908208847</v>
      </c>
      <c r="F61" s="158">
        <v>0.10670000314712524</v>
      </c>
      <c r="G61" s="158">
        <v>0.10689999908208847</v>
      </c>
      <c r="H61" s="158">
        <v>0.10660000145435333</v>
      </c>
      <c r="I61" s="158">
        <v>0.10639999806880951</v>
      </c>
      <c r="J61" s="158">
        <v>0.10639999806880951</v>
      </c>
      <c r="K61" s="158">
        <v>0.1062999963760376</v>
      </c>
      <c r="L61" s="158">
        <v>0.1062999963760376</v>
      </c>
      <c r="M61" s="158">
        <v>0.1062999963760376</v>
      </c>
      <c r="N61" s="158">
        <v>0.10620000213384628</v>
      </c>
      <c r="O61" s="158">
        <v>0.10610000044107437</v>
      </c>
      <c r="P61" s="158">
        <v>0.10599999874830246</v>
      </c>
      <c r="Q61" s="158">
        <v>0.10599999874830246</v>
      </c>
      <c r="R61" s="158">
        <v>0.10599999874830246</v>
      </c>
      <c r="S61" s="158">
        <v>0.10580000281333923</v>
      </c>
      <c r="T61" s="158">
        <v>0.10580000281333923</v>
      </c>
      <c r="U61" s="158">
        <v>0.10580000281333923</v>
      </c>
      <c r="V61" s="158">
        <f t="shared" si="1"/>
        <v>0.10575000196695328</v>
      </c>
      <c r="W61" s="158">
        <v>0.10570000112056732</v>
      </c>
      <c r="X61" s="158">
        <v>0.10559999942779541</v>
      </c>
      <c r="Y61" s="158">
        <v>0.10559999942779541</v>
      </c>
      <c r="Z61" s="158">
        <v>0.10559999942779541</v>
      </c>
      <c r="AA61" s="158">
        <v>0.10540000349283218</v>
      </c>
      <c r="AB61" s="158">
        <v>0.10540000349283218</v>
      </c>
      <c r="AC61" s="158">
        <v>0.10540000349283218</v>
      </c>
      <c r="AD61" s="158">
        <v>0.10540000349283218</v>
      </c>
      <c r="AE61" s="158">
        <v>0.10530000180006027</v>
      </c>
      <c r="AF61" s="158">
        <v>0.10530000180006027</v>
      </c>
    </row>
    <row r="62" spans="1:32" x14ac:dyDescent="0.2">
      <c r="A62" s="158" t="s">
        <v>213</v>
      </c>
      <c r="B62" s="158">
        <v>0.10570000112056732</v>
      </c>
      <c r="C62" s="158">
        <v>0.1054999977350235</v>
      </c>
      <c r="D62" s="158">
        <v>0.1054999977350235</v>
      </c>
      <c r="E62" s="158">
        <v>0.1054999977350235</v>
      </c>
      <c r="F62" s="158">
        <v>0.10540000349283218</v>
      </c>
      <c r="G62" s="158">
        <v>0.10530000180006027</v>
      </c>
      <c r="H62" s="158">
        <v>0.10520000010728836</v>
      </c>
      <c r="I62" s="158">
        <v>0.10520000010728836</v>
      </c>
      <c r="J62" s="158">
        <v>0.10499999672174454</v>
      </c>
      <c r="K62" s="158">
        <v>0.10499999672174454</v>
      </c>
      <c r="L62" s="158">
        <v>0.10499999672174454</v>
      </c>
      <c r="M62" s="158">
        <v>0.10490000247955322</v>
      </c>
      <c r="N62" s="158">
        <v>0.10490000247955322</v>
      </c>
      <c r="O62" s="158">
        <v>0.10480000078678131</v>
      </c>
      <c r="P62" s="158">
        <v>0.10459999740123749</v>
      </c>
      <c r="Q62" s="158">
        <v>0.10459999740123749</v>
      </c>
      <c r="R62" s="158">
        <v>0.10459999740123749</v>
      </c>
      <c r="S62" s="158">
        <v>0.10440000146627426</v>
      </c>
      <c r="T62" s="158">
        <v>0.10450000315904617</v>
      </c>
      <c r="U62" s="158">
        <v>0.10450000315904617</v>
      </c>
      <c r="V62" s="158">
        <f t="shared" si="1"/>
        <v>0.10445000231266022</v>
      </c>
      <c r="W62" s="158">
        <v>0.10440000146627426</v>
      </c>
      <c r="X62" s="158">
        <v>0.10440000146627426</v>
      </c>
      <c r="Y62" s="158">
        <v>0.10429999977350235</v>
      </c>
      <c r="Z62" s="158">
        <v>0.10419999808073044</v>
      </c>
      <c r="AA62" s="158">
        <v>0.10419999808073044</v>
      </c>
      <c r="AB62" s="158">
        <v>0.10419999808073044</v>
      </c>
      <c r="AC62" s="158">
        <v>0.10440000146627426</v>
      </c>
      <c r="AD62" s="158">
        <v>0.10409999638795853</v>
      </c>
      <c r="AE62" s="158">
        <v>0.10400000214576721</v>
      </c>
      <c r="AF62" s="158">
        <v>0.10400000214576721</v>
      </c>
    </row>
    <row r="63" spans="1:32" x14ac:dyDescent="0.2">
      <c r="A63" s="158" t="s">
        <v>214</v>
      </c>
      <c r="B63" s="158">
        <v>0.10689999908208847</v>
      </c>
      <c r="C63" s="158">
        <v>0.10679999738931656</v>
      </c>
      <c r="D63" s="158">
        <v>0.10679999738931656</v>
      </c>
      <c r="E63" s="158">
        <v>0.10679999738931656</v>
      </c>
      <c r="F63" s="158">
        <v>0.10670000314712524</v>
      </c>
      <c r="G63" s="158">
        <v>0.10660000145435333</v>
      </c>
      <c r="H63" s="158">
        <v>0.10649999976158142</v>
      </c>
      <c r="I63" s="158">
        <v>0.1062999963760376</v>
      </c>
      <c r="J63" s="158">
        <v>0.1062999963760376</v>
      </c>
      <c r="K63" s="158">
        <v>0.10620000213384628</v>
      </c>
      <c r="L63" s="158">
        <v>0.1062999963760376</v>
      </c>
      <c r="M63" s="158">
        <v>0.10620000213384628</v>
      </c>
      <c r="N63" s="158">
        <v>0.10610000044107437</v>
      </c>
      <c r="O63" s="158">
        <v>0.10610000044107437</v>
      </c>
      <c r="P63" s="158">
        <v>0.10580000281333923</v>
      </c>
      <c r="Q63" s="158">
        <v>0.10589999705553055</v>
      </c>
      <c r="R63" s="158">
        <v>0.10580000281333923</v>
      </c>
      <c r="S63" s="158">
        <v>0.10570000112056732</v>
      </c>
      <c r="T63" s="158">
        <v>0.10570000112056732</v>
      </c>
      <c r="U63" s="158">
        <v>0.10570000112056732</v>
      </c>
      <c r="V63" s="158">
        <f t="shared" si="1"/>
        <v>0.10565000027418137</v>
      </c>
      <c r="W63" s="158">
        <v>0.10559999942779541</v>
      </c>
      <c r="X63" s="158">
        <v>0.1054999977350235</v>
      </c>
      <c r="Y63" s="158">
        <v>0.1054999977350235</v>
      </c>
      <c r="Z63" s="158">
        <v>0.10540000349283218</v>
      </c>
      <c r="AA63" s="158">
        <v>0.10540000349283218</v>
      </c>
      <c r="AB63" s="158">
        <v>0.10540000349283218</v>
      </c>
      <c r="AC63" s="158">
        <v>0.10540000349283218</v>
      </c>
      <c r="AD63" s="158">
        <v>0.10530000180006027</v>
      </c>
      <c r="AE63" s="158">
        <v>0.10520000010728836</v>
      </c>
      <c r="AF63" s="158">
        <v>0.10530000180006027</v>
      </c>
    </row>
    <row r="64" spans="1:32" x14ac:dyDescent="0.2">
      <c r="A64" s="158" t="s">
        <v>215</v>
      </c>
      <c r="B64" s="158">
        <v>0.10819999873638153</v>
      </c>
      <c r="C64" s="158">
        <v>0.10790000110864639</v>
      </c>
      <c r="D64" s="158">
        <v>0.10779999941587448</v>
      </c>
      <c r="E64" s="158">
        <v>0.1080000028014183</v>
      </c>
      <c r="F64" s="158">
        <v>0.10760000348091125</v>
      </c>
      <c r="G64" s="158">
        <v>0.10750000178813934</v>
      </c>
      <c r="H64" s="158">
        <v>0.10740000009536743</v>
      </c>
      <c r="I64" s="158">
        <v>0.10719999670982361</v>
      </c>
      <c r="J64" s="158">
        <v>0.10719999670982361</v>
      </c>
      <c r="K64" s="158">
        <v>0.10710000246763229</v>
      </c>
      <c r="L64" s="158">
        <v>0.10719999670982361</v>
      </c>
      <c r="M64" s="158">
        <v>0.10700000077486038</v>
      </c>
      <c r="N64" s="158">
        <v>0.10700000077486038</v>
      </c>
      <c r="O64" s="158">
        <v>0.10700000077486038</v>
      </c>
      <c r="P64" s="158">
        <v>0.10679999738931656</v>
      </c>
      <c r="Q64" s="158">
        <v>0.10679999738931656</v>
      </c>
      <c r="R64" s="158">
        <v>0.10670000314712524</v>
      </c>
      <c r="S64" s="158">
        <v>0.10660000145435333</v>
      </c>
      <c r="T64" s="158">
        <v>0.10660000145435333</v>
      </c>
      <c r="U64" s="158">
        <v>0.10660000145435333</v>
      </c>
      <c r="V64" s="158">
        <f t="shared" si="1"/>
        <v>0.10655000060796738</v>
      </c>
      <c r="W64" s="158">
        <v>0.10649999976158142</v>
      </c>
      <c r="X64" s="158">
        <v>0.10649999976158142</v>
      </c>
      <c r="Y64" s="158">
        <v>0.1062999963760376</v>
      </c>
      <c r="Z64" s="158">
        <v>0.1062999963760376</v>
      </c>
      <c r="AA64" s="158">
        <v>0.1062999963760376</v>
      </c>
      <c r="AB64" s="158">
        <v>0.1062999963760376</v>
      </c>
      <c r="AC64" s="158">
        <v>0.1062999963760376</v>
      </c>
      <c r="AD64" s="158">
        <v>0.10620000213384628</v>
      </c>
      <c r="AE64" s="158">
        <v>0.10610000044107437</v>
      </c>
      <c r="AF64" s="158">
        <v>0.10610000044107437</v>
      </c>
    </row>
    <row r="65" spans="1:32" x14ac:dyDescent="0.2">
      <c r="A65" s="158" t="s">
        <v>216</v>
      </c>
      <c r="B65" s="158">
        <v>0.10639999806880951</v>
      </c>
      <c r="C65" s="158">
        <v>0.10599999874830246</v>
      </c>
      <c r="D65" s="158">
        <v>0.10589999705553055</v>
      </c>
      <c r="E65" s="158">
        <v>0.10840000212192535</v>
      </c>
      <c r="F65" s="158">
        <v>0.10869999974966049</v>
      </c>
      <c r="G65" s="158">
        <v>0.10819999873638153</v>
      </c>
      <c r="H65" s="158">
        <v>0.10819999873638153</v>
      </c>
      <c r="I65" s="158">
        <v>0.1080000028014183</v>
      </c>
      <c r="J65" s="158">
        <v>0.10779999941587448</v>
      </c>
      <c r="K65" s="158">
        <v>0.1080000028014183</v>
      </c>
      <c r="L65" s="158">
        <v>0.10830000042915344</v>
      </c>
      <c r="M65" s="158">
        <v>0.1080000028014183</v>
      </c>
      <c r="N65" s="158">
        <v>0.10809999704360962</v>
      </c>
      <c r="O65" s="158">
        <v>0.10779999941587448</v>
      </c>
      <c r="P65" s="158">
        <v>0.10740000009536743</v>
      </c>
      <c r="Q65" s="158">
        <v>0.10760000348091125</v>
      </c>
      <c r="R65" s="158">
        <v>0.10760000348091125</v>
      </c>
      <c r="S65" s="158">
        <v>0.1080000028014183</v>
      </c>
      <c r="T65" s="158">
        <v>0.10750000178813934</v>
      </c>
      <c r="U65" s="158">
        <v>0.10750000178813934</v>
      </c>
      <c r="V65" s="158">
        <f t="shared" si="1"/>
        <v>0.1075500026345253</v>
      </c>
      <c r="W65" s="158">
        <v>0.10760000348091125</v>
      </c>
      <c r="X65" s="158">
        <v>0.10779999941587448</v>
      </c>
      <c r="Y65" s="158">
        <v>0.10740000009536743</v>
      </c>
      <c r="Z65" s="158">
        <v>0.10750000178813934</v>
      </c>
      <c r="AA65" s="158">
        <v>0.10920000076293945</v>
      </c>
      <c r="AB65" s="158">
        <v>0.10830000042915344</v>
      </c>
      <c r="AC65" s="158">
        <v>0.10909999907016754</v>
      </c>
      <c r="AD65" s="158">
        <v>0.10819999873638153</v>
      </c>
      <c r="AE65" s="158">
        <v>0.10740000009536743</v>
      </c>
      <c r="AF65" s="158">
        <v>0.10849999636411667</v>
      </c>
    </row>
    <row r="66" spans="1:32" x14ac:dyDescent="0.2">
      <c r="A66" s="158" t="s">
        <v>217</v>
      </c>
      <c r="B66" s="158">
        <v>0.10580000281333923</v>
      </c>
      <c r="C66" s="158">
        <v>0.10570000112056732</v>
      </c>
      <c r="D66" s="158">
        <v>0.10570000112056732</v>
      </c>
      <c r="E66" s="158">
        <v>0.10580000281333923</v>
      </c>
      <c r="F66" s="158">
        <v>0.1054999977350235</v>
      </c>
      <c r="G66" s="158">
        <v>0.10559999942779541</v>
      </c>
      <c r="H66" s="158">
        <v>0.10540000349283218</v>
      </c>
      <c r="I66" s="158">
        <v>0.10530000180006027</v>
      </c>
      <c r="J66" s="158">
        <v>0.10520000010728836</v>
      </c>
      <c r="K66" s="158">
        <v>0.10520000010728836</v>
      </c>
      <c r="L66" s="158">
        <v>0.10520000010728836</v>
      </c>
      <c r="M66" s="158">
        <v>0.10509999841451645</v>
      </c>
      <c r="N66" s="158">
        <v>0.10509999841451645</v>
      </c>
      <c r="O66" s="158">
        <v>0.10499999672174454</v>
      </c>
      <c r="P66" s="158">
        <v>0.10480000078678131</v>
      </c>
      <c r="Q66" s="158">
        <v>0.10480000078678131</v>
      </c>
      <c r="R66" s="158">
        <v>0.10480000078678131</v>
      </c>
      <c r="S66" s="158">
        <v>0.1046999990940094</v>
      </c>
      <c r="T66" s="158">
        <v>0.1046999990940094</v>
      </c>
      <c r="U66" s="158">
        <v>0.1046999990940094</v>
      </c>
      <c r="V66" s="158">
        <f t="shared" si="1"/>
        <v>0.10464999824762344</v>
      </c>
      <c r="W66" s="158">
        <v>0.10459999740123749</v>
      </c>
      <c r="X66" s="158">
        <v>0.10459999740123749</v>
      </c>
      <c r="Y66" s="158">
        <v>0.10450000315904617</v>
      </c>
      <c r="Z66" s="158">
        <v>0.10450000315904617</v>
      </c>
      <c r="AA66" s="158">
        <v>0.10429999977350235</v>
      </c>
      <c r="AB66" s="158">
        <v>0.10429999977350235</v>
      </c>
      <c r="AC66" s="158">
        <v>0.10429999977350235</v>
      </c>
      <c r="AD66" s="158">
        <v>0.10429999977350235</v>
      </c>
      <c r="AE66" s="158">
        <v>0.10419999808073044</v>
      </c>
      <c r="AF66" s="158">
        <v>0.10419999808073044</v>
      </c>
    </row>
    <row r="67" spans="1:32" x14ac:dyDescent="0.2">
      <c r="A67" s="158" t="s">
        <v>218</v>
      </c>
      <c r="B67" s="158">
        <v>0.10999999940395355</v>
      </c>
      <c r="C67" s="158">
        <v>0.10859999805688858</v>
      </c>
      <c r="D67" s="158">
        <v>0.1088000014424324</v>
      </c>
      <c r="E67" s="158">
        <v>0.10869999974966049</v>
      </c>
      <c r="F67" s="158">
        <v>0.10859999805688858</v>
      </c>
      <c r="G67" s="158">
        <v>0.10890000313520432</v>
      </c>
      <c r="H67" s="158">
        <v>0.10849999636411667</v>
      </c>
      <c r="I67" s="158">
        <v>0.10830000042915344</v>
      </c>
      <c r="J67" s="158">
        <v>0.10840000212192535</v>
      </c>
      <c r="K67" s="158">
        <v>0.10809999704360962</v>
      </c>
      <c r="L67" s="158">
        <v>0.10869999974966049</v>
      </c>
      <c r="M67" s="158">
        <v>0.10849999636411667</v>
      </c>
      <c r="N67" s="158">
        <v>0.10859999805688858</v>
      </c>
      <c r="O67" s="158">
        <v>0.10849999636411667</v>
      </c>
      <c r="P67" s="158">
        <v>0.1080000028014183</v>
      </c>
      <c r="Q67" s="158">
        <v>0.10769999772310257</v>
      </c>
      <c r="R67" s="158">
        <v>0.10769999772310257</v>
      </c>
      <c r="S67" s="158">
        <v>0.1080000028014183</v>
      </c>
      <c r="T67" s="158">
        <v>0.10769999772310257</v>
      </c>
      <c r="U67" s="158">
        <v>0.10809999704360962</v>
      </c>
      <c r="V67" s="158">
        <f t="shared" si="1"/>
        <v>0.10794999822974205</v>
      </c>
      <c r="W67" s="158">
        <v>0.10779999941587448</v>
      </c>
      <c r="X67" s="158">
        <v>0.10740000009536743</v>
      </c>
      <c r="Y67" s="158">
        <v>0.10750000178813934</v>
      </c>
      <c r="Z67" s="158">
        <v>0.10750000178813934</v>
      </c>
      <c r="AA67" s="158">
        <v>0.10620000213384628</v>
      </c>
      <c r="AB67" s="158">
        <v>0.10670000314712524</v>
      </c>
      <c r="AC67" s="158">
        <v>0.10620000213384628</v>
      </c>
      <c r="AD67" s="158">
        <v>0.10700000077486038</v>
      </c>
      <c r="AE67" s="158">
        <v>0.10679999738931656</v>
      </c>
      <c r="AF67" s="158">
        <v>0.10639999806880951</v>
      </c>
    </row>
    <row r="68" spans="1:32" x14ac:dyDescent="0.2">
      <c r="A68" s="158" t="s">
        <v>219</v>
      </c>
      <c r="B68" s="158">
        <v>0.10649999976158142</v>
      </c>
      <c r="C68" s="158">
        <v>0.10620000213384628</v>
      </c>
      <c r="D68" s="158">
        <v>0.10610000044107437</v>
      </c>
      <c r="E68" s="158">
        <v>0.10639999806880951</v>
      </c>
      <c r="F68" s="158">
        <v>0.10620000213384628</v>
      </c>
      <c r="G68" s="158">
        <v>0.10620000213384628</v>
      </c>
      <c r="H68" s="158">
        <v>0.10610000044107437</v>
      </c>
      <c r="I68" s="158">
        <v>0.10589999705553055</v>
      </c>
      <c r="J68" s="158">
        <v>0.10610000044107437</v>
      </c>
      <c r="K68" s="158">
        <v>0.10589999705553055</v>
      </c>
      <c r="L68" s="158">
        <v>0.10589999705553055</v>
      </c>
      <c r="M68" s="158">
        <v>0.10570000112056732</v>
      </c>
      <c r="N68" s="158">
        <v>0.10570000112056732</v>
      </c>
      <c r="O68" s="158">
        <v>0.10559999942779541</v>
      </c>
      <c r="P68" s="158">
        <v>0.10540000349283218</v>
      </c>
      <c r="Q68" s="158">
        <v>0.10540000349283218</v>
      </c>
      <c r="R68" s="158">
        <v>0.10540000349283218</v>
      </c>
      <c r="S68" s="158">
        <v>0.10530000180006027</v>
      </c>
      <c r="T68" s="158">
        <v>0.10530000180006027</v>
      </c>
      <c r="U68" s="158">
        <v>0.10530000180006027</v>
      </c>
      <c r="V68" s="158">
        <f t="shared" si="1"/>
        <v>0.10525000095367432</v>
      </c>
      <c r="W68" s="158">
        <v>0.10520000010728836</v>
      </c>
      <c r="X68" s="158">
        <v>0.10509999841451645</v>
      </c>
      <c r="Y68" s="158">
        <v>0.10499999672174454</v>
      </c>
      <c r="Z68" s="158">
        <v>0.10520000010728836</v>
      </c>
      <c r="AA68" s="158">
        <v>0.10490000247955322</v>
      </c>
      <c r="AB68" s="158">
        <v>0.10490000247955322</v>
      </c>
      <c r="AC68" s="158">
        <v>0.10490000247955322</v>
      </c>
      <c r="AD68" s="158">
        <v>0.10480000078678131</v>
      </c>
      <c r="AE68" s="158">
        <v>0.10499999672174454</v>
      </c>
      <c r="AF68" s="158">
        <v>0.10480000078678131</v>
      </c>
    </row>
    <row r="69" spans="1:32" x14ac:dyDescent="0.2">
      <c r="A69" s="158" t="s">
        <v>220</v>
      </c>
      <c r="B69" s="158">
        <v>0.10679999738931656</v>
      </c>
      <c r="C69" s="158">
        <v>0.10660000145435333</v>
      </c>
      <c r="D69" s="158">
        <v>0.10649999976158142</v>
      </c>
      <c r="E69" s="158">
        <v>0.10649999976158142</v>
      </c>
      <c r="F69" s="158">
        <v>0.1062999963760376</v>
      </c>
      <c r="G69" s="158">
        <v>0.10620000213384628</v>
      </c>
      <c r="H69" s="158">
        <v>0.10610000044107437</v>
      </c>
      <c r="I69" s="158">
        <v>0.10599999874830246</v>
      </c>
      <c r="J69" s="158">
        <v>0.10589999705553055</v>
      </c>
      <c r="K69" s="158">
        <v>0.10589999705553055</v>
      </c>
      <c r="L69" s="158">
        <v>0.10589999705553055</v>
      </c>
      <c r="M69" s="158">
        <v>0.10580000281333923</v>
      </c>
      <c r="N69" s="158">
        <v>0.10570000112056732</v>
      </c>
      <c r="O69" s="158">
        <v>0.10559999942779541</v>
      </c>
      <c r="P69" s="158">
        <v>0.10540000349283218</v>
      </c>
      <c r="Q69" s="158">
        <v>0.10540000349283218</v>
      </c>
      <c r="R69" s="158">
        <v>0.10530000180006027</v>
      </c>
      <c r="S69" s="158">
        <v>0.10520000010728836</v>
      </c>
      <c r="T69" s="158">
        <v>0.10520000010728836</v>
      </c>
      <c r="U69" s="158">
        <v>0.10520000010728836</v>
      </c>
      <c r="V69" s="158">
        <f t="shared" si="1"/>
        <v>0.10509999841451645</v>
      </c>
      <c r="W69" s="158">
        <v>0.10499999672174454</v>
      </c>
      <c r="X69" s="158">
        <v>0.10499999672174454</v>
      </c>
      <c r="Y69" s="158">
        <v>0.10480000078678131</v>
      </c>
      <c r="Z69" s="158">
        <v>0.10480000078678131</v>
      </c>
      <c r="AA69" s="158">
        <v>0.10459999740123749</v>
      </c>
      <c r="AB69" s="158">
        <v>0.10459999740123749</v>
      </c>
      <c r="AC69" s="158">
        <v>0.10459999740123749</v>
      </c>
      <c r="AD69" s="158">
        <v>0.10450000315904617</v>
      </c>
      <c r="AE69" s="158">
        <v>0.10440000146627426</v>
      </c>
      <c r="AF69" s="158">
        <v>0.10440000146627426</v>
      </c>
    </row>
    <row r="70" spans="1:32" x14ac:dyDescent="0.2">
      <c r="A70" s="158" t="s">
        <v>221</v>
      </c>
      <c r="B70" s="158">
        <v>0.10620000213384628</v>
      </c>
      <c r="C70" s="158">
        <v>0.10610000044107437</v>
      </c>
      <c r="D70" s="158">
        <v>0.10599999874830246</v>
      </c>
      <c r="E70" s="158">
        <v>0.10610000044107437</v>
      </c>
      <c r="F70" s="158">
        <v>0.10589999705553055</v>
      </c>
      <c r="G70" s="158">
        <v>0.10599999874830246</v>
      </c>
      <c r="H70" s="158">
        <v>0.10589999705553055</v>
      </c>
      <c r="I70" s="158">
        <v>0.10580000281333923</v>
      </c>
      <c r="J70" s="158">
        <v>0.10570000112056732</v>
      </c>
      <c r="K70" s="158">
        <v>0.10570000112056732</v>
      </c>
      <c r="L70" s="158">
        <v>0.10580000281333923</v>
      </c>
      <c r="M70" s="158">
        <v>0.10570000112056732</v>
      </c>
      <c r="N70" s="158">
        <v>0.10559999942779541</v>
      </c>
      <c r="O70" s="158">
        <v>0.10540000349283218</v>
      </c>
      <c r="P70" s="158">
        <v>0.10530000180006027</v>
      </c>
      <c r="Q70" s="158">
        <v>0.10530000180006027</v>
      </c>
      <c r="R70" s="158">
        <v>0.10520000010728836</v>
      </c>
      <c r="S70" s="158">
        <v>0.10530000180006027</v>
      </c>
      <c r="T70" s="158">
        <v>0.10530000180006027</v>
      </c>
      <c r="U70" s="158">
        <v>0.10540000349283218</v>
      </c>
      <c r="V70" s="158">
        <f t="shared" si="1"/>
        <v>0.10530000180006027</v>
      </c>
      <c r="W70" s="158">
        <v>0.10520000010728836</v>
      </c>
      <c r="X70" s="158">
        <v>0.10520000010728836</v>
      </c>
      <c r="Y70" s="158">
        <v>0.10499999672174454</v>
      </c>
      <c r="Z70" s="158">
        <v>0.10490000247955322</v>
      </c>
      <c r="AA70" s="158">
        <v>0.10490000247955322</v>
      </c>
      <c r="AB70" s="158">
        <v>0.10480000078678131</v>
      </c>
      <c r="AC70" s="158">
        <v>0.1046999990940094</v>
      </c>
      <c r="AD70" s="158">
        <v>0.10480000078678131</v>
      </c>
      <c r="AE70" s="158">
        <v>0.1046999990940094</v>
      </c>
      <c r="AF70" s="158">
        <v>0.10480000078678131</v>
      </c>
    </row>
    <row r="71" spans="1:32" x14ac:dyDescent="0.2">
      <c r="A71" s="158" t="s">
        <v>222</v>
      </c>
      <c r="B71" s="158">
        <v>0.10649999976158142</v>
      </c>
      <c r="C71" s="158">
        <v>0.10610000044107437</v>
      </c>
      <c r="D71" s="158">
        <v>0.10599999874830246</v>
      </c>
      <c r="E71" s="158">
        <v>0.10610000044107437</v>
      </c>
      <c r="F71" s="158">
        <v>0.10589999705553055</v>
      </c>
      <c r="G71" s="158">
        <v>0.10580000281333923</v>
      </c>
      <c r="H71" s="158">
        <v>0.10570000112056732</v>
      </c>
      <c r="I71" s="158">
        <v>0.10559999942779541</v>
      </c>
      <c r="J71" s="158">
        <v>0.1054999977350235</v>
      </c>
      <c r="K71" s="158">
        <v>0.1054999977350235</v>
      </c>
      <c r="L71" s="158">
        <v>0.1054999977350235</v>
      </c>
      <c r="M71" s="158">
        <v>0.10540000349283218</v>
      </c>
      <c r="N71" s="158">
        <v>0.10540000349283218</v>
      </c>
      <c r="O71" s="158">
        <v>0.10530000180006027</v>
      </c>
      <c r="P71" s="158">
        <v>0.10499999672174454</v>
      </c>
      <c r="Q71" s="158">
        <v>0.10499999672174454</v>
      </c>
      <c r="R71" s="158">
        <v>0.10499999672174454</v>
      </c>
      <c r="S71" s="158">
        <v>0.10490000247955322</v>
      </c>
      <c r="T71" s="158">
        <v>0.10490000247955322</v>
      </c>
      <c r="U71" s="158">
        <v>0.10490000247955322</v>
      </c>
      <c r="V71" s="158">
        <f t="shared" si="1"/>
        <v>0.10485000163316727</v>
      </c>
      <c r="W71" s="158">
        <v>0.10480000078678131</v>
      </c>
      <c r="X71" s="158">
        <v>0.10480000078678131</v>
      </c>
      <c r="Y71" s="158">
        <v>0.1046999990940094</v>
      </c>
      <c r="Z71" s="158">
        <v>0.10450000315904617</v>
      </c>
      <c r="AA71" s="158">
        <v>0.10450000315904617</v>
      </c>
      <c r="AB71" s="158">
        <v>0.10450000315904617</v>
      </c>
      <c r="AC71" s="158">
        <v>0.10440000146627426</v>
      </c>
      <c r="AD71" s="158">
        <v>0.10440000146627426</v>
      </c>
      <c r="AE71" s="158">
        <v>0.10440000146627426</v>
      </c>
      <c r="AF71" s="158">
        <v>0.10429999977350235</v>
      </c>
    </row>
    <row r="72" spans="1:32" x14ac:dyDescent="0.2">
      <c r="A72" s="158" t="s">
        <v>223</v>
      </c>
      <c r="B72" s="158">
        <v>0.10710000246763229</v>
      </c>
      <c r="C72" s="158">
        <v>0.10689999908208847</v>
      </c>
      <c r="D72" s="158">
        <v>0.10679999738931656</v>
      </c>
      <c r="E72" s="158">
        <v>0.10679999738931656</v>
      </c>
      <c r="F72" s="158">
        <v>0.10689999908208847</v>
      </c>
      <c r="G72" s="158">
        <v>0.10670000314712524</v>
      </c>
      <c r="H72" s="158">
        <v>0.10670000314712524</v>
      </c>
      <c r="I72" s="158">
        <v>0.10649999976158142</v>
      </c>
      <c r="J72" s="158">
        <v>0.10649999976158142</v>
      </c>
      <c r="K72" s="158">
        <v>0.10639999806880951</v>
      </c>
      <c r="L72" s="158">
        <v>0.10649999976158142</v>
      </c>
      <c r="M72" s="158">
        <v>0.10639999806880951</v>
      </c>
      <c r="N72" s="158">
        <v>0.1062999963760376</v>
      </c>
      <c r="O72" s="158">
        <v>0.10620000213384628</v>
      </c>
      <c r="P72" s="158">
        <v>0.10610000044107437</v>
      </c>
      <c r="Q72" s="158">
        <v>0.10599999874830246</v>
      </c>
      <c r="R72" s="158">
        <v>0.10599999874830246</v>
      </c>
      <c r="S72" s="158">
        <v>0.10610000044107437</v>
      </c>
      <c r="T72" s="158">
        <v>0.10610000044107437</v>
      </c>
      <c r="U72" s="158">
        <v>0.10610000044107437</v>
      </c>
      <c r="V72" s="158">
        <f t="shared" si="1"/>
        <v>0.10610000044107437</v>
      </c>
      <c r="W72" s="158">
        <v>0.10610000044107437</v>
      </c>
      <c r="X72" s="158">
        <v>0.10599999874830246</v>
      </c>
      <c r="Y72" s="158">
        <v>0.10589999705553055</v>
      </c>
      <c r="Z72" s="158">
        <v>0.10580000281333923</v>
      </c>
      <c r="AA72" s="158">
        <v>0.10589999705553055</v>
      </c>
      <c r="AB72" s="158">
        <v>0.10559999942779541</v>
      </c>
      <c r="AC72" s="158">
        <v>0.10559999942779541</v>
      </c>
      <c r="AD72" s="158">
        <v>0.10559999942779541</v>
      </c>
      <c r="AE72" s="158">
        <v>0.10559999942779541</v>
      </c>
      <c r="AF72" s="158">
        <v>0.10589999705553055</v>
      </c>
    </row>
    <row r="73" spans="1:32" x14ac:dyDescent="0.2">
      <c r="A73" s="158" t="s">
        <v>224</v>
      </c>
      <c r="B73" s="158">
        <v>0.10710000246763229</v>
      </c>
      <c r="C73" s="158">
        <v>0.10679999738931656</v>
      </c>
      <c r="D73" s="158">
        <v>0.10670000314712524</v>
      </c>
      <c r="E73" s="158">
        <v>0.10670000314712524</v>
      </c>
      <c r="F73" s="158">
        <v>0.10660000145435333</v>
      </c>
      <c r="G73" s="158">
        <v>0.10660000145435333</v>
      </c>
      <c r="H73" s="158">
        <v>0.10639999806880951</v>
      </c>
      <c r="I73" s="158">
        <v>0.1062999963760376</v>
      </c>
      <c r="J73" s="158">
        <v>0.10620000213384628</v>
      </c>
      <c r="K73" s="158">
        <v>0.10620000213384628</v>
      </c>
      <c r="L73" s="158">
        <v>0.10620000213384628</v>
      </c>
      <c r="M73" s="158">
        <v>0.10599999874830246</v>
      </c>
      <c r="N73" s="158">
        <v>0.10589999705553055</v>
      </c>
      <c r="O73" s="158">
        <v>0.10570000112056732</v>
      </c>
      <c r="P73" s="158">
        <v>0.1054999977350235</v>
      </c>
      <c r="Q73" s="158">
        <v>0.1054999977350235</v>
      </c>
      <c r="R73" s="158">
        <v>0.1054999977350235</v>
      </c>
      <c r="S73" s="158">
        <v>0.1054999977350235</v>
      </c>
      <c r="T73" s="158">
        <v>0.10559999942779541</v>
      </c>
      <c r="U73" s="158">
        <v>0.10570000112056732</v>
      </c>
      <c r="V73" s="158">
        <f t="shared" si="1"/>
        <v>0.10559999942779541</v>
      </c>
      <c r="W73" s="158">
        <v>0.1054999977350235</v>
      </c>
      <c r="X73" s="158">
        <v>0.10540000349283218</v>
      </c>
      <c r="Y73" s="158">
        <v>0.10520000010728836</v>
      </c>
      <c r="Z73" s="158">
        <v>0.10509999841451645</v>
      </c>
      <c r="AA73" s="158">
        <v>0.10490000247955322</v>
      </c>
      <c r="AB73" s="158">
        <v>0.10480000078678131</v>
      </c>
      <c r="AC73" s="158">
        <v>0.10480000078678131</v>
      </c>
      <c r="AD73" s="158">
        <v>0.10480000078678131</v>
      </c>
      <c r="AE73" s="158">
        <v>0.1046999990940094</v>
      </c>
      <c r="AF73" s="158">
        <v>0.10490000247955322</v>
      </c>
    </row>
    <row r="74" spans="1:32" x14ac:dyDescent="0.2">
      <c r="A74" s="158" t="s">
        <v>225</v>
      </c>
      <c r="B74" s="158">
        <v>0.10719999670982361</v>
      </c>
      <c r="C74" s="158">
        <v>0.10719999670982361</v>
      </c>
      <c r="D74" s="158">
        <v>0.10719999670982361</v>
      </c>
      <c r="E74" s="158">
        <v>0.10729999840259552</v>
      </c>
      <c r="F74" s="158">
        <v>0.10729999840259552</v>
      </c>
      <c r="G74" s="158">
        <v>0.10740000009536743</v>
      </c>
      <c r="H74" s="158">
        <v>0.10729999840259552</v>
      </c>
      <c r="I74" s="158">
        <v>0.10729999840259552</v>
      </c>
      <c r="J74" s="158">
        <v>0.10719999670982361</v>
      </c>
      <c r="K74" s="158">
        <v>0.10719999670982361</v>
      </c>
      <c r="L74" s="158">
        <v>0.10719999670982361</v>
      </c>
      <c r="M74" s="158">
        <v>0.10729999840259552</v>
      </c>
      <c r="N74" s="158">
        <v>0.10689999908208847</v>
      </c>
      <c r="O74" s="158">
        <v>0.10679999738931656</v>
      </c>
      <c r="P74" s="158">
        <v>0.10660000145435333</v>
      </c>
      <c r="Q74" s="158">
        <v>0.10660000145435333</v>
      </c>
      <c r="R74" s="158">
        <v>0.10660000145435333</v>
      </c>
      <c r="S74" s="158">
        <v>0.10670000314712524</v>
      </c>
      <c r="T74" s="158">
        <v>0.10679999738931656</v>
      </c>
      <c r="U74" s="158">
        <v>0.10689999908208847</v>
      </c>
      <c r="V74" s="158">
        <f t="shared" si="1"/>
        <v>0.10684999823570251</v>
      </c>
      <c r="W74" s="158">
        <v>0.10679999738931656</v>
      </c>
      <c r="X74" s="158">
        <v>0.10679999738931656</v>
      </c>
      <c r="Y74" s="158">
        <v>0.10649999976158142</v>
      </c>
      <c r="Z74" s="158">
        <v>0.1062999963760376</v>
      </c>
      <c r="AA74" s="158">
        <v>0.10620000213384628</v>
      </c>
      <c r="AB74" s="158">
        <v>0.10610000044107437</v>
      </c>
      <c r="AC74" s="158">
        <v>0.10610000044107437</v>
      </c>
      <c r="AD74" s="158">
        <v>0.10610000044107437</v>
      </c>
      <c r="AE74" s="158">
        <v>0.10610000044107437</v>
      </c>
      <c r="AF74" s="158">
        <v>0.10620000213384628</v>
      </c>
    </row>
    <row r="75" spans="1:32" x14ac:dyDescent="0.2">
      <c r="A75" s="158" t="s">
        <v>226</v>
      </c>
      <c r="B75" s="158">
        <v>0.10740000009536743</v>
      </c>
      <c r="C75" s="158">
        <v>0.10710000246763229</v>
      </c>
      <c r="D75" s="158">
        <v>0.10710000246763229</v>
      </c>
      <c r="E75" s="158">
        <v>0.10700000077486038</v>
      </c>
      <c r="F75" s="158">
        <v>0.10689999908208847</v>
      </c>
      <c r="G75" s="158">
        <v>0.10719999670982361</v>
      </c>
      <c r="H75" s="158">
        <v>0.10679999738931656</v>
      </c>
      <c r="I75" s="158">
        <v>0.10670000314712524</v>
      </c>
      <c r="J75" s="158">
        <v>0.10670000314712524</v>
      </c>
      <c r="K75" s="158">
        <v>0.10670000314712524</v>
      </c>
      <c r="L75" s="158">
        <v>0.10670000314712524</v>
      </c>
      <c r="M75" s="158">
        <v>0.10649999976158142</v>
      </c>
      <c r="N75" s="158">
        <v>0.10639999806880951</v>
      </c>
      <c r="O75" s="158">
        <v>0.10620000213384628</v>
      </c>
      <c r="P75" s="158">
        <v>0.10599999874830246</v>
      </c>
      <c r="Q75" s="158">
        <v>0.10599999874830246</v>
      </c>
      <c r="R75" s="158">
        <v>0.10599999874830246</v>
      </c>
      <c r="S75" s="158">
        <v>0.10599999874830246</v>
      </c>
      <c r="T75" s="158">
        <v>0.10610000044107437</v>
      </c>
      <c r="U75" s="158">
        <v>0.10620000213384628</v>
      </c>
      <c r="V75" s="158">
        <f t="shared" si="1"/>
        <v>0.10615000128746033</v>
      </c>
      <c r="W75" s="158">
        <v>0.10610000044107437</v>
      </c>
      <c r="X75" s="158">
        <v>0.10599999874830246</v>
      </c>
      <c r="Y75" s="158">
        <v>0.10570000112056732</v>
      </c>
      <c r="Z75" s="158">
        <v>0.1054999977350235</v>
      </c>
      <c r="AA75" s="158">
        <v>0.10540000349283218</v>
      </c>
      <c r="AB75" s="158">
        <v>0.10540000349283218</v>
      </c>
      <c r="AC75" s="158">
        <v>0.10530000180006027</v>
      </c>
      <c r="AD75" s="158">
        <v>0.10540000349283218</v>
      </c>
      <c r="AE75" s="158">
        <v>0.10530000180006027</v>
      </c>
      <c r="AF75" s="158">
        <v>0.1054999977350235</v>
      </c>
    </row>
    <row r="76" spans="1:32" x14ac:dyDescent="0.2">
      <c r="A76" s="158" t="s">
        <v>227</v>
      </c>
      <c r="B76" s="158">
        <v>0.10859999805688858</v>
      </c>
      <c r="C76" s="158">
        <v>0.10819999873638153</v>
      </c>
      <c r="D76" s="158">
        <v>0.10809999704360962</v>
      </c>
      <c r="E76" s="158">
        <v>0.10819999873638153</v>
      </c>
      <c r="F76" s="158">
        <v>0.10809999704360962</v>
      </c>
      <c r="G76" s="158">
        <v>0.10819999873638153</v>
      </c>
      <c r="H76" s="158">
        <v>0.10809999704360962</v>
      </c>
      <c r="I76" s="158">
        <v>0.1080000028014183</v>
      </c>
      <c r="J76" s="158">
        <v>0.1080000028014183</v>
      </c>
      <c r="K76" s="158">
        <v>0.1080000028014183</v>
      </c>
      <c r="L76" s="158">
        <v>0.1080000028014183</v>
      </c>
      <c r="M76" s="158">
        <v>0.10779999941587448</v>
      </c>
      <c r="N76" s="158">
        <v>0.10769999772310257</v>
      </c>
      <c r="O76" s="158">
        <v>0.10750000178813934</v>
      </c>
      <c r="P76" s="158">
        <v>0.10729999840259552</v>
      </c>
      <c r="Q76" s="158">
        <v>0.10760000348091125</v>
      </c>
      <c r="R76" s="158">
        <v>0.10729999840259552</v>
      </c>
      <c r="S76" s="158">
        <v>0.10760000348091125</v>
      </c>
      <c r="T76" s="158">
        <v>0.10760000348091125</v>
      </c>
      <c r="U76" s="158">
        <v>0.10769999772310257</v>
      </c>
      <c r="V76" s="158">
        <f t="shared" si="1"/>
        <v>0.10799999907612801</v>
      </c>
      <c r="W76" s="158">
        <v>0.10830000042915344</v>
      </c>
      <c r="X76" s="158">
        <v>0.10819999873638153</v>
      </c>
      <c r="Y76" s="158">
        <v>0.10939999669790268</v>
      </c>
      <c r="Z76" s="158">
        <v>0.10899999737739563</v>
      </c>
      <c r="AA76" s="158">
        <v>0.10920000076293945</v>
      </c>
      <c r="AB76" s="158">
        <v>0.10930000245571136</v>
      </c>
      <c r="AC76" s="158">
        <v>0.10890000313520432</v>
      </c>
      <c r="AD76" s="158">
        <v>0.10890000313520432</v>
      </c>
      <c r="AE76" s="158">
        <v>0.1088000014424324</v>
      </c>
      <c r="AF76" s="158">
        <v>0.10830000042915344</v>
      </c>
    </row>
    <row r="77" spans="1:32" x14ac:dyDescent="0.2">
      <c r="A77" s="158" t="s">
        <v>228</v>
      </c>
      <c r="B77" s="158">
        <v>0.10719999670982361</v>
      </c>
      <c r="C77" s="158">
        <v>0.10660000145435333</v>
      </c>
      <c r="D77" s="158">
        <v>0.10660000145435333</v>
      </c>
      <c r="E77" s="158">
        <v>0.10660000145435333</v>
      </c>
      <c r="F77" s="158">
        <v>0.10639999806880951</v>
      </c>
      <c r="G77" s="158">
        <v>0.10649999976158142</v>
      </c>
      <c r="H77" s="158">
        <v>0.10660000145435333</v>
      </c>
      <c r="I77" s="158">
        <v>0.10620000213384628</v>
      </c>
      <c r="J77" s="158">
        <v>0.10620000213384628</v>
      </c>
      <c r="K77" s="158">
        <v>0.10620000213384628</v>
      </c>
      <c r="L77" s="158">
        <v>0.10610000044107437</v>
      </c>
      <c r="M77" s="158">
        <v>0.10589999705553055</v>
      </c>
      <c r="N77" s="158">
        <v>0.10580000281333923</v>
      </c>
      <c r="O77" s="158">
        <v>0.1054999977350235</v>
      </c>
      <c r="P77" s="158">
        <v>0.10530000180006027</v>
      </c>
      <c r="Q77" s="158">
        <v>0.10530000180006027</v>
      </c>
      <c r="R77" s="158">
        <v>0.10530000180006027</v>
      </c>
      <c r="S77" s="158">
        <v>0.10540000349283218</v>
      </c>
      <c r="T77" s="158">
        <v>0.10570000112056732</v>
      </c>
      <c r="U77" s="158">
        <v>0.10570000112056732</v>
      </c>
      <c r="V77" s="158">
        <f t="shared" si="1"/>
        <v>0.10610000044107437</v>
      </c>
      <c r="W77" s="158">
        <v>0.10649999976158142</v>
      </c>
      <c r="X77" s="158">
        <v>0.10639999806880951</v>
      </c>
      <c r="Y77" s="158">
        <v>0.10620000213384628</v>
      </c>
      <c r="Z77" s="158">
        <v>0.10580000281333923</v>
      </c>
      <c r="AA77" s="158">
        <v>0.10570000112056732</v>
      </c>
      <c r="AB77" s="158">
        <v>0.10559999942779541</v>
      </c>
      <c r="AC77" s="158">
        <v>0.10540000349283218</v>
      </c>
      <c r="AD77" s="158">
        <v>0.1054999977350235</v>
      </c>
      <c r="AE77" s="158">
        <v>0.1054999977350235</v>
      </c>
      <c r="AF77" s="158">
        <v>0.10580000281333923</v>
      </c>
    </row>
    <row r="78" spans="1:32" x14ac:dyDescent="0.2">
      <c r="A78" s="158" t="s">
        <v>229</v>
      </c>
      <c r="B78" s="158">
        <v>0.10790000110864639</v>
      </c>
      <c r="C78" s="158">
        <v>0.10760000348091125</v>
      </c>
      <c r="D78" s="158">
        <v>0.10750000178813934</v>
      </c>
      <c r="E78" s="158">
        <v>0.10750000178813934</v>
      </c>
      <c r="F78" s="158">
        <v>0.10750000178813934</v>
      </c>
      <c r="G78" s="158">
        <v>0.10760000348091125</v>
      </c>
      <c r="H78" s="158">
        <v>0.10750000178813934</v>
      </c>
      <c r="I78" s="158">
        <v>0.10750000178813934</v>
      </c>
      <c r="J78" s="158">
        <v>0.10740000009536743</v>
      </c>
      <c r="K78" s="158">
        <v>0.10740000009536743</v>
      </c>
      <c r="L78" s="158">
        <v>0.10740000009536743</v>
      </c>
      <c r="M78" s="158">
        <v>0.10719999670982361</v>
      </c>
      <c r="N78" s="158">
        <v>0.10700000077486038</v>
      </c>
      <c r="O78" s="158">
        <v>0.10670000314712524</v>
      </c>
      <c r="P78" s="158">
        <v>0.10679999738931656</v>
      </c>
      <c r="Q78" s="158">
        <v>0.10649999976158142</v>
      </c>
      <c r="R78" s="158">
        <v>0.10660000145435333</v>
      </c>
      <c r="S78" s="158">
        <v>0.10679999738931656</v>
      </c>
      <c r="T78" s="158">
        <v>0.10700000077486038</v>
      </c>
      <c r="U78" s="158">
        <v>0.10710000246763229</v>
      </c>
      <c r="V78" s="158">
        <f t="shared" si="1"/>
        <v>0.10710000246763229</v>
      </c>
      <c r="W78" s="158">
        <v>0.10710000246763229</v>
      </c>
      <c r="X78" s="158">
        <v>0.10679999738931656</v>
      </c>
      <c r="Y78" s="158">
        <v>0.10660000145435333</v>
      </c>
      <c r="Z78" s="158">
        <v>0.1062999963760376</v>
      </c>
      <c r="AA78" s="158">
        <v>0.10620000213384628</v>
      </c>
      <c r="AB78" s="158">
        <v>0.10599999874830246</v>
      </c>
      <c r="AC78" s="158">
        <v>0.10589999705553055</v>
      </c>
      <c r="AD78" s="158">
        <v>0.10599999874830246</v>
      </c>
      <c r="AE78" s="158">
        <v>0.10599999874830246</v>
      </c>
      <c r="AF78" s="158">
        <v>0.10610000044107437</v>
      </c>
    </row>
    <row r="79" spans="1:32" x14ac:dyDescent="0.2">
      <c r="A79" s="158" t="s">
        <v>230</v>
      </c>
      <c r="B79" s="158">
        <v>0.10639999806880951</v>
      </c>
      <c r="C79" s="158">
        <v>0.10589999705553055</v>
      </c>
      <c r="D79" s="158">
        <v>0.10570000112056732</v>
      </c>
      <c r="E79" s="158">
        <v>0.10570000112056732</v>
      </c>
      <c r="F79" s="158">
        <v>0.1054999977350235</v>
      </c>
      <c r="G79" s="158">
        <v>0.10559999942779541</v>
      </c>
      <c r="H79" s="158">
        <v>0.10540000349283218</v>
      </c>
      <c r="I79" s="158">
        <v>0.10530000180006027</v>
      </c>
      <c r="J79" s="158">
        <v>0.10509999841451645</v>
      </c>
      <c r="K79" s="158">
        <v>0.10520000010728836</v>
      </c>
      <c r="L79" s="158">
        <v>0.10520000010728836</v>
      </c>
      <c r="M79" s="158">
        <v>0.10499999672174454</v>
      </c>
      <c r="N79" s="158">
        <v>0.10480000078678131</v>
      </c>
      <c r="O79" s="158">
        <v>0.10450000315904617</v>
      </c>
      <c r="P79" s="158">
        <v>0.10429999977350235</v>
      </c>
      <c r="Q79" s="158">
        <v>0.10429999977350235</v>
      </c>
      <c r="R79" s="158">
        <v>0.10429999977350235</v>
      </c>
      <c r="S79" s="158">
        <v>0.10440000146627426</v>
      </c>
      <c r="T79" s="158">
        <v>0.10459999740123749</v>
      </c>
      <c r="U79" s="158">
        <v>0.1046999990940094</v>
      </c>
      <c r="V79" s="158">
        <f t="shared" si="1"/>
        <v>0.10520000010728836</v>
      </c>
      <c r="W79" s="158">
        <v>0.10570000112056732</v>
      </c>
      <c r="X79" s="158">
        <v>0.10540000349283218</v>
      </c>
      <c r="Y79" s="158">
        <v>0.10509999841451645</v>
      </c>
      <c r="Z79" s="158">
        <v>0.10499999672174454</v>
      </c>
      <c r="AA79" s="158">
        <v>0.10480000078678131</v>
      </c>
      <c r="AB79" s="158">
        <v>0.1046999990940094</v>
      </c>
      <c r="AC79" s="158">
        <v>0.10459999740123749</v>
      </c>
      <c r="AD79" s="158">
        <v>0.10459999740123749</v>
      </c>
      <c r="AE79" s="158">
        <v>0.1046999990940094</v>
      </c>
      <c r="AF79" s="158">
        <v>0.10400000214576721</v>
      </c>
    </row>
    <row r="80" spans="1:32" x14ac:dyDescent="0.2">
      <c r="A80" s="158" t="s">
        <v>231</v>
      </c>
      <c r="B80" s="158">
        <v>0.10719999670982361</v>
      </c>
      <c r="C80" s="158">
        <v>0.10679999738931656</v>
      </c>
      <c r="D80" s="158">
        <v>0.10670000314712524</v>
      </c>
      <c r="E80" s="158">
        <v>0.10660000145435333</v>
      </c>
      <c r="F80" s="158">
        <v>0.10660000145435333</v>
      </c>
      <c r="G80" s="158">
        <v>0.10679999738931656</v>
      </c>
      <c r="H80" s="158">
        <v>0.10670000314712524</v>
      </c>
      <c r="I80" s="158">
        <v>0.10670000314712524</v>
      </c>
      <c r="J80" s="158">
        <v>0.10660000145435333</v>
      </c>
      <c r="K80" s="158">
        <v>0.10679999738931656</v>
      </c>
      <c r="L80" s="158">
        <v>0.10660000145435333</v>
      </c>
      <c r="M80" s="158">
        <v>0.10639999806880951</v>
      </c>
      <c r="N80" s="158">
        <v>0.10620000213384628</v>
      </c>
      <c r="O80" s="158">
        <v>0.10599999874830246</v>
      </c>
      <c r="P80" s="158">
        <v>0.10580000281333923</v>
      </c>
      <c r="Q80" s="158">
        <v>0.10580000281333923</v>
      </c>
      <c r="R80" s="158">
        <v>0.10580000281333923</v>
      </c>
      <c r="S80" s="158">
        <v>0.10599999874830246</v>
      </c>
      <c r="T80" s="158">
        <v>0.10620000213384628</v>
      </c>
      <c r="U80" s="158">
        <v>0.1062999963760376</v>
      </c>
      <c r="V80" s="158">
        <f t="shared" si="1"/>
        <v>0.1062999963760376</v>
      </c>
      <c r="W80" s="158">
        <v>0.1062999963760376</v>
      </c>
      <c r="X80" s="158">
        <v>0.10610000044107437</v>
      </c>
      <c r="Y80" s="158">
        <v>0.10580000281333923</v>
      </c>
      <c r="Z80" s="158">
        <v>0.10559999942779541</v>
      </c>
      <c r="AA80" s="158">
        <v>0.10540000349283218</v>
      </c>
      <c r="AB80" s="158">
        <v>0.10530000180006027</v>
      </c>
      <c r="AC80" s="158">
        <v>0.10520000010728836</v>
      </c>
      <c r="AD80" s="158">
        <v>0.10520000010728836</v>
      </c>
      <c r="AE80" s="158">
        <v>0.10530000180006027</v>
      </c>
      <c r="AF80" s="158">
        <v>0.10530000180006027</v>
      </c>
    </row>
    <row r="81" spans="1:32" x14ac:dyDescent="0.2">
      <c r="A81" s="158" t="s">
        <v>232</v>
      </c>
      <c r="B81" s="158">
        <v>0.10719999670982361</v>
      </c>
      <c r="C81" s="158">
        <v>0.10660000145435333</v>
      </c>
      <c r="D81" s="158">
        <v>0.1062999963760376</v>
      </c>
      <c r="E81" s="158">
        <v>0.1062999963760376</v>
      </c>
      <c r="F81" s="158">
        <v>0.10620000213384628</v>
      </c>
      <c r="G81" s="158">
        <v>0.1062999963760376</v>
      </c>
      <c r="H81" s="158">
        <v>0.10620000213384628</v>
      </c>
      <c r="I81" s="158">
        <v>0.10610000044107437</v>
      </c>
      <c r="J81" s="158">
        <v>0.10599999874830246</v>
      </c>
      <c r="K81" s="158">
        <v>0.10599999874830246</v>
      </c>
      <c r="L81" s="158">
        <v>0.10599999874830246</v>
      </c>
      <c r="M81" s="158">
        <v>0.10570000112056732</v>
      </c>
      <c r="N81" s="158">
        <v>0.1054999977350235</v>
      </c>
      <c r="O81" s="158">
        <v>0.10520000010728836</v>
      </c>
      <c r="P81" s="158">
        <v>0.10499999672174454</v>
      </c>
      <c r="Q81" s="158">
        <v>0.10499999672174454</v>
      </c>
      <c r="R81" s="158">
        <v>0.10499999672174454</v>
      </c>
      <c r="S81" s="158">
        <v>0.10520000010728836</v>
      </c>
      <c r="T81" s="158">
        <v>0.10540000349283218</v>
      </c>
      <c r="U81" s="158">
        <v>0.1054999977350235</v>
      </c>
      <c r="V81" s="158">
        <f t="shared" si="1"/>
        <v>0.10545000061392784</v>
      </c>
      <c r="W81" s="158">
        <v>0.10540000349283218</v>
      </c>
      <c r="X81" s="158">
        <v>0.10520000010728836</v>
      </c>
      <c r="Y81" s="158">
        <v>0.10490000247955322</v>
      </c>
      <c r="Z81" s="158">
        <v>0.10459999740123749</v>
      </c>
      <c r="AA81" s="158">
        <v>0.10440000146627426</v>
      </c>
      <c r="AB81" s="158">
        <v>0.10429999977350235</v>
      </c>
      <c r="AC81" s="158">
        <v>0.10419999808073044</v>
      </c>
      <c r="AD81" s="158">
        <v>0.10419999808073044</v>
      </c>
      <c r="AE81" s="158">
        <v>0.10419999808073044</v>
      </c>
      <c r="AF81" s="158">
        <v>0.10440000146627426</v>
      </c>
    </row>
    <row r="82" spans="1:32" x14ac:dyDescent="0.2">
      <c r="A82" s="158" t="s">
        <v>233</v>
      </c>
      <c r="B82" s="158">
        <v>0.10769999772310257</v>
      </c>
      <c r="C82" s="158">
        <v>0.10729999840259552</v>
      </c>
      <c r="D82" s="158">
        <v>0.10689999908208847</v>
      </c>
      <c r="E82" s="158">
        <v>0.10689999908208847</v>
      </c>
      <c r="F82" s="158">
        <v>0.10689999908208847</v>
      </c>
      <c r="G82" s="158">
        <v>0.10719999670982361</v>
      </c>
      <c r="H82" s="158">
        <v>0.10710000246763229</v>
      </c>
      <c r="I82" s="158">
        <v>0.10710000246763229</v>
      </c>
      <c r="J82" s="158">
        <v>0.10700000077486038</v>
      </c>
      <c r="K82" s="158">
        <v>0.10700000077486038</v>
      </c>
      <c r="L82" s="158">
        <v>0.10689999908208847</v>
      </c>
      <c r="M82" s="158">
        <v>0.10670000314712524</v>
      </c>
      <c r="N82" s="158">
        <v>0.10639999806880951</v>
      </c>
      <c r="O82" s="158">
        <v>0.10620000213384628</v>
      </c>
      <c r="P82" s="158">
        <v>0.10599999874830246</v>
      </c>
      <c r="Q82" s="158">
        <v>0.10589999705553055</v>
      </c>
      <c r="R82" s="158">
        <v>0.10599999874830246</v>
      </c>
      <c r="S82" s="158">
        <v>0.10620000213384628</v>
      </c>
      <c r="T82" s="158">
        <v>0.10670000314712524</v>
      </c>
      <c r="U82" s="158">
        <v>0.10660000145435333</v>
      </c>
      <c r="V82" s="158">
        <f t="shared" si="1"/>
        <v>0.10660000145435333</v>
      </c>
      <c r="W82" s="158">
        <v>0.10660000145435333</v>
      </c>
      <c r="X82" s="158">
        <v>0.1062999963760376</v>
      </c>
      <c r="Y82" s="158">
        <v>0.10620000213384628</v>
      </c>
      <c r="Z82" s="158">
        <v>0.10559999942779541</v>
      </c>
      <c r="AA82" s="158">
        <v>0.1054999977350235</v>
      </c>
      <c r="AB82" s="158">
        <v>0.10530000180006027</v>
      </c>
      <c r="AC82" s="158">
        <v>0.10509999841451645</v>
      </c>
      <c r="AD82" s="158">
        <v>0.10509999841451645</v>
      </c>
      <c r="AE82" s="158">
        <v>0.10520000010728836</v>
      </c>
      <c r="AF82" s="158">
        <v>0.10530000180006027</v>
      </c>
    </row>
    <row r="83" spans="1:32" x14ac:dyDescent="0.2">
      <c r="A83" s="158" t="s">
        <v>234</v>
      </c>
      <c r="B83" s="158">
        <v>0.10710000246763229</v>
      </c>
      <c r="C83" s="158">
        <v>0.10679999738931656</v>
      </c>
      <c r="D83" s="158">
        <v>0.10639999806880951</v>
      </c>
      <c r="E83" s="158">
        <v>0.10639999806880951</v>
      </c>
      <c r="F83" s="158">
        <v>0.1062999963760376</v>
      </c>
      <c r="G83" s="158">
        <v>0.10649999976158142</v>
      </c>
      <c r="H83" s="158">
        <v>0.10639999806880951</v>
      </c>
      <c r="I83" s="158">
        <v>0.1062999963760376</v>
      </c>
      <c r="J83" s="158">
        <v>0.10639999806880951</v>
      </c>
      <c r="K83" s="158">
        <v>0.10620000213384628</v>
      </c>
      <c r="L83" s="158">
        <v>0.10620000213384628</v>
      </c>
      <c r="M83" s="158">
        <v>0.10599999874830246</v>
      </c>
      <c r="N83" s="158">
        <v>0.10580000281333923</v>
      </c>
      <c r="O83" s="158">
        <v>0.1054999977350235</v>
      </c>
      <c r="P83" s="158">
        <v>0.10530000180006027</v>
      </c>
      <c r="Q83" s="158">
        <v>0.10530000180006027</v>
      </c>
      <c r="R83" s="158">
        <v>0.10540000349283218</v>
      </c>
      <c r="S83" s="158">
        <v>0.10559999942779541</v>
      </c>
      <c r="T83" s="158">
        <v>0.10580000281333923</v>
      </c>
      <c r="U83" s="158">
        <v>0.10589999705553055</v>
      </c>
      <c r="V83" s="158">
        <f t="shared" si="1"/>
        <v>0.10589999705553055</v>
      </c>
      <c r="W83" s="158">
        <v>0.10589999705553055</v>
      </c>
      <c r="X83" s="158">
        <v>0.10570000112056732</v>
      </c>
      <c r="Y83" s="158">
        <v>0.10530000180006027</v>
      </c>
      <c r="Z83" s="158">
        <v>0.10509999841451645</v>
      </c>
      <c r="AA83" s="158">
        <v>0.10520000010728836</v>
      </c>
      <c r="AB83" s="158">
        <v>0.10480000078678131</v>
      </c>
      <c r="AC83" s="158">
        <v>0.10459999740123749</v>
      </c>
      <c r="AD83" s="158">
        <v>0.1046999990940094</v>
      </c>
      <c r="AE83" s="158">
        <v>0.1046999990940094</v>
      </c>
      <c r="AF83" s="158">
        <v>0.10509999841451645</v>
      </c>
    </row>
    <row r="84" spans="1:32" x14ac:dyDescent="0.2">
      <c r="A84" s="158" t="s">
        <v>235</v>
      </c>
      <c r="B84" s="158">
        <v>0.10719999670982361</v>
      </c>
      <c r="C84" s="158">
        <v>0.10679999738931656</v>
      </c>
      <c r="D84" s="158">
        <v>0.10670000314712524</v>
      </c>
      <c r="E84" s="158">
        <v>0.10649999976158142</v>
      </c>
      <c r="F84" s="158">
        <v>0.10639999806880951</v>
      </c>
      <c r="G84" s="158">
        <v>0.10670000314712524</v>
      </c>
      <c r="H84" s="158">
        <v>0.10660000145435333</v>
      </c>
      <c r="I84" s="158">
        <v>0.10639999806880951</v>
      </c>
      <c r="J84" s="158">
        <v>0.10639999806880951</v>
      </c>
      <c r="K84" s="158">
        <v>0.10639999806880951</v>
      </c>
      <c r="L84" s="158">
        <v>0.10639999806880951</v>
      </c>
      <c r="M84" s="158">
        <v>0.10610000044107437</v>
      </c>
      <c r="N84" s="158">
        <v>0.10580000281333923</v>
      </c>
      <c r="O84" s="158">
        <v>0.10559999942779541</v>
      </c>
      <c r="P84" s="158">
        <v>0.10540000349283218</v>
      </c>
      <c r="Q84" s="158">
        <v>0.10540000349283218</v>
      </c>
      <c r="R84" s="158">
        <v>0.1054999977350235</v>
      </c>
      <c r="S84" s="158">
        <v>0.10559999942779541</v>
      </c>
      <c r="T84" s="158">
        <v>0.10589999705553055</v>
      </c>
      <c r="U84" s="158">
        <v>0.10599999874830246</v>
      </c>
      <c r="V84" s="158">
        <f t="shared" si="1"/>
        <v>0.10604999959468842</v>
      </c>
      <c r="W84" s="158">
        <v>0.10610000044107437</v>
      </c>
      <c r="X84" s="158">
        <v>0.10580000281333923</v>
      </c>
      <c r="Y84" s="158">
        <v>0.1054999977350235</v>
      </c>
      <c r="Z84" s="158">
        <v>0.10520000010728836</v>
      </c>
      <c r="AA84" s="158">
        <v>0.10499999672174454</v>
      </c>
      <c r="AB84" s="158">
        <v>0.10490000247955322</v>
      </c>
      <c r="AC84" s="158">
        <v>0.1046999990940094</v>
      </c>
      <c r="AD84" s="158">
        <v>0.10480000078678131</v>
      </c>
      <c r="AE84" s="158">
        <v>0.10480000078678131</v>
      </c>
      <c r="AF84" s="158">
        <v>0.10499999672174454</v>
      </c>
    </row>
    <row r="85" spans="1:32" x14ac:dyDescent="0.2">
      <c r="A85" s="158" t="s">
        <v>236</v>
      </c>
      <c r="B85" s="158">
        <v>0.10639999806880951</v>
      </c>
      <c r="C85" s="158">
        <v>0.10599999874830246</v>
      </c>
      <c r="D85" s="158">
        <v>0.10580000281333923</v>
      </c>
      <c r="E85" s="158">
        <v>0.10580000281333923</v>
      </c>
      <c r="F85" s="158">
        <v>0.10610000044107437</v>
      </c>
      <c r="G85" s="158">
        <v>0.10620000213384628</v>
      </c>
      <c r="H85" s="158">
        <v>0.10610000044107437</v>
      </c>
      <c r="I85" s="158">
        <v>0.10599999874830246</v>
      </c>
      <c r="J85" s="158">
        <v>0.10580000281333923</v>
      </c>
      <c r="K85" s="158">
        <v>0.10580000281333923</v>
      </c>
      <c r="L85" s="158">
        <v>0.10580000281333923</v>
      </c>
      <c r="M85" s="158">
        <v>0.10559999942779541</v>
      </c>
      <c r="N85" s="158">
        <v>0.10530000180006027</v>
      </c>
      <c r="O85" s="158">
        <v>0.10490000247955322</v>
      </c>
      <c r="P85" s="158">
        <v>0.10490000247955322</v>
      </c>
      <c r="Q85" s="158">
        <v>0.10480000078678131</v>
      </c>
      <c r="R85" s="158">
        <v>0.10480000078678131</v>
      </c>
      <c r="S85" s="158">
        <v>0.10509999841451645</v>
      </c>
      <c r="T85" s="158">
        <v>0.10530000180006027</v>
      </c>
      <c r="U85" s="158">
        <v>0.10559999942779541</v>
      </c>
      <c r="V85" s="158">
        <f t="shared" si="1"/>
        <v>0.10619999840855598</v>
      </c>
      <c r="W85" s="158">
        <v>0.10679999738931656</v>
      </c>
      <c r="X85" s="158">
        <v>0.1062999963760376</v>
      </c>
      <c r="Y85" s="158">
        <v>0.10589999705553055</v>
      </c>
      <c r="Z85" s="158">
        <v>0.10580000281333923</v>
      </c>
      <c r="AA85" s="158">
        <v>0.10570000112056732</v>
      </c>
      <c r="AB85" s="158">
        <v>0.10540000349283218</v>
      </c>
      <c r="AC85" s="158">
        <v>0.1054999977350235</v>
      </c>
      <c r="AD85" s="158">
        <v>0.10520000010728836</v>
      </c>
      <c r="AE85" s="158">
        <v>0.10540000349283218</v>
      </c>
      <c r="AF85" s="158">
        <v>0.10480000078678131</v>
      </c>
    </row>
    <row r="86" spans="1:32" x14ac:dyDescent="0.2">
      <c r="A86" s="158" t="s">
        <v>237</v>
      </c>
      <c r="B86" s="158">
        <v>0.10670000314712524</v>
      </c>
      <c r="C86" s="158">
        <v>0.1062999963760376</v>
      </c>
      <c r="D86" s="158">
        <v>0.10620000213384628</v>
      </c>
      <c r="E86" s="158">
        <v>0.10610000044107437</v>
      </c>
      <c r="F86" s="158">
        <v>0.10599999874830246</v>
      </c>
      <c r="G86" s="158">
        <v>0.1062999963760376</v>
      </c>
      <c r="H86" s="158">
        <v>0.10620000213384628</v>
      </c>
      <c r="I86" s="158">
        <v>0.10610000044107437</v>
      </c>
      <c r="J86" s="158">
        <v>0.10649999976158142</v>
      </c>
      <c r="K86" s="158">
        <v>0.10599999874830246</v>
      </c>
      <c r="L86" s="158">
        <v>0.10610000044107437</v>
      </c>
      <c r="M86" s="158">
        <v>0.10589999705553055</v>
      </c>
      <c r="N86" s="158">
        <v>0.1054999977350235</v>
      </c>
      <c r="O86" s="158">
        <v>0.10520000010728836</v>
      </c>
      <c r="P86" s="158">
        <v>0.10499999672174454</v>
      </c>
      <c r="Q86" s="158">
        <v>0.10499999672174454</v>
      </c>
      <c r="R86" s="158">
        <v>0.10509999841451645</v>
      </c>
      <c r="S86" s="158">
        <v>0.10520000010728836</v>
      </c>
      <c r="T86" s="158">
        <v>0.1054999977350235</v>
      </c>
      <c r="U86" s="158">
        <v>0.10559999942779541</v>
      </c>
      <c r="V86" s="158">
        <f t="shared" si="1"/>
        <v>0.10559999942779541</v>
      </c>
      <c r="W86" s="158">
        <v>0.10559999942779541</v>
      </c>
      <c r="X86" s="158">
        <v>0.10540000349283218</v>
      </c>
      <c r="Y86" s="158">
        <v>0.10509999841451645</v>
      </c>
      <c r="Z86" s="158">
        <v>0.10480000078678131</v>
      </c>
      <c r="AA86" s="158">
        <v>0.10459999740123749</v>
      </c>
      <c r="AB86" s="158">
        <v>0.10440000146627426</v>
      </c>
      <c r="AC86" s="158">
        <v>0.10429999977350235</v>
      </c>
      <c r="AD86" s="158">
        <v>0.10429999977350235</v>
      </c>
      <c r="AE86" s="158">
        <v>0.10440000146627426</v>
      </c>
      <c r="AF86" s="158">
        <v>0.10459999740123749</v>
      </c>
    </row>
    <row r="87" spans="1:32" x14ac:dyDescent="0.2">
      <c r="A87" s="158" t="s">
        <v>238</v>
      </c>
      <c r="B87" s="158">
        <v>0.10679999738931656</v>
      </c>
      <c r="C87" s="158">
        <v>0.10649999976158142</v>
      </c>
      <c r="D87" s="158">
        <v>0.10639999806880951</v>
      </c>
      <c r="E87" s="158">
        <v>0.1062999963760376</v>
      </c>
      <c r="F87" s="158">
        <v>0.10620000213384628</v>
      </c>
      <c r="G87" s="158">
        <v>0.10639999806880951</v>
      </c>
      <c r="H87" s="158">
        <v>0.1062999963760376</v>
      </c>
      <c r="I87" s="158">
        <v>0.10620000213384628</v>
      </c>
      <c r="J87" s="158">
        <v>0.10610000044107437</v>
      </c>
      <c r="K87" s="158">
        <v>0.10610000044107437</v>
      </c>
      <c r="L87" s="158">
        <v>0.10610000044107437</v>
      </c>
      <c r="M87" s="158">
        <v>0.10580000281333923</v>
      </c>
      <c r="N87" s="158">
        <v>0.10559999942779541</v>
      </c>
      <c r="O87" s="158">
        <v>0.1054999977350235</v>
      </c>
      <c r="P87" s="158">
        <v>0.10509999841451645</v>
      </c>
      <c r="Q87" s="158">
        <v>0.10509999841451645</v>
      </c>
      <c r="R87" s="158">
        <v>0.10520000010728836</v>
      </c>
      <c r="S87" s="158">
        <v>0.10530000180006027</v>
      </c>
      <c r="T87" s="158">
        <v>0.10559999942779541</v>
      </c>
      <c r="U87" s="158">
        <v>0.10559999942779541</v>
      </c>
      <c r="V87" s="158">
        <f t="shared" si="1"/>
        <v>0.10565000027418137</v>
      </c>
      <c r="W87" s="158">
        <v>0.10570000112056732</v>
      </c>
      <c r="X87" s="158">
        <v>0.10540000349283218</v>
      </c>
      <c r="Y87" s="158">
        <v>0.10509999841451645</v>
      </c>
      <c r="Z87" s="158">
        <v>0.10490000247955322</v>
      </c>
      <c r="AA87" s="158">
        <v>0.10459999740123749</v>
      </c>
      <c r="AB87" s="158">
        <v>0.10450000315904617</v>
      </c>
      <c r="AC87" s="158">
        <v>0.10440000146627426</v>
      </c>
      <c r="AD87" s="158">
        <v>0.10440000146627426</v>
      </c>
      <c r="AE87" s="158">
        <v>0.10440000146627426</v>
      </c>
      <c r="AF87" s="158">
        <v>0.10459999740123749</v>
      </c>
    </row>
    <row r="88" spans="1:32" x14ac:dyDescent="0.2">
      <c r="A88" s="158" t="s">
        <v>239</v>
      </c>
      <c r="B88" s="158">
        <v>0.10679999738931656</v>
      </c>
      <c r="C88" s="158">
        <v>0.1062999963760376</v>
      </c>
      <c r="D88" s="158">
        <v>0.10620000213384628</v>
      </c>
      <c r="E88" s="158">
        <v>0.10610000044107437</v>
      </c>
      <c r="F88" s="158">
        <v>0.10610000044107437</v>
      </c>
      <c r="G88" s="158">
        <v>0.10620000213384628</v>
      </c>
      <c r="H88" s="158">
        <v>0.10620000213384628</v>
      </c>
      <c r="I88" s="158">
        <v>0.10599999874830246</v>
      </c>
      <c r="J88" s="158">
        <v>0.10589999705553055</v>
      </c>
      <c r="K88" s="158">
        <v>0.10589999705553055</v>
      </c>
      <c r="L88" s="158">
        <v>0.10589999705553055</v>
      </c>
      <c r="M88" s="158">
        <v>0.10570000112056732</v>
      </c>
      <c r="N88" s="158">
        <v>0.10540000349283218</v>
      </c>
      <c r="O88" s="158">
        <v>0.10520000010728836</v>
      </c>
      <c r="P88" s="158">
        <v>0.10490000247955322</v>
      </c>
      <c r="Q88" s="158">
        <v>0.10499999672174454</v>
      </c>
      <c r="R88" s="158">
        <v>0.10499999672174454</v>
      </c>
      <c r="S88" s="158">
        <v>0.10520000010728836</v>
      </c>
      <c r="T88" s="158">
        <v>0.1054999977350235</v>
      </c>
      <c r="U88" s="158">
        <v>0.1054999977350235</v>
      </c>
      <c r="V88" s="158">
        <f t="shared" si="1"/>
        <v>0.1054999977350235</v>
      </c>
      <c r="W88" s="158">
        <v>0.1054999977350235</v>
      </c>
      <c r="X88" s="158">
        <v>0.10520000010728836</v>
      </c>
      <c r="Y88" s="158">
        <v>0.10499999672174454</v>
      </c>
      <c r="Z88" s="158">
        <v>0.1046999990940094</v>
      </c>
      <c r="AA88" s="158">
        <v>0.10450000315904617</v>
      </c>
      <c r="AB88" s="158">
        <v>0.10440000146627426</v>
      </c>
      <c r="AC88" s="158">
        <v>0.10429999977350235</v>
      </c>
      <c r="AD88" s="158">
        <v>0.10419999808073044</v>
      </c>
      <c r="AE88" s="158">
        <v>0.10429999977350235</v>
      </c>
      <c r="AF88" s="158">
        <v>0.10450000315904617</v>
      </c>
    </row>
    <row r="89" spans="1:32" x14ac:dyDescent="0.2">
      <c r="A89" s="158" t="s">
        <v>240</v>
      </c>
      <c r="B89" s="158">
        <v>0.10649999976158142</v>
      </c>
      <c r="C89" s="158">
        <v>0.10610000044107437</v>
      </c>
      <c r="D89" s="158">
        <v>0.10589999705553055</v>
      </c>
      <c r="E89" s="158">
        <v>0.10589999705553055</v>
      </c>
      <c r="F89" s="158">
        <v>0.10589999705553055</v>
      </c>
      <c r="G89" s="158">
        <v>0.10599999874830246</v>
      </c>
      <c r="H89" s="158">
        <v>0.10620000213384628</v>
      </c>
      <c r="I89" s="158">
        <v>0.10570000112056732</v>
      </c>
      <c r="J89" s="158">
        <v>0.10570000112056732</v>
      </c>
      <c r="K89" s="158">
        <v>0.10559999942779541</v>
      </c>
      <c r="L89" s="158">
        <v>0.10570000112056732</v>
      </c>
      <c r="M89" s="158">
        <v>0.10540000349283218</v>
      </c>
      <c r="N89" s="158">
        <v>0.10520000010728836</v>
      </c>
      <c r="O89" s="158">
        <v>0.10490000247955322</v>
      </c>
      <c r="P89" s="158">
        <v>0.1046999990940094</v>
      </c>
      <c r="Q89" s="158">
        <v>0.1046999990940094</v>
      </c>
      <c r="R89" s="158">
        <v>0.1046999990940094</v>
      </c>
      <c r="S89" s="158">
        <v>0.10509999841451645</v>
      </c>
      <c r="T89" s="158">
        <v>0.10520000010728836</v>
      </c>
      <c r="U89" s="158">
        <v>0.10530000180006027</v>
      </c>
      <c r="V89" s="158">
        <f t="shared" si="1"/>
        <v>0.10530000180006027</v>
      </c>
      <c r="W89" s="158">
        <v>0.10530000180006027</v>
      </c>
      <c r="X89" s="158">
        <v>0.10499999672174454</v>
      </c>
      <c r="Y89" s="158">
        <v>0.10480000078678131</v>
      </c>
      <c r="Z89" s="158">
        <v>0.10450000315904617</v>
      </c>
      <c r="AA89" s="158">
        <v>0.10419999808073044</v>
      </c>
      <c r="AB89" s="158">
        <v>0.10409999638795853</v>
      </c>
      <c r="AC89" s="158">
        <v>0.10400000214576721</v>
      </c>
      <c r="AD89" s="158">
        <v>0.10400000214576721</v>
      </c>
      <c r="AE89" s="158">
        <v>0.10409999638795853</v>
      </c>
      <c r="AF89" s="158">
        <v>0.10419999808073044</v>
      </c>
    </row>
    <row r="90" spans="1:32" x14ac:dyDescent="0.2">
      <c r="A90" s="158" t="s">
        <v>241</v>
      </c>
      <c r="B90" s="158">
        <v>0.10740000009536743</v>
      </c>
      <c r="C90" s="158">
        <v>0.10700000077486038</v>
      </c>
      <c r="D90" s="158">
        <v>0.10700000077486038</v>
      </c>
      <c r="E90" s="158">
        <v>0.10670000314712524</v>
      </c>
      <c r="F90" s="158">
        <v>0.10660000145435333</v>
      </c>
      <c r="G90" s="158">
        <v>0.10689999908208847</v>
      </c>
      <c r="H90" s="158">
        <v>0.10670000314712524</v>
      </c>
      <c r="I90" s="158">
        <v>0.10660000145435333</v>
      </c>
      <c r="J90" s="158">
        <v>0.10649999976158142</v>
      </c>
      <c r="K90" s="158">
        <v>0.10649999976158142</v>
      </c>
      <c r="L90" s="158">
        <v>0.10679999738931656</v>
      </c>
      <c r="M90" s="158">
        <v>0.1062999963760376</v>
      </c>
      <c r="N90" s="158">
        <v>0.10599999874830246</v>
      </c>
      <c r="O90" s="158">
        <v>0.10580000281333923</v>
      </c>
      <c r="P90" s="158">
        <v>0.1054999977350235</v>
      </c>
      <c r="Q90" s="158">
        <v>0.1054999977350235</v>
      </c>
      <c r="R90" s="158">
        <v>0.10559999942779541</v>
      </c>
      <c r="S90" s="158">
        <v>0.10570000112056732</v>
      </c>
      <c r="T90" s="158">
        <v>0.10599999874830246</v>
      </c>
      <c r="U90" s="158">
        <v>0.10610000044107437</v>
      </c>
      <c r="V90" s="158">
        <f t="shared" si="1"/>
        <v>0.10610000044107437</v>
      </c>
      <c r="W90" s="158">
        <v>0.10610000044107437</v>
      </c>
      <c r="X90" s="158">
        <v>0.10580000281333923</v>
      </c>
      <c r="Y90" s="158">
        <v>0.1054999977350235</v>
      </c>
      <c r="Z90" s="158">
        <v>0.10530000180006027</v>
      </c>
      <c r="AA90" s="158">
        <v>0.10499999672174454</v>
      </c>
      <c r="AB90" s="158">
        <v>0.10490000247955322</v>
      </c>
      <c r="AC90" s="158">
        <v>0.10480000078678131</v>
      </c>
      <c r="AD90" s="158">
        <v>0.10490000247955322</v>
      </c>
      <c r="AE90" s="158">
        <v>0.10480000078678131</v>
      </c>
      <c r="AF90" s="158">
        <v>0.10499999672174454</v>
      </c>
    </row>
    <row r="91" spans="1:32" x14ac:dyDescent="0.2">
      <c r="A91" s="158" t="s">
        <v>242</v>
      </c>
      <c r="B91" s="158">
        <v>0.10719999670982361</v>
      </c>
      <c r="C91" s="158">
        <v>0.10660000145435333</v>
      </c>
      <c r="D91" s="158">
        <v>0.10639999806880951</v>
      </c>
      <c r="E91" s="158">
        <v>0.10639999806880951</v>
      </c>
      <c r="F91" s="158">
        <v>0.10620000213384628</v>
      </c>
      <c r="G91" s="158">
        <v>0.10639999806880951</v>
      </c>
      <c r="H91" s="158">
        <v>0.10620000213384628</v>
      </c>
      <c r="I91" s="158">
        <v>0.10610000044107437</v>
      </c>
      <c r="J91" s="158">
        <v>0.10599999874830246</v>
      </c>
      <c r="K91" s="158">
        <v>0.10610000044107437</v>
      </c>
      <c r="L91" s="158">
        <v>0.10599999874830246</v>
      </c>
      <c r="M91" s="158">
        <v>0.10580000281333923</v>
      </c>
      <c r="N91" s="158">
        <v>0.1054999977350235</v>
      </c>
      <c r="O91" s="158">
        <v>0.10540000349283218</v>
      </c>
      <c r="P91" s="158">
        <v>0.10499999672174454</v>
      </c>
      <c r="Q91" s="158">
        <v>0.10509999841451645</v>
      </c>
      <c r="R91" s="158">
        <v>0.10509999841451645</v>
      </c>
      <c r="S91" s="158">
        <v>0.10520000010728836</v>
      </c>
      <c r="T91" s="158">
        <v>0.1054999977350235</v>
      </c>
      <c r="U91" s="158">
        <v>0.10559999942779541</v>
      </c>
      <c r="V91" s="158">
        <f t="shared" si="1"/>
        <v>0.10559999942779541</v>
      </c>
      <c r="W91" s="158">
        <v>0.10559999942779541</v>
      </c>
      <c r="X91" s="158">
        <v>0.10540000349283218</v>
      </c>
      <c r="Y91" s="158">
        <v>0.10509999841451645</v>
      </c>
      <c r="Z91" s="158">
        <v>0.10490000247955322</v>
      </c>
      <c r="AA91" s="158">
        <v>0.10459999740123749</v>
      </c>
      <c r="AB91" s="158">
        <v>0.10440000146627426</v>
      </c>
      <c r="AC91" s="158">
        <v>0.10440000146627426</v>
      </c>
      <c r="AD91" s="158">
        <v>0.10440000146627426</v>
      </c>
      <c r="AE91" s="158">
        <v>0.10440000146627426</v>
      </c>
      <c r="AF91" s="158">
        <v>0.10459999740123749</v>
      </c>
    </row>
    <row r="92" spans="1:32" x14ac:dyDescent="0.2">
      <c r="A92" s="158" t="s">
        <v>243</v>
      </c>
      <c r="B92" s="158">
        <v>0.10740000009536743</v>
      </c>
      <c r="C92" s="158">
        <v>0.10679999738931656</v>
      </c>
      <c r="D92" s="158">
        <v>0.10660000145435333</v>
      </c>
      <c r="E92" s="158">
        <v>0.10639999806880951</v>
      </c>
      <c r="F92" s="158">
        <v>0.1062999963760376</v>
      </c>
      <c r="G92" s="158">
        <v>0.10649999976158142</v>
      </c>
      <c r="H92" s="158">
        <v>0.1062999963760376</v>
      </c>
      <c r="I92" s="158">
        <v>0.10620000213384628</v>
      </c>
      <c r="J92" s="158">
        <v>0.10610000044107437</v>
      </c>
      <c r="K92" s="158">
        <v>0.10610000044107437</v>
      </c>
      <c r="L92" s="158">
        <v>0.10599999874830246</v>
      </c>
      <c r="M92" s="158">
        <v>0.10580000281333923</v>
      </c>
      <c r="N92" s="158">
        <v>0.1054999977350235</v>
      </c>
      <c r="O92" s="158">
        <v>0.10530000180006027</v>
      </c>
      <c r="P92" s="158">
        <v>0.10499999672174454</v>
      </c>
      <c r="Q92" s="158">
        <v>0.10499999672174454</v>
      </c>
      <c r="R92" s="158">
        <v>0.10509999841451645</v>
      </c>
      <c r="S92" s="158">
        <v>0.10520000010728836</v>
      </c>
      <c r="T92" s="158">
        <v>0.1054999977350235</v>
      </c>
      <c r="U92" s="158">
        <v>0.10559999942779541</v>
      </c>
      <c r="V92" s="158">
        <f t="shared" si="1"/>
        <v>0.10559999942779541</v>
      </c>
      <c r="W92" s="158">
        <v>0.10559999942779541</v>
      </c>
      <c r="X92" s="158">
        <v>0.10530000180006027</v>
      </c>
      <c r="Y92" s="158">
        <v>0.10509999841451645</v>
      </c>
      <c r="Z92" s="158">
        <v>0.10480000078678131</v>
      </c>
      <c r="AA92" s="158">
        <v>0.10450000315904617</v>
      </c>
      <c r="AB92" s="158">
        <v>0.10440000146627426</v>
      </c>
      <c r="AC92" s="158">
        <v>0.10429999977350235</v>
      </c>
      <c r="AD92" s="158">
        <v>0.10429999977350235</v>
      </c>
      <c r="AE92" s="158">
        <v>0.10429999977350235</v>
      </c>
      <c r="AF92" s="158">
        <v>0.10450000315904617</v>
      </c>
    </row>
    <row r="93" spans="1:32" x14ac:dyDescent="0.2">
      <c r="A93" s="158" t="s">
        <v>244</v>
      </c>
      <c r="B93" s="158">
        <v>0.10750000178813934</v>
      </c>
      <c r="C93" s="158">
        <v>0.10639999806880951</v>
      </c>
      <c r="D93" s="158">
        <v>0.10639999806880951</v>
      </c>
      <c r="E93" s="158">
        <v>0.10670000314712524</v>
      </c>
      <c r="F93" s="158">
        <v>0.10639999806880951</v>
      </c>
      <c r="G93" s="158">
        <v>0.10660000145435333</v>
      </c>
      <c r="H93" s="158">
        <v>0.1062999963760376</v>
      </c>
      <c r="I93" s="158">
        <v>0.10620000213384628</v>
      </c>
      <c r="J93" s="158">
        <v>0.10599999874830246</v>
      </c>
      <c r="K93" s="158">
        <v>0.10599999874830246</v>
      </c>
      <c r="L93" s="158">
        <v>0.10599999874830246</v>
      </c>
      <c r="M93" s="158">
        <v>0.10570000112056732</v>
      </c>
      <c r="N93" s="158">
        <v>0.1054999977350235</v>
      </c>
      <c r="O93" s="158">
        <v>0.10530000180006027</v>
      </c>
      <c r="P93" s="158">
        <v>0.10490000247955322</v>
      </c>
      <c r="Q93" s="158">
        <v>0.10490000247955322</v>
      </c>
      <c r="R93" s="158">
        <v>0.10499999672174454</v>
      </c>
      <c r="S93" s="158">
        <v>0.10509999841451645</v>
      </c>
      <c r="T93" s="158">
        <v>0.10530000180006027</v>
      </c>
      <c r="U93" s="158">
        <v>0.10530000180006027</v>
      </c>
      <c r="V93" s="158">
        <f t="shared" si="1"/>
        <v>0.10530000180006027</v>
      </c>
      <c r="W93" s="158">
        <v>0.10530000180006027</v>
      </c>
      <c r="X93" s="158">
        <v>0.10499999672174454</v>
      </c>
      <c r="Y93" s="158">
        <v>0.1046999990940094</v>
      </c>
      <c r="Z93" s="158">
        <v>0.10450000315904617</v>
      </c>
      <c r="AA93" s="158">
        <v>0.10419999808073044</v>
      </c>
      <c r="AB93" s="158">
        <v>0.10400000214576721</v>
      </c>
      <c r="AC93" s="158">
        <v>0.10400000214576721</v>
      </c>
      <c r="AD93" s="158">
        <v>0.10409999638795853</v>
      </c>
      <c r="AE93" s="158">
        <v>0.1039000004529953</v>
      </c>
      <c r="AF93" s="158">
        <v>0.10350000113248825</v>
      </c>
    </row>
    <row r="94" spans="1:32" x14ac:dyDescent="0.2">
      <c r="A94" s="156" t="s">
        <v>296</v>
      </c>
      <c r="B94" s="156">
        <f>$B$55-AVERAGE($B$58)</f>
        <v>6.000027060508728E-4</v>
      </c>
      <c r="C94" s="156">
        <f>$C$55-AVERAGE($C$58)</f>
        <v>6.000027060508728E-4</v>
      </c>
      <c r="D94" s="156">
        <f>$D$55-AVERAGE($D$58)</f>
        <v>7.0000439882278442E-4</v>
      </c>
      <c r="E94" s="156">
        <f>$E$55-AVERAGE($E$58)</f>
        <v>1.0999962687492371E-3</v>
      </c>
      <c r="F94" s="156">
        <f>$F$55-AVERAGE($F$58)</f>
        <v>1.6000047326087952E-3</v>
      </c>
      <c r="G94" s="156">
        <f>$G$55-AVERAGE($G$58)</f>
        <v>2.6999935507774353E-3</v>
      </c>
      <c r="H94" s="156">
        <f>$H$55-AVERAGE($H$58)</f>
        <v>3.6999955773353577E-3</v>
      </c>
      <c r="I94" s="156">
        <f>$I$55-AVERAGE($I$58)</f>
        <v>5.9000030159950256E-3</v>
      </c>
      <c r="J94" s="156">
        <f>$J$55-AVERAGE($J$58)</f>
        <v>9.5999985933303833E-3</v>
      </c>
      <c r="K94" s="156">
        <f>$K$55-AVERAGE($K$58)</f>
        <v>1.5600003302097321E-2</v>
      </c>
      <c r="L94" s="156">
        <f>$L$55-AVERAGE($L$58)</f>
        <v>2.5500006973743439E-2</v>
      </c>
      <c r="M94" s="156">
        <f>$M$55-AVERAGE($M$58)</f>
        <v>3.9800010621547699E-2</v>
      </c>
      <c r="N94" s="156">
        <f>$N$55-AVERAGE($N$58)</f>
        <v>5.9799998998641968E-2</v>
      </c>
      <c r="O94" s="156">
        <f>$O$55-AVERAGE($O$58)</f>
        <v>8.529999852180481E-2</v>
      </c>
      <c r="P94" s="156">
        <f>$P$55-AVERAGE($P$58)</f>
        <v>0.11630000174045563</v>
      </c>
      <c r="Q94" s="156">
        <f>$Q$55-AVERAGE($Q$58)</f>
        <v>0.15270000696182251</v>
      </c>
      <c r="R94" s="156">
        <f>$R$55-AVERAGE($R$58)</f>
        <v>0.19539998471736908</v>
      </c>
      <c r="S94" s="156">
        <f>$S$55-AVERAGE($S$58)</f>
        <v>0.24149998277425766</v>
      </c>
      <c r="T94" s="156">
        <f>$T$55-AVERAGE($T$58)</f>
        <v>0.28350000828504562</v>
      </c>
      <c r="U94" s="156">
        <f>$U$55-AVERAGE($U$58)</f>
        <v>0.31949999928474426</v>
      </c>
      <c r="V94" s="156">
        <f>$V$55-AVERAGE($V$58)</f>
        <v>0.33555000647902489</v>
      </c>
      <c r="W94" s="156">
        <f>$W$55-AVERAGE($W$58)</f>
        <v>0.35160001367330551</v>
      </c>
      <c r="X94" s="156">
        <f>$X$55-AVERAGE($X$58)</f>
        <v>0.35940001159906387</v>
      </c>
      <c r="Y94" s="156">
        <f>$Y$55-AVERAGE($Y$58)</f>
        <v>0.36319999396800995</v>
      </c>
      <c r="Z94" s="156">
        <f>$Z$55-AVERAGE($Z$58)</f>
        <v>0.36409999430179596</v>
      </c>
      <c r="AA94" s="156">
        <f>$AA$55-AVERAGE($AA$58)</f>
        <v>0.36800000071525574</v>
      </c>
      <c r="AB94" s="156">
        <f>$AB$55-AVERAGE($AB$58)</f>
        <v>0.37209999561309814</v>
      </c>
      <c r="AC94" s="156">
        <f>$AC$55-AVERAGE($AC$58)</f>
        <v>0.37759999930858612</v>
      </c>
      <c r="AD94" s="156">
        <f>$AD$55-AVERAGE($AD$58)</f>
        <v>0.38610000908374786</v>
      </c>
      <c r="AE94" s="156">
        <f>$AE$55-AVERAGE($AE$58)</f>
        <v>0.39839997887611389</v>
      </c>
      <c r="AF94" s="156">
        <f>$AF$55-AVERAGE($AF$58)</f>
        <v>0.41300001740455627</v>
      </c>
    </row>
    <row r="95" spans="1:32" x14ac:dyDescent="0.2">
      <c r="A95" s="157" t="s">
        <v>297</v>
      </c>
      <c r="B95" s="157">
        <f>$B$56-AVERAGE($B$58)</f>
        <v>9.0000033378601074E-4</v>
      </c>
      <c r="C95" s="157">
        <f>$C$56-AVERAGE($C$58)</f>
        <v>1.0000020265579224E-3</v>
      </c>
      <c r="D95" s="157">
        <f>$D$56-AVERAGE($D$58)</f>
        <v>1.1999979615211487E-3</v>
      </c>
      <c r="E95" s="157">
        <f>$E$56-AVERAGE($E$58)</f>
        <v>1.6999989748001099E-3</v>
      </c>
      <c r="F95" s="157">
        <f>$F$56-AVERAGE($F$58)</f>
        <v>2.3000016808509827E-3</v>
      </c>
      <c r="G95" s="157">
        <f>$G$56-AVERAGE($G$58)</f>
        <v>3.4999996423721313E-3</v>
      </c>
      <c r="H95" s="157">
        <f>$H$56-AVERAGE($H$58)</f>
        <v>5.4000020027160645E-3</v>
      </c>
      <c r="I95" s="157">
        <f>$I$56-AVERAGE($I$58)</f>
        <v>8.7999999523162842E-3</v>
      </c>
      <c r="J95" s="157">
        <f>$J$56-AVERAGE($J$58)</f>
        <v>1.3800002634525299E-2</v>
      </c>
      <c r="K95" s="157">
        <f>$K$56-AVERAGE($K$58)</f>
        <v>2.2100009024143219E-2</v>
      </c>
      <c r="L95" s="157">
        <f>$L$56-AVERAGE($L$58)</f>
        <v>3.500000387430191E-2</v>
      </c>
      <c r="M95" s="157">
        <f>$M$56-AVERAGE($M$58)</f>
        <v>5.2900008857250214E-2</v>
      </c>
      <c r="N95" s="157">
        <f>$N$56-AVERAGE($N$58)</f>
        <v>7.7500000596046448E-2</v>
      </c>
      <c r="O95" s="157">
        <f>$O$56-AVERAGE($O$58)</f>
        <v>0.10639999806880951</v>
      </c>
      <c r="P95" s="157">
        <f>$P$56-AVERAGE($P$58)</f>
        <v>0.1413000077009201</v>
      </c>
      <c r="Q95" s="157">
        <f>$Q$56-AVERAGE($Q$58)</f>
        <v>0.18169999122619629</v>
      </c>
      <c r="R95" s="157">
        <f>$R$56-AVERAGE($R$58)</f>
        <v>0.22689999639987946</v>
      </c>
      <c r="S95" s="157">
        <f>$S$56-AVERAGE($S$58)</f>
        <v>0.27149998396635056</v>
      </c>
      <c r="T95" s="157">
        <f>$T$56-AVERAGE($T$58)</f>
        <v>0.30770000070333481</v>
      </c>
      <c r="U95" s="157">
        <f>$U$56-AVERAGE($U$58)</f>
        <v>0.33950001001358032</v>
      </c>
      <c r="V95" s="157">
        <f>$V$56-AVERAGE($V$58)</f>
        <v>0.34770001098513603</v>
      </c>
      <c r="W95" s="157">
        <f>$W$56-AVERAGE($W$58)</f>
        <v>0.35590001195669174</v>
      </c>
      <c r="X95" s="157">
        <f>$X$56-AVERAGE($X$58)</f>
        <v>0.3603999987244606</v>
      </c>
      <c r="Y95" s="157">
        <f>$Y$56-AVERAGE($Y$58)</f>
        <v>0.36060000956058502</v>
      </c>
      <c r="Z95" s="157">
        <f>$Z$56-AVERAGE($Z$58)</f>
        <v>0.36369998753070831</v>
      </c>
      <c r="AA95" s="157">
        <f>$AA$56-AVERAGE($AA$58)</f>
        <v>0.3668999969959259</v>
      </c>
      <c r="AB95" s="157">
        <f>$AB$56-AVERAGE($AB$58)</f>
        <v>0.37200000882148743</v>
      </c>
      <c r="AC95" s="157">
        <f>$AC$56-AVERAGE($AC$58)</f>
        <v>0.38030000030994415</v>
      </c>
      <c r="AD95" s="157">
        <f>$AD$56-AVERAGE($AD$58)</f>
        <v>0.39060001075267792</v>
      </c>
      <c r="AE95" s="157">
        <f>$AE$56-AVERAGE($AE$58)</f>
        <v>0.4041999876499176</v>
      </c>
      <c r="AF95" s="157">
        <f>$AF$56-AVERAGE($AF$58)</f>
        <v>0.41899999976158142</v>
      </c>
    </row>
    <row r="96" spans="1:32" x14ac:dyDescent="0.2">
      <c r="A96" s="168" t="s">
        <v>298</v>
      </c>
      <c r="B96" s="168">
        <f>$B$57-AVERAGE($B$58)</f>
        <v>9.0000033378601074E-4</v>
      </c>
      <c r="C96" s="168">
        <f>$C$57-AVERAGE($C$58)</f>
        <v>1.0000020265579224E-3</v>
      </c>
      <c r="D96" s="168">
        <f>$D$57-AVERAGE($D$58)</f>
        <v>1.2999996542930603E-3</v>
      </c>
      <c r="E96" s="168">
        <f>$E$57-AVERAGE($E$58)</f>
        <v>1.6999989748001099E-3</v>
      </c>
      <c r="F96" s="168">
        <f>$F$57-AVERAGE($F$58)</f>
        <v>2.5000050663948059E-3</v>
      </c>
      <c r="G96" s="168">
        <f>$G$57-AVERAGE($G$58)</f>
        <v>4.0999948978424072E-3</v>
      </c>
      <c r="H96" s="168">
        <f>$H$57-AVERAGE($H$58)</f>
        <v>6.2000006437301636E-3</v>
      </c>
      <c r="I96" s="168">
        <f>$I$57-AVERAGE($I$58)</f>
        <v>9.9999979138374329E-3</v>
      </c>
      <c r="J96" s="168">
        <f>$J$57-AVERAGE($J$58)</f>
        <v>1.640000194311142E-2</v>
      </c>
      <c r="K96" s="168">
        <f>$K$57-AVERAGE($K$58)</f>
        <v>2.6599995791912079E-2</v>
      </c>
      <c r="L96" s="168">
        <f>$L$57-AVERAGE($L$58)</f>
        <v>4.1400007903575897E-2</v>
      </c>
      <c r="M96" s="168">
        <f>$M$57-AVERAGE($M$58)</f>
        <v>6.2300004065036774E-2</v>
      </c>
      <c r="N96" s="168">
        <f>$N$57-AVERAGE($N$58)</f>
        <v>8.9200004935264587E-2</v>
      </c>
      <c r="O96" s="168">
        <f>$O$57-AVERAGE($O$58)</f>
        <v>0.12109999358654022</v>
      </c>
      <c r="P96" s="168">
        <f>$P$57-AVERAGE($P$58)</f>
        <v>0.15860000252723694</v>
      </c>
      <c r="Q96" s="168">
        <f>$Q$57-AVERAGE($Q$58)</f>
        <v>0.20109999179840088</v>
      </c>
      <c r="R96" s="168">
        <f>$R$57-AVERAGE($R$58)</f>
        <v>0.24650000035762787</v>
      </c>
      <c r="S96" s="168">
        <f>$S$57-AVERAGE($S$58)</f>
        <v>0.28719999641180038</v>
      </c>
      <c r="T96" s="168">
        <f>$T$57-AVERAGE($T$58)</f>
        <v>0.32149999588727951</v>
      </c>
      <c r="U96" s="168">
        <f>$U$57-AVERAGE($U$58)</f>
        <v>0.34860000014305115</v>
      </c>
      <c r="V96" s="168">
        <f>$V$57-AVERAGE($V$58)</f>
        <v>0.35399999842047691</v>
      </c>
      <c r="W96" s="168">
        <f>$W$57-AVERAGE($W$58)</f>
        <v>0.35939999669790268</v>
      </c>
      <c r="X96" s="168">
        <f>$X$57-AVERAGE($X$58)</f>
        <v>0.36219999939203262</v>
      </c>
      <c r="Y96" s="168">
        <f>$Y$57-AVERAGE($Y$58)</f>
        <v>0.36249999701976776</v>
      </c>
      <c r="Z96" s="168">
        <f>$Z$57-AVERAGE($Z$58)</f>
        <v>0.36479999125003815</v>
      </c>
      <c r="AA96" s="168">
        <f>$AA$57-AVERAGE($AA$58)</f>
        <v>0.36939999461174011</v>
      </c>
      <c r="AB96" s="168">
        <f>$AB$57-AVERAGE($AB$58)</f>
        <v>0.37369999289512634</v>
      </c>
      <c r="AC96" s="168">
        <f>$AC$57-AVERAGE($AC$58)</f>
        <v>0.38189999759197235</v>
      </c>
      <c r="AD96" s="168">
        <f>$AD$57-AVERAGE($AD$58)</f>
        <v>0.3929000049829483</v>
      </c>
      <c r="AE96" s="168">
        <f>$AE$57-AVERAGE($AE$58)</f>
        <v>0.40790000557899475</v>
      </c>
      <c r="AF96" s="168">
        <f>$AF$57-AVERAGE($AF$58)</f>
        <v>0.41999998688697815</v>
      </c>
    </row>
    <row r="97" spans="1:32" x14ac:dyDescent="0.2">
      <c r="A97" t="s">
        <v>299</v>
      </c>
      <c r="H97">
        <f>INDEX(LOGEST($B$94:$H$94,$B$54:$H$54,TRUE,TRUE), 3)</f>
        <v>0.94571842392010796</v>
      </c>
      <c r="I97">
        <f>INDEX(LOGEST($B$94:$I$94,$B$54:$I$54,TRUE,TRUE), 3)</f>
        <v>0.96123964114589056</v>
      </c>
      <c r="J97">
        <f>INDEX(LOGEST($B$94:$J$94,$B$54:$J$54,TRUE,TRUE), 3)</f>
        <v>0.96978856658889412</v>
      </c>
      <c r="K97">
        <f>INDEX(LOGEST($B$94:$K$94,$B$54:$K$54,TRUE,TRUE), 3)</f>
        <v>0.97540248149348097</v>
      </c>
      <c r="L97">
        <f>INDEX(LOGEST($B$94:$L$94,$B$54:$L$54,TRUE,TRUE), 3)</f>
        <v>0.97941060903892974</v>
      </c>
      <c r="M97">
        <f>INDEX(LOGEST($B$94:$M$94,$B$54:$M$54,TRUE,TRUE), 3)</f>
        <v>0.98306336036660902</v>
      </c>
      <c r="N97">
        <f>INDEX(LOGEST($B$94:$N$94,$B$54:$N$54,TRUE,TRUE), 3)</f>
        <v>0.98632663349567973</v>
      </c>
      <c r="O97">
        <f>INDEX(LOGEST($B$94:$O$94,$B$54:$O$54,TRUE,TRUE), 3)</f>
        <v>0.98904802548664938</v>
      </c>
      <c r="P97">
        <f>INDEX(LOGEST($B$94:$P$94,$B$54:$P$54,TRUE,TRUE), 3)</f>
        <v>0.99097523702009505</v>
      </c>
      <c r="Q97">
        <f>INDEX(LOGEST($B$94:$Q$94,$B$54:$Q$54,TRUE,TRUE), 3)</f>
        <v>0.9919578612570118</v>
      </c>
      <c r="R97" s="155">
        <f>INDEX(LOGEST($B$94:$R$94,$B$54:$R$54,TRUE,TRUE), 3)</f>
        <v>0.99200585296953059</v>
      </c>
      <c r="S97">
        <f>INDEX(LOGEST($B$94:$S$94,$B$54:$S$54,TRUE,TRUE), 3)</f>
        <v>0.99108279601563853</v>
      </c>
      <c r="T97">
        <f>INDEX(LOGEST($B$94:$T$94,$B$54:$T$54,TRUE,TRUE), 3)</f>
        <v>0.98894447394881513</v>
      </c>
      <c r="U97">
        <f>INDEX(LOGEST($B$94:$U$94,$B$54:$U$54,TRUE,TRUE), 3)</f>
        <v>0.98543756698882357</v>
      </c>
      <c r="V97">
        <f>INDEX(LOGEST($B$94:$V$94,$B$54:$V$54,TRUE,TRUE), 3)</f>
        <v>0.97991042599301714</v>
      </c>
      <c r="W97">
        <f>INDEX(LOGEST($B$94:$W$94,$B$54:$W$54,TRUE,TRUE), 3)</f>
        <v>0.9727924887605397</v>
      </c>
      <c r="X97">
        <f>INDEX(LOGEST($B$94:$X$94,$B$54:$X$54,TRUE,TRUE), 3)</f>
        <v>0.96405941054553135</v>
      </c>
      <c r="Y97">
        <f>INDEX(LOGEST($B$94:$Y$94,$B$54:$Y$54,TRUE,TRUE), 3)</f>
        <v>0.9539017644453277</v>
      </c>
      <c r="Z97">
        <f>INDEX(LOGEST($B$94:$Z$94,$B$54:$Z$54,TRUE,TRUE), 3)</f>
        <v>0.94252475638343536</v>
      </c>
      <c r="AA97">
        <f>INDEX(LOGEST($B$94:$AA$94,$B$54:$AA$54,TRUE,TRUE), 3)</f>
        <v>0.93042604782019656</v>
      </c>
      <c r="AB97">
        <f>INDEX(LOGEST($B$94:$AB$94,$B$54:$AB$54,TRUE,TRUE), 3)</f>
        <v>0.91785564990269841</v>
      </c>
      <c r="AC97">
        <f>INDEX(LOGEST($B$94:$AC$94,$B$54:$AC$54,TRUE,TRUE), 3)</f>
        <v>0.90508196326440404</v>
      </c>
      <c r="AD97">
        <f>INDEX(LOGEST($B$94:$AD$94,$B$54:$AD$54,TRUE,TRUE), 3)</f>
        <v>0.89240951882998021</v>
      </c>
      <c r="AE97">
        <f>INDEX(LOGEST($B$94:$AE$94,$B$54:$AE$54,TRUE,TRUE), 3)</f>
        <v>0.88011980614114826</v>
      </c>
      <c r="AF97">
        <f>INDEX(LOGEST($B$94:$AF$94,$B$54:$AF$54,TRUE,TRUE), 3)</f>
        <v>0.86834604970678009</v>
      </c>
    </row>
    <row r="98" spans="1:32" x14ac:dyDescent="0.2">
      <c r="A98" t="s">
        <v>300</v>
      </c>
      <c r="H98">
        <f>INDEX(LOGEST($B$95:$H$95,$B$54:$H$54,TRUE,TRUE), 3)</f>
        <v>0.96533427677700723</v>
      </c>
      <c r="I98">
        <f>INDEX(LOGEST($B$95:$I$95,$B$54:$I$54,TRUE,TRUE), 3)</f>
        <v>0.96724168701965796</v>
      </c>
      <c r="J98">
        <f>INDEX(LOGEST($B$95:$J$95,$B$54:$J$54,TRUE,TRUE), 3)</f>
        <v>0.9717885713019665</v>
      </c>
      <c r="K98">
        <f>INDEX(LOGEST($B$95:$K$95,$B$54:$K$54,TRUE,TRUE), 3)</f>
        <v>0.97576818941220633</v>
      </c>
      <c r="L98">
        <f>INDEX(LOGEST($B$95:$L$95,$B$54:$L$54,TRUE,TRUE), 3)</f>
        <v>0.97944404211679537</v>
      </c>
      <c r="M98">
        <f>INDEX(LOGEST($B$95:$M$95,$B$54:$M$54,TRUE,TRUE), 3)</f>
        <v>0.98316777637203068</v>
      </c>
      <c r="N98">
        <f>INDEX(LOGEST($B$95:$N$95,$B$54:$N$54,TRUE,TRUE), 3)</f>
        <v>0.98648699881344215</v>
      </c>
      <c r="O98">
        <f>INDEX(LOGEST($B$95:$O$95,$B$54:$O$54,TRUE,TRUE), 3)</f>
        <v>0.9891883077887621</v>
      </c>
      <c r="P98">
        <f>INDEX(LOGEST($B$95:$P$95,$B$54:$P$54,TRUE,TRUE), 3)</f>
        <v>0.99095241949733692</v>
      </c>
      <c r="Q98" s="155">
        <f>INDEX(LOGEST($B$95:$Q$95,$B$54:$Q$54,TRUE,TRUE), 3)</f>
        <v>0.99168839445181323</v>
      </c>
      <c r="R98">
        <f>INDEX(LOGEST($B$95:$R$95,$B$54:$R$54,TRUE,TRUE), 3)</f>
        <v>0.99139968891439756</v>
      </c>
      <c r="S98">
        <f>INDEX(LOGEST($B$95:$S$95,$B$54:$S$54,TRUE,TRUE), 3)</f>
        <v>0.98994775277814251</v>
      </c>
      <c r="T98">
        <f>INDEX(LOGEST($B$95:$T$95,$B$54:$T$54,TRUE,TRUE), 3)</f>
        <v>0.98699517253334923</v>
      </c>
      <c r="U98">
        <f>INDEX(LOGEST($B$95:$U$95,$B$54:$U$54,TRUE,TRUE), 3)</f>
        <v>0.98257074722683624</v>
      </c>
      <c r="V98">
        <f>INDEX(LOGEST($B$95:$V$95,$B$54:$V$54,TRUE,TRUE), 3)</f>
        <v>0.97581607510498714</v>
      </c>
      <c r="W98">
        <f>INDEX(LOGEST($B$95:$W$95,$B$54:$W$54,TRUE,TRUE), 3)</f>
        <v>0.96723998111278919</v>
      </c>
      <c r="X98">
        <f>INDEX(LOGEST($B$95:$X$95,$B$54:$X$54,TRUE,TRUE), 3)</f>
        <v>0.95708447307364319</v>
      </c>
      <c r="Y98">
        <f>INDEX(LOGEST($B$95:$Y$95,$B$54:$Y$54,TRUE,TRUE), 3)</f>
        <v>0.94549931351974792</v>
      </c>
      <c r="Z98">
        <f>INDEX(LOGEST($B$95:$Z$95,$B$54:$Z$54,TRUE,TRUE), 3)</f>
        <v>0.93304819218388557</v>
      </c>
      <c r="AA98">
        <f>INDEX(LOGEST($B$95:$AA$95,$B$54:$AA$54,TRUE,TRUE), 3)</f>
        <v>0.92001723774072419</v>
      </c>
      <c r="AB98">
        <f>INDEX(LOGEST($B$95:$AB$95,$B$54:$AB$54,TRUE,TRUE), 3)</f>
        <v>0.90675026173731266</v>
      </c>
      <c r="AC98">
        <f>INDEX(LOGEST($B$95:$AC$95,$B$54:$AC$54,TRUE,TRUE), 3)</f>
        <v>0.89360398017708453</v>
      </c>
      <c r="AD98">
        <f>INDEX(LOGEST($B$95:$AD$95,$B$54:$AD$54,TRUE,TRUE), 3)</f>
        <v>0.88078214853899273</v>
      </c>
      <c r="AE98">
        <f>INDEX(LOGEST($B$95:$AE$95,$B$54:$AE$54,TRUE,TRUE), 3)</f>
        <v>0.86851364418459531</v>
      </c>
      <c r="AF98">
        <f>INDEX(LOGEST($B$95:$AF$95,$B$54:$AF$54,TRUE,TRUE), 3)</f>
        <v>0.85684672102074488</v>
      </c>
    </row>
    <row r="99" spans="1:32" x14ac:dyDescent="0.2">
      <c r="A99" t="s">
        <v>301</v>
      </c>
      <c r="H99">
        <f>INDEX(LOGEST($B$96:$H$96,$B$54:$H$54,TRUE,TRUE), 3)</f>
        <v>0.96565566681026149</v>
      </c>
      <c r="I99">
        <f>INDEX(LOGEST($B$96:$I$96,$B$54:$I$54,TRUE,TRUE), 3)</f>
        <v>0.9711222019100052</v>
      </c>
      <c r="J99">
        <f>INDEX(LOGEST($B$96:$J$96,$B$54:$J$54,TRUE,TRUE), 3)</f>
        <v>0.97507179716688086</v>
      </c>
      <c r="K99">
        <f>INDEX(LOGEST($B$96:$K$96,$B$54:$K$54,TRUE,TRUE), 3)</f>
        <v>0.97874595294079669</v>
      </c>
      <c r="L99">
        <f>INDEX(LOGEST($B$96:$L$96,$B$54:$L$54,TRUE,TRUE), 3)</f>
        <v>0.98259131386188214</v>
      </c>
      <c r="M99">
        <f>INDEX(LOGEST($B$96:$M$96,$B$54:$M$54,TRUE,TRUE), 3)</f>
        <v>0.9861189681780721</v>
      </c>
      <c r="N99">
        <f>INDEX(LOGEST($B$96:$N$96,$B$54:$N$54,TRUE,TRUE), 3)</f>
        <v>0.98906624774416241</v>
      </c>
      <c r="O99">
        <f>INDEX(LOGEST($B$96:$O$96,$B$54:$O$54,TRUE,TRUE), 3)</f>
        <v>0.9911126129024459</v>
      </c>
      <c r="P99" s="155">
        <f>INDEX(LOGEST($B$96:$P$96,$B$54:$P$54,TRUE,TRUE), 3)</f>
        <v>0.99207667686204459</v>
      </c>
      <c r="Q99">
        <f>INDEX(LOGEST($B$96:$Q$96,$B$54:$Q$54,TRUE,TRUE), 3)</f>
        <v>0.99193286668369451</v>
      </c>
      <c r="R99">
        <f>INDEX(LOGEST($B$96:$R$96,$B$54:$R$54,TRUE,TRUE), 3)</f>
        <v>0.99066792615089938</v>
      </c>
      <c r="S99">
        <f>INDEX(LOGEST($B$96:$S$96,$B$54:$S$54,TRUE,TRUE), 3)</f>
        <v>0.98802017538219933</v>
      </c>
      <c r="T99">
        <f>INDEX(LOGEST($B$96:$T$96,$B$54:$T$54,TRUE,TRUE), 3)</f>
        <v>0.98384058009268804</v>
      </c>
      <c r="U99">
        <f>INDEX(LOGEST($B$96:$U$96,$B$54:$U$54,TRUE,TRUE), 3)</f>
        <v>0.9780747463813706</v>
      </c>
      <c r="V99">
        <f>INDEX(LOGEST($B$96:$V$96,$B$54:$V$54,TRUE,TRUE), 3)</f>
        <v>0.96994611417387133</v>
      </c>
      <c r="W99">
        <f>INDEX(LOGEST($B$96:$W$96,$B$54:$W$54,TRUE,TRUE), 3)</f>
        <v>0.96001090926201094</v>
      </c>
      <c r="X99">
        <f>INDEX(LOGEST($B$96:$X$96,$B$54:$X$54,TRUE,TRUE), 3)</f>
        <v>0.94858556055043808</v>
      </c>
      <c r="Y99">
        <f>INDEX(LOGEST($B$96:$Y$96,$B$54:$Y$54,TRUE,TRUE), 3)</f>
        <v>0.93592174151096075</v>
      </c>
      <c r="Z99">
        <f>INDEX(LOGEST($B$96:$Z$96,$B$54:$Z$54,TRUE,TRUE), 3)</f>
        <v>0.92251165676639146</v>
      </c>
      <c r="AA99">
        <f>INDEX(LOGEST($B$96:$AA$96,$B$54:$AA$54,TRUE,TRUE), 3)</f>
        <v>0.90877639575697267</v>
      </c>
      <c r="AB99">
        <f>INDEX(LOGEST($B$96:$AB$96,$B$54:$AB$54,TRUE,TRUE), 3)</f>
        <v>0.89487811523584826</v>
      </c>
      <c r="AC99">
        <f>INDEX(LOGEST($B$96:$AC$96,$B$54:$AC$54,TRUE,TRUE), 3)</f>
        <v>0.88121737468471073</v>
      </c>
      <c r="AD99">
        <f>INDEX(LOGEST($B$96:$AD$96,$B$54:$AD$54,TRUE,TRUE), 3)</f>
        <v>0.86803434490563125</v>
      </c>
      <c r="AE99">
        <f>INDEX(LOGEST($B$96:$AE$96,$B$54:$AE$54,TRUE,TRUE), 3)</f>
        <v>0.85557791976497033</v>
      </c>
      <c r="AF99">
        <f>INDEX(LOGEST($B$96:$AF$96,$B$54:$AF$54,TRUE,TRUE), 3)</f>
        <v>0.8436308547582394</v>
      </c>
    </row>
    <row r="100" spans="1:32" s="160" customFormat="1" x14ac:dyDescent="0.2">
      <c r="A100" s="160" t="s">
        <v>302</v>
      </c>
      <c r="B100" s="160">
        <f>$K$43*EXP($J$49*$B$54)</f>
        <v>3.8631430237387606E-4</v>
      </c>
      <c r="C100" s="160">
        <f>$K$43*EXP($J$49*$C$54)</f>
        <v>5.7869440305455841E-4</v>
      </c>
      <c r="D100" s="160">
        <f>$K$43*EXP($J$49*$D$54)</f>
        <v>8.6687759181788436E-4</v>
      </c>
      <c r="E100" s="160">
        <f>$K$43*EXP($J$49*$E$54)</f>
        <v>1.2985727099301611E-3</v>
      </c>
      <c r="F100" s="160">
        <f>$K$43*EXP($J$49*$F$54)</f>
        <v>1.94524705551464E-3</v>
      </c>
      <c r="G100" s="160">
        <f>$K$43*EXP($J$49*$G$54)</f>
        <v>2.913957823117879E-3</v>
      </c>
      <c r="H100" s="160">
        <f>$K$43*EXP($J$49*$H$54)</f>
        <v>4.3650754647529579E-3</v>
      </c>
      <c r="I100" s="160">
        <f>$K$43*EXP($J$49*$I$54)</f>
        <v>6.5388330818738323E-3</v>
      </c>
      <c r="J100" s="160">
        <f>$K$43*EXP($J$49*$J$54)</f>
        <v>9.7950971106584208E-3</v>
      </c>
      <c r="K100" s="160">
        <f>$K$43*EXP($J$49*$K$54)</f>
        <v>1.467294335333213E-2</v>
      </c>
      <c r="L100" s="160">
        <f>$K$43*EXP($J$49*$L$54)</f>
        <v>2.1979901191160483E-2</v>
      </c>
      <c r="M100" s="160">
        <f>$K$43*EXP($J$49*$M$54)</f>
        <v>3.2925640393988535E-2</v>
      </c>
      <c r="N100" s="160">
        <f>$K$43*EXP($J$49*$N$54)</f>
        <v>4.9322232430700566E-2</v>
      </c>
      <c r="O100" s="160">
        <f>$K$43*EXP($J$49*$O$54)</f>
        <v>7.3884139620020897E-2</v>
      </c>
      <c r="P100" s="160">
        <f>$K$43*EXP($J$49*$P$54)</f>
        <v>0.11067759544462306</v>
      </c>
      <c r="Q100" s="160">
        <f>$K$43*EXP($J$49*$Q$54)</f>
        <v>0.16579377111788565</v>
      </c>
      <c r="R100" s="160">
        <f>$K$43*EXP($J$49*$R$54)</f>
        <v>0.24835717139557037</v>
      </c>
    </row>
    <row r="101" spans="1:32" s="161" customFormat="1" x14ac:dyDescent="0.2">
      <c r="A101" s="161" t="s">
        <v>303</v>
      </c>
      <c r="B101" s="161">
        <f>$Q$43*EXP($P$49*$B$54)</f>
        <v>6.0875419591086119E-4</v>
      </c>
      <c r="C101" s="161">
        <f>$Q$43*EXP($P$49*$C$54)</f>
        <v>8.9994724083033962E-4</v>
      </c>
      <c r="D101" s="161">
        <f>$Q$43*EXP($P$49*$D$54)</f>
        <v>1.3304303144330758E-3</v>
      </c>
      <c r="E101" s="161">
        <f>$Q$43*EXP($P$49*$E$54)</f>
        <v>1.9668317666370694E-3</v>
      </c>
      <c r="F101" s="161">
        <f>$Q$43*EXP($P$49*$F$54)</f>
        <v>2.9076511233142735E-3</v>
      </c>
      <c r="G101" s="161">
        <f>$Q$43*EXP($P$49*$G$54)</f>
        <v>4.2985044264189035E-3</v>
      </c>
      <c r="H101" s="161">
        <f>$Q$43*EXP($P$49*$H$54)</f>
        <v>6.3546620692519085E-3</v>
      </c>
      <c r="I101" s="161">
        <f>$Q$43*EXP($P$49*$I$54)</f>
        <v>9.3943674377069495E-3</v>
      </c>
      <c r="J101" s="161">
        <f>$Q$43*EXP($P$49*$J$54)</f>
        <v>1.3888093275908566E-2</v>
      </c>
      <c r="K101" s="161">
        <f>$Q$43*EXP($P$49*$K$54)</f>
        <v>2.0531359468244956E-2</v>
      </c>
      <c r="L101" s="161">
        <f>$Q$43*EXP($P$49*$L$54)</f>
        <v>3.035238266620258E-2</v>
      </c>
      <c r="M101" s="161">
        <f>$Q$43*EXP($P$49*$M$54)</f>
        <v>4.487121931406847E-2</v>
      </c>
      <c r="N101" s="161">
        <f>$Q$43*EXP($P$49*$N$54)</f>
        <v>6.6335033558112808E-2</v>
      </c>
      <c r="O101" s="161">
        <f>$Q$43*EXP($P$49*$O$54)</f>
        <v>9.8065903811450805E-2</v>
      </c>
      <c r="P101" s="161">
        <f>$Q$43*EXP($P$49*$P$54)</f>
        <v>0.14497500000405997</v>
      </c>
      <c r="Q101" s="161">
        <f>$Q$43*EXP($P$49*$Q$54)</f>
        <v>0.21432271369861189</v>
      </c>
    </row>
    <row r="102" spans="1:32" s="169" customFormat="1" x14ac:dyDescent="0.2">
      <c r="A102" s="169" t="s">
        <v>304</v>
      </c>
      <c r="B102" s="169">
        <f>$W$43*EXP($V$49*$B$54)</f>
        <v>6.1901440834943985E-4</v>
      </c>
      <c r="C102" s="169">
        <f>$W$43*EXP($V$49*$C$54)</f>
        <v>9.2896324265333481E-4</v>
      </c>
      <c r="D102" s="169">
        <f>$W$43*EXP($V$49*$D$54)</f>
        <v>1.3941076242507135E-3</v>
      </c>
      <c r="E102" s="169">
        <f>$W$43*EXP($V$49*$E$54)</f>
        <v>2.0921560496223487E-3</v>
      </c>
      <c r="F102" s="169">
        <f>$W$43*EXP($V$49*$F$54)</f>
        <v>3.139726703900603E-3</v>
      </c>
      <c r="G102" s="169">
        <f>$W$43*EXP($V$49*$G$54)</f>
        <v>4.7118300649542704E-3</v>
      </c>
      <c r="H102" s="169">
        <f>$W$43*EXP($V$49*$H$54)</f>
        <v>7.0711067092003232E-3</v>
      </c>
      <c r="I102" s="169">
        <f>$W$43*EXP($V$49*$I$54)</f>
        <v>1.0611704879764814E-2</v>
      </c>
      <c r="J102" s="169">
        <f>$W$43*EXP($V$49*$J$54)</f>
        <v>1.5925128142771226E-2</v>
      </c>
      <c r="K102" s="169">
        <f>$W$43*EXP($V$49*$K$54)</f>
        <v>2.3899053850176856E-2</v>
      </c>
      <c r="L102" s="169">
        <f>$W$43*EXP($V$49*$L$54)</f>
        <v>3.5865631335149938E-2</v>
      </c>
      <c r="M102" s="169">
        <f>$W$43*EXP($V$49*$M$54)</f>
        <v>5.3824035007116793E-2</v>
      </c>
      <c r="N102" s="169">
        <f>$W$43*EXP($V$49*$N$54)</f>
        <v>8.0774452772789107E-2</v>
      </c>
      <c r="O102" s="169">
        <f>$W$43*EXP($V$49*$O$54)</f>
        <v>0.12121930694866782</v>
      </c>
      <c r="P102" s="169">
        <f>$W$43*EXP($V$49*$P$54)</f>
        <v>0.18191544322124387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9D989-AA62-8E43-BE7E-F62B614B4D95}">
  <sheetPr codeName="Sheet42"/>
  <dimension ref="A42:AF102"/>
  <sheetViews>
    <sheetView workbookViewId="0"/>
  </sheetViews>
  <sheetFormatPr baseColWidth="10" defaultRowHeight="15" x14ac:dyDescent="0.2"/>
  <sheetData>
    <row r="42" spans="9:24" x14ac:dyDescent="0.2">
      <c r="I42" t="s">
        <v>249</v>
      </c>
      <c r="O42" t="s">
        <v>249</v>
      </c>
      <c r="U42" t="s">
        <v>249</v>
      </c>
    </row>
    <row r="43" spans="9:24" x14ac:dyDescent="0.2">
      <c r="I43" t="s">
        <v>250</v>
      </c>
      <c r="J43" s="159">
        <f t="array" ref="J43:K47">LOGEST($B$94:$O$94,$B$54:$O$54,TRUE,TRUE)</f>
        <v>1.0004898957341386</v>
      </c>
      <c r="K43" s="159">
        <v>4.4225652628966357E-4</v>
      </c>
      <c r="L43" t="s">
        <v>255</v>
      </c>
      <c r="O43" t="s">
        <v>250</v>
      </c>
      <c r="P43" s="159">
        <f t="array" ref="P43:Q47">LOGEST($B$95:$N$95,$B$54:$N$54,TRUE,TRUE)</f>
        <v>1.0004983702431471</v>
      </c>
      <c r="Q43" s="159">
        <v>5.3478926926105955E-4</v>
      </c>
      <c r="R43" t="s">
        <v>255</v>
      </c>
      <c r="U43" t="s">
        <v>250</v>
      </c>
      <c r="V43" s="159">
        <f t="array" ref="V43:W47">LOGEST($B$96:$S$96,$B$54:$S$54,TRUE,TRUE)</f>
        <v>1.0004032796751319</v>
      </c>
      <c r="W43" s="159">
        <v>1.0140912093285941E-3</v>
      </c>
      <c r="X43" t="s">
        <v>255</v>
      </c>
    </row>
    <row r="44" spans="9:24" x14ac:dyDescent="0.2">
      <c r="I44" t="s">
        <v>251</v>
      </c>
      <c r="J44" s="159">
        <v>8.7439170649677516E-6</v>
      </c>
      <c r="K44" s="159">
        <v>6.0196982858896082E-2</v>
      </c>
      <c r="L44" t="s">
        <v>256</v>
      </c>
      <c r="O44" t="s">
        <v>251</v>
      </c>
      <c r="P44" s="159">
        <v>8.457528933800412E-6</v>
      </c>
      <c r="Q44" s="159">
        <v>5.3829364926606497E-2</v>
      </c>
      <c r="R44" t="s">
        <v>256</v>
      </c>
      <c r="U44" t="s">
        <v>251</v>
      </c>
      <c r="V44" s="159">
        <v>1.9028075530051727E-5</v>
      </c>
      <c r="W44" s="159">
        <v>0.17055658276921878</v>
      </c>
      <c r="X44" t="s">
        <v>256</v>
      </c>
    </row>
    <row r="45" spans="9:24" x14ac:dyDescent="0.2">
      <c r="I45" t="s">
        <v>252</v>
      </c>
      <c r="J45" s="159">
        <v>0.99618986097288265</v>
      </c>
      <c r="K45" s="159">
        <v>0.11871005109836973</v>
      </c>
      <c r="L45" t="s">
        <v>257</v>
      </c>
      <c r="O45" t="s">
        <v>252</v>
      </c>
      <c r="P45" s="159">
        <v>0.99684050600545104</v>
      </c>
      <c r="Q45" s="159">
        <v>0.10269988278173668</v>
      </c>
      <c r="R45" t="s">
        <v>257</v>
      </c>
      <c r="U45" t="s">
        <v>252</v>
      </c>
      <c r="V45" s="159">
        <v>0.96559151123813836</v>
      </c>
      <c r="W45" s="159">
        <v>0.37699233396264892</v>
      </c>
      <c r="X45" t="s">
        <v>257</v>
      </c>
    </row>
    <row r="46" spans="9:24" x14ac:dyDescent="0.2">
      <c r="I46" t="s">
        <v>253</v>
      </c>
      <c r="J46" s="159">
        <v>3137.491374092655</v>
      </c>
      <c r="K46" s="159">
        <v>12</v>
      </c>
      <c r="L46" t="s">
        <v>258</v>
      </c>
      <c r="O46" t="s">
        <v>253</v>
      </c>
      <c r="P46" s="159">
        <v>3470.5701561636261</v>
      </c>
      <c r="Q46" s="159">
        <v>11</v>
      </c>
      <c r="R46" t="s">
        <v>258</v>
      </c>
      <c r="U46" t="s">
        <v>253</v>
      </c>
      <c r="V46" s="159">
        <v>449.00153234670404</v>
      </c>
      <c r="W46" s="159">
        <v>16</v>
      </c>
      <c r="X46" t="s">
        <v>258</v>
      </c>
    </row>
    <row r="47" spans="9:24" x14ac:dyDescent="0.2">
      <c r="I47" t="s">
        <v>254</v>
      </c>
      <c r="J47" s="159">
        <v>44.213767620258196</v>
      </c>
      <c r="K47" s="159">
        <v>0.16910491478133063</v>
      </c>
      <c r="L47" t="s">
        <v>259</v>
      </c>
      <c r="O47" t="s">
        <v>254</v>
      </c>
      <c r="P47" s="159">
        <v>36.605026342812742</v>
      </c>
      <c r="Q47" s="159">
        <v>0.11601992515720702</v>
      </c>
      <c r="R47" t="s">
        <v>259</v>
      </c>
      <c r="U47" t="s">
        <v>254</v>
      </c>
      <c r="V47" s="159">
        <v>63.813543502153351</v>
      </c>
      <c r="W47" s="159">
        <v>2.2739715178656863</v>
      </c>
      <c r="X47" t="s">
        <v>259</v>
      </c>
    </row>
    <row r="49" spans="1:32" x14ac:dyDescent="0.2">
      <c r="I49" t="s">
        <v>260</v>
      </c>
      <c r="J49">
        <f>LN($J$43)</f>
        <v>4.897757744003479E-4</v>
      </c>
      <c r="O49" t="s">
        <v>260</v>
      </c>
      <c r="P49">
        <f>LN($P$43)</f>
        <v>4.9824609794264991E-4</v>
      </c>
      <c r="U49" t="s">
        <v>260</v>
      </c>
      <c r="V49">
        <f>LN($V$43)</f>
        <v>4.0319837973947149E-4</v>
      </c>
    </row>
    <row r="50" spans="1:32" x14ac:dyDescent="0.2">
      <c r="I50" t="s">
        <v>261</v>
      </c>
      <c r="J50">
        <f>ROUND(LN(2)/$J$49, 1)</f>
        <v>1415.2</v>
      </c>
      <c r="O50" t="s">
        <v>261</v>
      </c>
      <c r="P50">
        <f>ROUND(LN(2)/$P$49, 1)</f>
        <v>1391.2</v>
      </c>
      <c r="U50" t="s">
        <v>261</v>
      </c>
      <c r="V50">
        <f>ROUND(LN(2)/$V$49, 1)</f>
        <v>1719.1</v>
      </c>
    </row>
    <row r="51" spans="1:32" x14ac:dyDescent="0.2">
      <c r="I51" t="s">
        <v>204</v>
      </c>
      <c r="J51" s="155">
        <f>ROUND($J$50/60, 1)</f>
        <v>23.6</v>
      </c>
      <c r="O51" t="s">
        <v>204</v>
      </c>
      <c r="P51" s="155">
        <f>ROUND($P$50/60, 1)</f>
        <v>23.2</v>
      </c>
      <c r="U51" t="s">
        <v>204</v>
      </c>
      <c r="V51" s="155">
        <f>ROUND($V$50/60, 1)</f>
        <v>28.7</v>
      </c>
    </row>
    <row r="54" spans="1:32" x14ac:dyDescent="0.2">
      <c r="A54" t="s">
        <v>206</v>
      </c>
      <c r="B54" s="166">
        <v>0</v>
      </c>
      <c r="C54" s="166">
        <v>900.1</v>
      </c>
      <c r="D54" s="166">
        <v>1800.2</v>
      </c>
      <c r="E54" s="166">
        <v>2700.3</v>
      </c>
      <c r="F54" s="166">
        <v>3600.4</v>
      </c>
      <c r="G54" s="166">
        <v>4500.5</v>
      </c>
      <c r="H54" s="166">
        <v>5400.6</v>
      </c>
      <c r="I54" s="166">
        <v>6300.7</v>
      </c>
      <c r="J54" s="166">
        <v>7200.8</v>
      </c>
      <c r="K54" s="166">
        <v>8100.9</v>
      </c>
      <c r="L54" s="166">
        <v>9001</v>
      </c>
      <c r="M54" s="166">
        <v>9901.1</v>
      </c>
      <c r="N54" s="166">
        <v>10801.2</v>
      </c>
      <c r="O54" s="166">
        <v>11701.3</v>
      </c>
      <c r="P54" s="166">
        <v>12601.4</v>
      </c>
      <c r="Q54" s="166">
        <v>13501.5</v>
      </c>
      <c r="R54" s="166">
        <v>14401.6</v>
      </c>
      <c r="S54" s="166">
        <v>15301.7</v>
      </c>
      <c r="T54" s="166">
        <v>16201.8</v>
      </c>
      <c r="U54" s="166">
        <v>17101.900000000001</v>
      </c>
      <c r="V54" s="166">
        <v>18002</v>
      </c>
      <c r="W54" s="166">
        <v>18902.099999999999</v>
      </c>
      <c r="X54" s="166">
        <v>19802.2</v>
      </c>
      <c r="Y54" s="166">
        <v>20702.3</v>
      </c>
      <c r="Z54" s="166">
        <v>21602.400000000001</v>
      </c>
      <c r="AA54" s="166">
        <v>22502.5</v>
      </c>
      <c r="AB54" s="166">
        <v>23402.6</v>
      </c>
      <c r="AC54" s="166">
        <v>24302.7</v>
      </c>
      <c r="AD54" s="166">
        <v>25202.799999999999</v>
      </c>
      <c r="AE54" s="166">
        <v>26102.9</v>
      </c>
      <c r="AF54" s="166">
        <v>27003</v>
      </c>
    </row>
    <row r="55" spans="1:32" x14ac:dyDescent="0.2">
      <c r="A55" s="156" t="s">
        <v>305</v>
      </c>
      <c r="B55" s="156">
        <v>0.10580000281333923</v>
      </c>
      <c r="C55" s="156">
        <v>0.10580000281333923</v>
      </c>
      <c r="D55" s="156">
        <v>0.10599999874830246</v>
      </c>
      <c r="E55" s="156">
        <v>0.10689999908208847</v>
      </c>
      <c r="F55" s="156">
        <v>0.10719999670982361</v>
      </c>
      <c r="G55" s="156">
        <v>0.10849999636411667</v>
      </c>
      <c r="H55" s="156">
        <v>0.11060000211000443</v>
      </c>
      <c r="I55" s="156">
        <v>0.11429999768733978</v>
      </c>
      <c r="J55" s="156">
        <v>0.12049999833106995</v>
      </c>
      <c r="K55" s="156">
        <v>0.13030000030994415</v>
      </c>
      <c r="L55" s="156">
        <v>0.14519999921321869</v>
      </c>
      <c r="M55" s="156">
        <v>0.16609999537467957</v>
      </c>
      <c r="N55" s="156">
        <v>0.19280000030994415</v>
      </c>
      <c r="O55" s="156">
        <v>0.22499999403953552</v>
      </c>
      <c r="P55" s="156">
        <v>0.26260000467300415</v>
      </c>
      <c r="Q55" s="156">
        <v>0.30509999394416809</v>
      </c>
      <c r="R55" s="156">
        <v>0.351500004529953</v>
      </c>
      <c r="S55" s="156">
        <v>0.39190000295639038</v>
      </c>
      <c r="T55" s="156">
        <v>0.42590001225471497</v>
      </c>
      <c r="U55" s="156">
        <v>0.45429998636245728</v>
      </c>
      <c r="V55" s="156">
        <f t="shared" ref="V55:V57" si="0">AVERAGE(U55,W55)</f>
        <v>0.45944999158382416</v>
      </c>
      <c r="W55" s="156">
        <v>0.46459999680519104</v>
      </c>
      <c r="X55" s="156">
        <v>0.46689999103546143</v>
      </c>
      <c r="Y55" s="156">
        <v>0.46740001440048218</v>
      </c>
      <c r="Z55" s="156">
        <v>0.46819999814033508</v>
      </c>
      <c r="AA55" s="156">
        <v>0.47220000624656677</v>
      </c>
      <c r="AB55" s="156">
        <v>0.47769999504089355</v>
      </c>
      <c r="AC55" s="156">
        <v>0.48530000448226929</v>
      </c>
      <c r="AD55" s="156">
        <v>0.49610000848770142</v>
      </c>
      <c r="AE55" s="156">
        <v>0.51050001382827759</v>
      </c>
      <c r="AF55" s="156">
        <v>0.52380001544952393</v>
      </c>
    </row>
    <row r="56" spans="1:32" x14ac:dyDescent="0.2">
      <c r="A56" s="157" t="s">
        <v>306</v>
      </c>
      <c r="B56" s="157">
        <v>0.1062999963760376</v>
      </c>
      <c r="C56" s="157">
        <v>0.1062999963760376</v>
      </c>
      <c r="D56" s="157">
        <v>0.10670000314712524</v>
      </c>
      <c r="E56" s="157">
        <v>0.10740000009536743</v>
      </c>
      <c r="F56" s="157">
        <v>0.10830000042915344</v>
      </c>
      <c r="G56" s="157">
        <v>0.10999999940395355</v>
      </c>
      <c r="H56" s="157">
        <v>0.1128000020980835</v>
      </c>
      <c r="I56" s="157">
        <v>0.1177000030875206</v>
      </c>
      <c r="J56" s="157">
        <v>0.12569999694824219</v>
      </c>
      <c r="K56" s="157">
        <v>0.13830000162124634</v>
      </c>
      <c r="L56" s="157">
        <v>0.15639999508857727</v>
      </c>
      <c r="M56" s="157">
        <v>0.1809999942779541</v>
      </c>
      <c r="N56" s="157">
        <v>0.21109999716281891</v>
      </c>
      <c r="O56" s="157">
        <v>0.24660000205039978</v>
      </c>
      <c r="P56" s="157">
        <v>0.28780001401901245</v>
      </c>
      <c r="Q56" s="157">
        <v>0.33300000429153442</v>
      </c>
      <c r="R56" s="157">
        <v>0.37700000405311584</v>
      </c>
      <c r="S56" s="157">
        <v>0.41110000014305115</v>
      </c>
      <c r="T56" s="157">
        <v>0.4424000084400177</v>
      </c>
      <c r="U56" s="157">
        <v>0.45329999923706055</v>
      </c>
      <c r="V56" s="157">
        <f t="shared" si="0"/>
        <v>0.4573500007390976</v>
      </c>
      <c r="W56" s="157">
        <v>0.46140000224113464</v>
      </c>
      <c r="X56" s="157">
        <v>0.46219998598098755</v>
      </c>
      <c r="Y56" s="157">
        <v>0.46309998631477356</v>
      </c>
      <c r="Z56" s="157">
        <v>0.46450001001358032</v>
      </c>
      <c r="AA56" s="157">
        <v>0.46930000185966492</v>
      </c>
      <c r="AB56" s="157">
        <v>0.47620001435279846</v>
      </c>
      <c r="AC56" s="157">
        <v>0.48649999499320984</v>
      </c>
      <c r="AD56" s="157">
        <v>0.49909999966621399</v>
      </c>
      <c r="AE56" s="157">
        <v>0.51399999856948853</v>
      </c>
      <c r="AF56" s="157">
        <v>0.52600002288818359</v>
      </c>
    </row>
    <row r="57" spans="1:32" x14ac:dyDescent="0.2">
      <c r="A57" s="168" t="s">
        <v>307</v>
      </c>
      <c r="B57" s="168">
        <v>0.10909999907016754</v>
      </c>
      <c r="C57" s="168">
        <v>0.10729999840259552</v>
      </c>
      <c r="D57" s="168">
        <v>0.10920000076293945</v>
      </c>
      <c r="E57" s="168">
        <v>0.10830000042915344</v>
      </c>
      <c r="F57" s="168">
        <v>0.10899999737739563</v>
      </c>
      <c r="G57" s="168">
        <v>0.11060000211000443</v>
      </c>
      <c r="H57" s="168">
        <v>0.11330000311136246</v>
      </c>
      <c r="I57" s="168">
        <v>0.11810000240802765</v>
      </c>
      <c r="J57" s="168">
        <v>0.12569999694824219</v>
      </c>
      <c r="K57" s="168">
        <v>0.14020000398159027</v>
      </c>
      <c r="L57" s="168">
        <v>0.15590000152587891</v>
      </c>
      <c r="M57" s="168">
        <v>0.18240000307559967</v>
      </c>
      <c r="N57" s="168">
        <v>0.21189999580383301</v>
      </c>
      <c r="O57" s="168">
        <v>0.2484000027179718</v>
      </c>
      <c r="P57" s="168">
        <v>0.2921999990940094</v>
      </c>
      <c r="Q57" s="168">
        <v>0.33590000867843628</v>
      </c>
      <c r="R57" s="168">
        <v>0.3815000057220459</v>
      </c>
      <c r="S57" s="168">
        <v>0.41819998621940613</v>
      </c>
      <c r="T57" s="168">
        <v>0.4505000114440918</v>
      </c>
      <c r="U57" s="168">
        <v>0.4643000066280365</v>
      </c>
      <c r="V57" s="168">
        <f t="shared" si="0"/>
        <v>0.46850000321865082</v>
      </c>
      <c r="W57" s="168">
        <v>0.47269999980926514</v>
      </c>
      <c r="X57" s="168">
        <v>0.47119998931884766</v>
      </c>
      <c r="Y57" s="168">
        <v>0.47290000319480896</v>
      </c>
      <c r="Z57" s="168">
        <v>0.47290000319480896</v>
      </c>
      <c r="AA57" s="168">
        <v>0.4763999879360199</v>
      </c>
      <c r="AB57" s="168">
        <v>0.4828999936580658</v>
      </c>
      <c r="AC57" s="168">
        <v>0.49340000748634338</v>
      </c>
      <c r="AD57" s="168">
        <v>0.50340002775192261</v>
      </c>
      <c r="AE57" s="168">
        <v>0.52130001783370972</v>
      </c>
      <c r="AF57" s="168">
        <v>0.52910000085830688</v>
      </c>
    </row>
    <row r="58" spans="1:32" x14ac:dyDescent="0.2">
      <c r="A58" s="158" t="s">
        <v>209</v>
      </c>
      <c r="B58" s="158">
        <v>0.10480000078678131</v>
      </c>
      <c r="C58" s="158">
        <v>0.1046999990940094</v>
      </c>
      <c r="D58" s="158">
        <v>0.1046999990940094</v>
      </c>
      <c r="E58" s="158">
        <v>0.10480000078678131</v>
      </c>
      <c r="F58" s="158">
        <v>0.10459999740123749</v>
      </c>
      <c r="G58" s="158">
        <v>0.10450000315904617</v>
      </c>
      <c r="H58" s="158">
        <v>0.10440000146627426</v>
      </c>
      <c r="I58" s="158">
        <v>0.10429999977350235</v>
      </c>
      <c r="J58" s="158">
        <v>0.10419999808073044</v>
      </c>
      <c r="K58" s="158">
        <v>0.10419999808073044</v>
      </c>
      <c r="L58" s="158">
        <v>0.10419999808073044</v>
      </c>
      <c r="M58" s="158">
        <v>0.10409999638795853</v>
      </c>
      <c r="N58" s="158">
        <v>0.10400000214576721</v>
      </c>
      <c r="O58" s="158">
        <v>0.1039000004529953</v>
      </c>
      <c r="P58" s="158">
        <v>0.10379999876022339</v>
      </c>
      <c r="Q58" s="158">
        <v>0.10379999876022339</v>
      </c>
      <c r="R58" s="158">
        <v>0.1039000004529953</v>
      </c>
      <c r="S58" s="158">
        <v>0.10360000282526016</v>
      </c>
      <c r="T58" s="158">
        <v>0.10360000282526016</v>
      </c>
      <c r="U58" s="158">
        <v>0.10379999876022339</v>
      </c>
      <c r="V58" s="158">
        <f>AVERAGE(U58,W58)</f>
        <v>0.10359999909996986</v>
      </c>
      <c r="W58" s="158">
        <v>0.10339999943971634</v>
      </c>
      <c r="X58" s="158">
        <v>0.10329999774694443</v>
      </c>
      <c r="Y58" s="158">
        <v>0.10320000350475311</v>
      </c>
      <c r="Z58" s="158">
        <v>0.10320000350475311</v>
      </c>
      <c r="AA58" s="158">
        <v>0.1031000018119812</v>
      </c>
      <c r="AB58" s="158">
        <v>0.1031000018119812</v>
      </c>
      <c r="AC58" s="158">
        <v>0.10300000011920929</v>
      </c>
      <c r="AD58" s="158">
        <v>0.10300000011920929</v>
      </c>
      <c r="AE58" s="158">
        <v>0.10289999842643738</v>
      </c>
      <c r="AF58" s="158">
        <v>0.10289999842643738</v>
      </c>
    </row>
    <row r="59" spans="1:32" x14ac:dyDescent="0.2">
      <c r="A59" s="158" t="s">
        <v>210</v>
      </c>
      <c r="B59" s="158">
        <v>0.10660000145435333</v>
      </c>
      <c r="C59" s="158">
        <v>0.10649999976158142</v>
      </c>
      <c r="D59" s="158">
        <v>0.10649999976158142</v>
      </c>
      <c r="E59" s="158">
        <v>0.10649999976158142</v>
      </c>
      <c r="F59" s="158">
        <v>0.10639999806880951</v>
      </c>
      <c r="G59" s="158">
        <v>0.1062999963760376</v>
      </c>
      <c r="H59" s="158">
        <v>0.1062999963760376</v>
      </c>
      <c r="I59" s="158">
        <v>0.10610000044107437</v>
      </c>
      <c r="J59" s="158">
        <v>0.10610000044107437</v>
      </c>
      <c r="K59" s="158">
        <v>0.10610000044107437</v>
      </c>
      <c r="L59" s="158">
        <v>0.10610000044107437</v>
      </c>
      <c r="M59" s="158">
        <v>0.10599999874830246</v>
      </c>
      <c r="N59" s="158">
        <v>0.10589999705553055</v>
      </c>
      <c r="O59" s="158">
        <v>0.10589999705553055</v>
      </c>
      <c r="P59" s="158">
        <v>0.10570000112056732</v>
      </c>
      <c r="Q59" s="158">
        <v>0.10570000112056732</v>
      </c>
      <c r="R59" s="158">
        <v>0.10570000112056732</v>
      </c>
      <c r="S59" s="158">
        <v>0.10559999942779541</v>
      </c>
      <c r="T59" s="158">
        <v>0.10559999942779541</v>
      </c>
      <c r="U59" s="158">
        <v>0.10559999942779541</v>
      </c>
      <c r="V59" s="158">
        <f t="shared" ref="V59:V93" si="1">AVERAGE(U59,W59)</f>
        <v>0.1055000014603138</v>
      </c>
      <c r="W59" s="158">
        <v>0.10540000349283218</v>
      </c>
      <c r="X59" s="158">
        <v>0.10540000349283218</v>
      </c>
      <c r="Y59" s="158">
        <v>0.10530000180006027</v>
      </c>
      <c r="Z59" s="158">
        <v>0.10530000180006027</v>
      </c>
      <c r="AA59" s="158">
        <v>0.10520000010728836</v>
      </c>
      <c r="AB59" s="158">
        <v>0.10520000010728836</v>
      </c>
      <c r="AC59" s="158">
        <v>0.10520000010728836</v>
      </c>
      <c r="AD59" s="158">
        <v>0.10509999841451645</v>
      </c>
      <c r="AE59" s="158">
        <v>0.10509999841451645</v>
      </c>
      <c r="AF59" s="158">
        <v>0.10509999841451645</v>
      </c>
    </row>
    <row r="60" spans="1:32" x14ac:dyDescent="0.2">
      <c r="A60" s="158" t="s">
        <v>211</v>
      </c>
      <c r="B60" s="158">
        <v>0.10740000009536743</v>
      </c>
      <c r="C60" s="158">
        <v>0.10740000009536743</v>
      </c>
      <c r="D60" s="158">
        <v>0.10729999840259552</v>
      </c>
      <c r="E60" s="158">
        <v>0.10729999840259552</v>
      </c>
      <c r="F60" s="158">
        <v>0.10719999670982361</v>
      </c>
      <c r="G60" s="158">
        <v>0.10719999670982361</v>
      </c>
      <c r="H60" s="158">
        <v>0.10710000246763229</v>
      </c>
      <c r="I60" s="158">
        <v>0.10689999908208847</v>
      </c>
      <c r="J60" s="158">
        <v>0.10689999908208847</v>
      </c>
      <c r="K60" s="158">
        <v>0.10710000246763229</v>
      </c>
      <c r="L60" s="158">
        <v>0.10679999738931656</v>
      </c>
      <c r="M60" s="158">
        <v>0.10670000314712524</v>
      </c>
      <c r="N60" s="158">
        <v>0.10670000314712524</v>
      </c>
      <c r="O60" s="158">
        <v>0.10660000145435333</v>
      </c>
      <c r="P60" s="158">
        <v>0.10649999976158142</v>
      </c>
      <c r="Q60" s="158">
        <v>0.10649999976158142</v>
      </c>
      <c r="R60" s="158">
        <v>0.10639999806880951</v>
      </c>
      <c r="S60" s="158">
        <v>0.1062999963760376</v>
      </c>
      <c r="T60" s="158">
        <v>0.1062999963760376</v>
      </c>
      <c r="U60" s="158">
        <v>0.1062999963760376</v>
      </c>
      <c r="V60" s="158">
        <f t="shared" si="1"/>
        <v>0.10624999925494194</v>
      </c>
      <c r="W60" s="158">
        <v>0.10620000213384628</v>
      </c>
      <c r="X60" s="158">
        <v>0.10610000044107437</v>
      </c>
      <c r="Y60" s="158">
        <v>0.10610000044107437</v>
      </c>
      <c r="Z60" s="158">
        <v>0.10599999874830246</v>
      </c>
      <c r="AA60" s="158">
        <v>0.10589999705553055</v>
      </c>
      <c r="AB60" s="158">
        <v>0.10589999705553055</v>
      </c>
      <c r="AC60" s="158">
        <v>0.10599999874830246</v>
      </c>
      <c r="AD60" s="158">
        <v>0.10580000281333923</v>
      </c>
      <c r="AE60" s="158">
        <v>0.10580000281333923</v>
      </c>
      <c r="AF60" s="158">
        <v>0.10580000281333923</v>
      </c>
    </row>
    <row r="61" spans="1:32" x14ac:dyDescent="0.2">
      <c r="A61" s="158" t="s">
        <v>212</v>
      </c>
      <c r="B61" s="158">
        <v>0.10700000077486038</v>
      </c>
      <c r="C61" s="158">
        <v>0.10689999908208847</v>
      </c>
      <c r="D61" s="158">
        <v>0.10679999738931656</v>
      </c>
      <c r="E61" s="158">
        <v>0.10689999908208847</v>
      </c>
      <c r="F61" s="158">
        <v>0.10670000314712524</v>
      </c>
      <c r="G61" s="158">
        <v>0.10689999908208847</v>
      </c>
      <c r="H61" s="158">
        <v>0.10660000145435333</v>
      </c>
      <c r="I61" s="158">
        <v>0.10639999806880951</v>
      </c>
      <c r="J61" s="158">
        <v>0.10639999806880951</v>
      </c>
      <c r="K61" s="158">
        <v>0.1062999963760376</v>
      </c>
      <c r="L61" s="158">
        <v>0.1062999963760376</v>
      </c>
      <c r="M61" s="158">
        <v>0.1062999963760376</v>
      </c>
      <c r="N61" s="158">
        <v>0.10620000213384628</v>
      </c>
      <c r="O61" s="158">
        <v>0.10610000044107437</v>
      </c>
      <c r="P61" s="158">
        <v>0.10599999874830246</v>
      </c>
      <c r="Q61" s="158">
        <v>0.10599999874830246</v>
      </c>
      <c r="R61" s="158">
        <v>0.10599999874830246</v>
      </c>
      <c r="S61" s="158">
        <v>0.10580000281333923</v>
      </c>
      <c r="T61" s="158">
        <v>0.10580000281333923</v>
      </c>
      <c r="U61" s="158">
        <v>0.10580000281333923</v>
      </c>
      <c r="V61" s="158">
        <f t="shared" si="1"/>
        <v>0.10575000196695328</v>
      </c>
      <c r="W61" s="158">
        <v>0.10570000112056732</v>
      </c>
      <c r="X61" s="158">
        <v>0.10559999942779541</v>
      </c>
      <c r="Y61" s="158">
        <v>0.10559999942779541</v>
      </c>
      <c r="Z61" s="158">
        <v>0.10559999942779541</v>
      </c>
      <c r="AA61" s="158">
        <v>0.10540000349283218</v>
      </c>
      <c r="AB61" s="158">
        <v>0.10540000349283218</v>
      </c>
      <c r="AC61" s="158">
        <v>0.10540000349283218</v>
      </c>
      <c r="AD61" s="158">
        <v>0.10540000349283218</v>
      </c>
      <c r="AE61" s="158">
        <v>0.10530000180006027</v>
      </c>
      <c r="AF61" s="158">
        <v>0.10530000180006027</v>
      </c>
    </row>
    <row r="62" spans="1:32" x14ac:dyDescent="0.2">
      <c r="A62" s="158" t="s">
        <v>213</v>
      </c>
      <c r="B62" s="158">
        <v>0.10570000112056732</v>
      </c>
      <c r="C62" s="158">
        <v>0.1054999977350235</v>
      </c>
      <c r="D62" s="158">
        <v>0.1054999977350235</v>
      </c>
      <c r="E62" s="158">
        <v>0.1054999977350235</v>
      </c>
      <c r="F62" s="158">
        <v>0.10540000349283218</v>
      </c>
      <c r="G62" s="158">
        <v>0.10530000180006027</v>
      </c>
      <c r="H62" s="158">
        <v>0.10520000010728836</v>
      </c>
      <c r="I62" s="158">
        <v>0.10520000010728836</v>
      </c>
      <c r="J62" s="158">
        <v>0.10499999672174454</v>
      </c>
      <c r="K62" s="158">
        <v>0.10499999672174454</v>
      </c>
      <c r="L62" s="158">
        <v>0.10499999672174454</v>
      </c>
      <c r="M62" s="158">
        <v>0.10490000247955322</v>
      </c>
      <c r="N62" s="158">
        <v>0.10490000247955322</v>
      </c>
      <c r="O62" s="158">
        <v>0.10480000078678131</v>
      </c>
      <c r="P62" s="158">
        <v>0.10459999740123749</v>
      </c>
      <c r="Q62" s="158">
        <v>0.10459999740123749</v>
      </c>
      <c r="R62" s="158">
        <v>0.10459999740123749</v>
      </c>
      <c r="S62" s="158">
        <v>0.10440000146627426</v>
      </c>
      <c r="T62" s="158">
        <v>0.10450000315904617</v>
      </c>
      <c r="U62" s="158">
        <v>0.10450000315904617</v>
      </c>
      <c r="V62" s="158">
        <f t="shared" si="1"/>
        <v>0.10445000231266022</v>
      </c>
      <c r="W62" s="158">
        <v>0.10440000146627426</v>
      </c>
      <c r="X62" s="158">
        <v>0.10440000146627426</v>
      </c>
      <c r="Y62" s="158">
        <v>0.10429999977350235</v>
      </c>
      <c r="Z62" s="158">
        <v>0.10419999808073044</v>
      </c>
      <c r="AA62" s="158">
        <v>0.10419999808073044</v>
      </c>
      <c r="AB62" s="158">
        <v>0.10419999808073044</v>
      </c>
      <c r="AC62" s="158">
        <v>0.10440000146627426</v>
      </c>
      <c r="AD62" s="158">
        <v>0.10409999638795853</v>
      </c>
      <c r="AE62" s="158">
        <v>0.10400000214576721</v>
      </c>
      <c r="AF62" s="158">
        <v>0.10400000214576721</v>
      </c>
    </row>
    <row r="63" spans="1:32" x14ac:dyDescent="0.2">
      <c r="A63" s="158" t="s">
        <v>214</v>
      </c>
      <c r="B63" s="158">
        <v>0.10689999908208847</v>
      </c>
      <c r="C63" s="158">
        <v>0.10679999738931656</v>
      </c>
      <c r="D63" s="158">
        <v>0.10679999738931656</v>
      </c>
      <c r="E63" s="158">
        <v>0.10679999738931656</v>
      </c>
      <c r="F63" s="158">
        <v>0.10670000314712524</v>
      </c>
      <c r="G63" s="158">
        <v>0.10660000145435333</v>
      </c>
      <c r="H63" s="158">
        <v>0.10649999976158142</v>
      </c>
      <c r="I63" s="158">
        <v>0.1062999963760376</v>
      </c>
      <c r="J63" s="158">
        <v>0.1062999963760376</v>
      </c>
      <c r="K63" s="158">
        <v>0.10620000213384628</v>
      </c>
      <c r="L63" s="158">
        <v>0.1062999963760376</v>
      </c>
      <c r="M63" s="158">
        <v>0.10620000213384628</v>
      </c>
      <c r="N63" s="158">
        <v>0.10610000044107437</v>
      </c>
      <c r="O63" s="158">
        <v>0.10610000044107437</v>
      </c>
      <c r="P63" s="158">
        <v>0.10580000281333923</v>
      </c>
      <c r="Q63" s="158">
        <v>0.10589999705553055</v>
      </c>
      <c r="R63" s="158">
        <v>0.10580000281333923</v>
      </c>
      <c r="S63" s="158">
        <v>0.10570000112056732</v>
      </c>
      <c r="T63" s="158">
        <v>0.10570000112056732</v>
      </c>
      <c r="U63" s="158">
        <v>0.10570000112056732</v>
      </c>
      <c r="V63" s="158">
        <f t="shared" si="1"/>
        <v>0.10565000027418137</v>
      </c>
      <c r="W63" s="158">
        <v>0.10559999942779541</v>
      </c>
      <c r="X63" s="158">
        <v>0.1054999977350235</v>
      </c>
      <c r="Y63" s="158">
        <v>0.1054999977350235</v>
      </c>
      <c r="Z63" s="158">
        <v>0.10540000349283218</v>
      </c>
      <c r="AA63" s="158">
        <v>0.10540000349283218</v>
      </c>
      <c r="AB63" s="158">
        <v>0.10540000349283218</v>
      </c>
      <c r="AC63" s="158">
        <v>0.10540000349283218</v>
      </c>
      <c r="AD63" s="158">
        <v>0.10530000180006027</v>
      </c>
      <c r="AE63" s="158">
        <v>0.10520000010728836</v>
      </c>
      <c r="AF63" s="158">
        <v>0.10530000180006027</v>
      </c>
    </row>
    <row r="64" spans="1:32" x14ac:dyDescent="0.2">
      <c r="A64" s="158" t="s">
        <v>215</v>
      </c>
      <c r="B64" s="158">
        <v>0.10819999873638153</v>
      </c>
      <c r="C64" s="158">
        <v>0.10790000110864639</v>
      </c>
      <c r="D64" s="158">
        <v>0.10779999941587448</v>
      </c>
      <c r="E64" s="158">
        <v>0.1080000028014183</v>
      </c>
      <c r="F64" s="158">
        <v>0.10760000348091125</v>
      </c>
      <c r="G64" s="158">
        <v>0.10750000178813934</v>
      </c>
      <c r="H64" s="158">
        <v>0.10740000009536743</v>
      </c>
      <c r="I64" s="158">
        <v>0.10719999670982361</v>
      </c>
      <c r="J64" s="158">
        <v>0.10719999670982361</v>
      </c>
      <c r="K64" s="158">
        <v>0.10710000246763229</v>
      </c>
      <c r="L64" s="158">
        <v>0.10719999670982361</v>
      </c>
      <c r="M64" s="158">
        <v>0.10700000077486038</v>
      </c>
      <c r="N64" s="158">
        <v>0.10700000077486038</v>
      </c>
      <c r="O64" s="158">
        <v>0.10700000077486038</v>
      </c>
      <c r="P64" s="158">
        <v>0.10679999738931656</v>
      </c>
      <c r="Q64" s="158">
        <v>0.10679999738931656</v>
      </c>
      <c r="R64" s="158">
        <v>0.10670000314712524</v>
      </c>
      <c r="S64" s="158">
        <v>0.10660000145435333</v>
      </c>
      <c r="T64" s="158">
        <v>0.10660000145435333</v>
      </c>
      <c r="U64" s="158">
        <v>0.10660000145435333</v>
      </c>
      <c r="V64" s="158">
        <f t="shared" si="1"/>
        <v>0.10655000060796738</v>
      </c>
      <c r="W64" s="158">
        <v>0.10649999976158142</v>
      </c>
      <c r="X64" s="158">
        <v>0.10649999976158142</v>
      </c>
      <c r="Y64" s="158">
        <v>0.1062999963760376</v>
      </c>
      <c r="Z64" s="158">
        <v>0.1062999963760376</v>
      </c>
      <c r="AA64" s="158">
        <v>0.1062999963760376</v>
      </c>
      <c r="AB64" s="158">
        <v>0.1062999963760376</v>
      </c>
      <c r="AC64" s="158">
        <v>0.1062999963760376</v>
      </c>
      <c r="AD64" s="158">
        <v>0.10620000213384628</v>
      </c>
      <c r="AE64" s="158">
        <v>0.10610000044107437</v>
      </c>
      <c r="AF64" s="158">
        <v>0.10610000044107437</v>
      </c>
    </row>
    <row r="65" spans="1:32" x14ac:dyDescent="0.2">
      <c r="A65" s="158" t="s">
        <v>216</v>
      </c>
      <c r="B65" s="158">
        <v>0.10639999806880951</v>
      </c>
      <c r="C65" s="158">
        <v>0.10599999874830246</v>
      </c>
      <c r="D65" s="158">
        <v>0.10589999705553055</v>
      </c>
      <c r="E65" s="158">
        <v>0.10840000212192535</v>
      </c>
      <c r="F65" s="158">
        <v>0.10869999974966049</v>
      </c>
      <c r="G65" s="158">
        <v>0.10819999873638153</v>
      </c>
      <c r="H65" s="158">
        <v>0.10819999873638153</v>
      </c>
      <c r="I65" s="158">
        <v>0.1080000028014183</v>
      </c>
      <c r="J65" s="158">
        <v>0.10779999941587448</v>
      </c>
      <c r="K65" s="158">
        <v>0.1080000028014183</v>
      </c>
      <c r="L65" s="158">
        <v>0.10830000042915344</v>
      </c>
      <c r="M65" s="158">
        <v>0.1080000028014183</v>
      </c>
      <c r="N65" s="158">
        <v>0.10809999704360962</v>
      </c>
      <c r="O65" s="158">
        <v>0.10779999941587448</v>
      </c>
      <c r="P65" s="158">
        <v>0.10740000009536743</v>
      </c>
      <c r="Q65" s="158">
        <v>0.10760000348091125</v>
      </c>
      <c r="R65" s="158">
        <v>0.10760000348091125</v>
      </c>
      <c r="S65" s="158">
        <v>0.1080000028014183</v>
      </c>
      <c r="T65" s="158">
        <v>0.10750000178813934</v>
      </c>
      <c r="U65" s="158">
        <v>0.10750000178813934</v>
      </c>
      <c r="V65" s="158">
        <f t="shared" si="1"/>
        <v>0.1075500026345253</v>
      </c>
      <c r="W65" s="158">
        <v>0.10760000348091125</v>
      </c>
      <c r="X65" s="158">
        <v>0.10779999941587448</v>
      </c>
      <c r="Y65" s="158">
        <v>0.10740000009536743</v>
      </c>
      <c r="Z65" s="158">
        <v>0.10750000178813934</v>
      </c>
      <c r="AA65" s="158">
        <v>0.10920000076293945</v>
      </c>
      <c r="AB65" s="158">
        <v>0.10830000042915344</v>
      </c>
      <c r="AC65" s="158">
        <v>0.10909999907016754</v>
      </c>
      <c r="AD65" s="158">
        <v>0.10819999873638153</v>
      </c>
      <c r="AE65" s="158">
        <v>0.10740000009536743</v>
      </c>
      <c r="AF65" s="158">
        <v>0.10849999636411667</v>
      </c>
    </row>
    <row r="66" spans="1:32" x14ac:dyDescent="0.2">
      <c r="A66" s="158" t="s">
        <v>217</v>
      </c>
      <c r="B66" s="158">
        <v>0.10580000281333923</v>
      </c>
      <c r="C66" s="158">
        <v>0.10570000112056732</v>
      </c>
      <c r="D66" s="158">
        <v>0.10570000112056732</v>
      </c>
      <c r="E66" s="158">
        <v>0.10580000281333923</v>
      </c>
      <c r="F66" s="158">
        <v>0.1054999977350235</v>
      </c>
      <c r="G66" s="158">
        <v>0.10559999942779541</v>
      </c>
      <c r="H66" s="158">
        <v>0.10540000349283218</v>
      </c>
      <c r="I66" s="158">
        <v>0.10530000180006027</v>
      </c>
      <c r="J66" s="158">
        <v>0.10520000010728836</v>
      </c>
      <c r="K66" s="158">
        <v>0.10520000010728836</v>
      </c>
      <c r="L66" s="158">
        <v>0.10520000010728836</v>
      </c>
      <c r="M66" s="158">
        <v>0.10509999841451645</v>
      </c>
      <c r="N66" s="158">
        <v>0.10509999841451645</v>
      </c>
      <c r="O66" s="158">
        <v>0.10499999672174454</v>
      </c>
      <c r="P66" s="158">
        <v>0.10480000078678131</v>
      </c>
      <c r="Q66" s="158">
        <v>0.10480000078678131</v>
      </c>
      <c r="R66" s="158">
        <v>0.10480000078678131</v>
      </c>
      <c r="S66" s="158">
        <v>0.1046999990940094</v>
      </c>
      <c r="T66" s="158">
        <v>0.1046999990940094</v>
      </c>
      <c r="U66" s="158">
        <v>0.1046999990940094</v>
      </c>
      <c r="V66" s="158">
        <f t="shared" si="1"/>
        <v>0.10464999824762344</v>
      </c>
      <c r="W66" s="158">
        <v>0.10459999740123749</v>
      </c>
      <c r="X66" s="158">
        <v>0.10459999740123749</v>
      </c>
      <c r="Y66" s="158">
        <v>0.10450000315904617</v>
      </c>
      <c r="Z66" s="158">
        <v>0.10450000315904617</v>
      </c>
      <c r="AA66" s="158">
        <v>0.10429999977350235</v>
      </c>
      <c r="AB66" s="158">
        <v>0.10429999977350235</v>
      </c>
      <c r="AC66" s="158">
        <v>0.10429999977350235</v>
      </c>
      <c r="AD66" s="158">
        <v>0.10429999977350235</v>
      </c>
      <c r="AE66" s="158">
        <v>0.10419999808073044</v>
      </c>
      <c r="AF66" s="158">
        <v>0.10419999808073044</v>
      </c>
    </row>
    <row r="67" spans="1:32" x14ac:dyDescent="0.2">
      <c r="A67" s="158" t="s">
        <v>218</v>
      </c>
      <c r="B67" s="158">
        <v>0.10999999940395355</v>
      </c>
      <c r="C67" s="158">
        <v>0.10859999805688858</v>
      </c>
      <c r="D67" s="158">
        <v>0.1088000014424324</v>
      </c>
      <c r="E67" s="158">
        <v>0.10869999974966049</v>
      </c>
      <c r="F67" s="158">
        <v>0.10859999805688858</v>
      </c>
      <c r="G67" s="158">
        <v>0.10890000313520432</v>
      </c>
      <c r="H67" s="158">
        <v>0.10849999636411667</v>
      </c>
      <c r="I67" s="158">
        <v>0.10830000042915344</v>
      </c>
      <c r="J67" s="158">
        <v>0.10840000212192535</v>
      </c>
      <c r="K67" s="158">
        <v>0.10809999704360962</v>
      </c>
      <c r="L67" s="158">
        <v>0.10869999974966049</v>
      </c>
      <c r="M67" s="158">
        <v>0.10849999636411667</v>
      </c>
      <c r="N67" s="158">
        <v>0.10859999805688858</v>
      </c>
      <c r="O67" s="158">
        <v>0.10849999636411667</v>
      </c>
      <c r="P67" s="158">
        <v>0.1080000028014183</v>
      </c>
      <c r="Q67" s="158">
        <v>0.10769999772310257</v>
      </c>
      <c r="R67" s="158">
        <v>0.10769999772310257</v>
      </c>
      <c r="S67" s="158">
        <v>0.1080000028014183</v>
      </c>
      <c r="T67" s="158">
        <v>0.10769999772310257</v>
      </c>
      <c r="U67" s="158">
        <v>0.10809999704360962</v>
      </c>
      <c r="V67" s="158">
        <f t="shared" si="1"/>
        <v>0.10794999822974205</v>
      </c>
      <c r="W67" s="158">
        <v>0.10779999941587448</v>
      </c>
      <c r="X67" s="158">
        <v>0.10740000009536743</v>
      </c>
      <c r="Y67" s="158">
        <v>0.10750000178813934</v>
      </c>
      <c r="Z67" s="158">
        <v>0.10750000178813934</v>
      </c>
      <c r="AA67" s="158">
        <v>0.10620000213384628</v>
      </c>
      <c r="AB67" s="158">
        <v>0.10670000314712524</v>
      </c>
      <c r="AC67" s="158">
        <v>0.10620000213384628</v>
      </c>
      <c r="AD67" s="158">
        <v>0.10700000077486038</v>
      </c>
      <c r="AE67" s="158">
        <v>0.10679999738931656</v>
      </c>
      <c r="AF67" s="158">
        <v>0.10639999806880951</v>
      </c>
    </row>
    <row r="68" spans="1:32" x14ac:dyDescent="0.2">
      <c r="A68" s="158" t="s">
        <v>219</v>
      </c>
      <c r="B68" s="158">
        <v>0.10649999976158142</v>
      </c>
      <c r="C68" s="158">
        <v>0.10620000213384628</v>
      </c>
      <c r="D68" s="158">
        <v>0.10610000044107437</v>
      </c>
      <c r="E68" s="158">
        <v>0.10639999806880951</v>
      </c>
      <c r="F68" s="158">
        <v>0.10620000213384628</v>
      </c>
      <c r="G68" s="158">
        <v>0.10620000213384628</v>
      </c>
      <c r="H68" s="158">
        <v>0.10610000044107437</v>
      </c>
      <c r="I68" s="158">
        <v>0.10589999705553055</v>
      </c>
      <c r="J68" s="158">
        <v>0.10610000044107437</v>
      </c>
      <c r="K68" s="158">
        <v>0.10589999705553055</v>
      </c>
      <c r="L68" s="158">
        <v>0.10589999705553055</v>
      </c>
      <c r="M68" s="158">
        <v>0.10570000112056732</v>
      </c>
      <c r="N68" s="158">
        <v>0.10570000112056732</v>
      </c>
      <c r="O68" s="158">
        <v>0.10559999942779541</v>
      </c>
      <c r="P68" s="158">
        <v>0.10540000349283218</v>
      </c>
      <c r="Q68" s="158">
        <v>0.10540000349283218</v>
      </c>
      <c r="R68" s="158">
        <v>0.10540000349283218</v>
      </c>
      <c r="S68" s="158">
        <v>0.10530000180006027</v>
      </c>
      <c r="T68" s="158">
        <v>0.10530000180006027</v>
      </c>
      <c r="U68" s="158">
        <v>0.10530000180006027</v>
      </c>
      <c r="V68" s="158">
        <f t="shared" si="1"/>
        <v>0.10525000095367432</v>
      </c>
      <c r="W68" s="158">
        <v>0.10520000010728836</v>
      </c>
      <c r="X68" s="158">
        <v>0.10509999841451645</v>
      </c>
      <c r="Y68" s="158">
        <v>0.10499999672174454</v>
      </c>
      <c r="Z68" s="158">
        <v>0.10520000010728836</v>
      </c>
      <c r="AA68" s="158">
        <v>0.10490000247955322</v>
      </c>
      <c r="AB68" s="158">
        <v>0.10490000247955322</v>
      </c>
      <c r="AC68" s="158">
        <v>0.10490000247955322</v>
      </c>
      <c r="AD68" s="158">
        <v>0.10480000078678131</v>
      </c>
      <c r="AE68" s="158">
        <v>0.10499999672174454</v>
      </c>
      <c r="AF68" s="158">
        <v>0.10480000078678131</v>
      </c>
    </row>
    <row r="69" spans="1:32" x14ac:dyDescent="0.2">
      <c r="A69" s="158" t="s">
        <v>220</v>
      </c>
      <c r="B69" s="158">
        <v>0.10679999738931656</v>
      </c>
      <c r="C69" s="158">
        <v>0.10660000145435333</v>
      </c>
      <c r="D69" s="158">
        <v>0.10649999976158142</v>
      </c>
      <c r="E69" s="158">
        <v>0.10649999976158142</v>
      </c>
      <c r="F69" s="158">
        <v>0.1062999963760376</v>
      </c>
      <c r="G69" s="158">
        <v>0.10620000213384628</v>
      </c>
      <c r="H69" s="158">
        <v>0.10610000044107437</v>
      </c>
      <c r="I69" s="158">
        <v>0.10599999874830246</v>
      </c>
      <c r="J69" s="158">
        <v>0.10589999705553055</v>
      </c>
      <c r="K69" s="158">
        <v>0.10589999705553055</v>
      </c>
      <c r="L69" s="158">
        <v>0.10589999705553055</v>
      </c>
      <c r="M69" s="158">
        <v>0.10580000281333923</v>
      </c>
      <c r="N69" s="158">
        <v>0.10570000112056732</v>
      </c>
      <c r="O69" s="158">
        <v>0.10559999942779541</v>
      </c>
      <c r="P69" s="158">
        <v>0.10540000349283218</v>
      </c>
      <c r="Q69" s="158">
        <v>0.10540000349283218</v>
      </c>
      <c r="R69" s="158">
        <v>0.10530000180006027</v>
      </c>
      <c r="S69" s="158">
        <v>0.10520000010728836</v>
      </c>
      <c r="T69" s="158">
        <v>0.10520000010728836</v>
      </c>
      <c r="U69" s="158">
        <v>0.10520000010728836</v>
      </c>
      <c r="V69" s="158">
        <f t="shared" si="1"/>
        <v>0.10509999841451645</v>
      </c>
      <c r="W69" s="158">
        <v>0.10499999672174454</v>
      </c>
      <c r="X69" s="158">
        <v>0.10499999672174454</v>
      </c>
      <c r="Y69" s="158">
        <v>0.10480000078678131</v>
      </c>
      <c r="Z69" s="158">
        <v>0.10480000078678131</v>
      </c>
      <c r="AA69" s="158">
        <v>0.10459999740123749</v>
      </c>
      <c r="AB69" s="158">
        <v>0.10459999740123749</v>
      </c>
      <c r="AC69" s="158">
        <v>0.10459999740123749</v>
      </c>
      <c r="AD69" s="158">
        <v>0.10450000315904617</v>
      </c>
      <c r="AE69" s="158">
        <v>0.10440000146627426</v>
      </c>
      <c r="AF69" s="158">
        <v>0.10440000146627426</v>
      </c>
    </row>
    <row r="70" spans="1:32" x14ac:dyDescent="0.2">
      <c r="A70" s="158" t="s">
        <v>221</v>
      </c>
      <c r="B70" s="158">
        <v>0.10620000213384628</v>
      </c>
      <c r="C70" s="158">
        <v>0.10610000044107437</v>
      </c>
      <c r="D70" s="158">
        <v>0.10599999874830246</v>
      </c>
      <c r="E70" s="158">
        <v>0.10610000044107437</v>
      </c>
      <c r="F70" s="158">
        <v>0.10589999705553055</v>
      </c>
      <c r="G70" s="158">
        <v>0.10599999874830246</v>
      </c>
      <c r="H70" s="158">
        <v>0.10589999705553055</v>
      </c>
      <c r="I70" s="158">
        <v>0.10580000281333923</v>
      </c>
      <c r="J70" s="158">
        <v>0.10570000112056732</v>
      </c>
      <c r="K70" s="158">
        <v>0.10570000112056732</v>
      </c>
      <c r="L70" s="158">
        <v>0.10580000281333923</v>
      </c>
      <c r="M70" s="158">
        <v>0.10570000112056732</v>
      </c>
      <c r="N70" s="158">
        <v>0.10559999942779541</v>
      </c>
      <c r="O70" s="158">
        <v>0.10540000349283218</v>
      </c>
      <c r="P70" s="158">
        <v>0.10530000180006027</v>
      </c>
      <c r="Q70" s="158">
        <v>0.10530000180006027</v>
      </c>
      <c r="R70" s="158">
        <v>0.10520000010728836</v>
      </c>
      <c r="S70" s="158">
        <v>0.10530000180006027</v>
      </c>
      <c r="T70" s="158">
        <v>0.10530000180006027</v>
      </c>
      <c r="U70" s="158">
        <v>0.10540000349283218</v>
      </c>
      <c r="V70" s="158">
        <f t="shared" si="1"/>
        <v>0.10530000180006027</v>
      </c>
      <c r="W70" s="158">
        <v>0.10520000010728836</v>
      </c>
      <c r="X70" s="158">
        <v>0.10520000010728836</v>
      </c>
      <c r="Y70" s="158">
        <v>0.10499999672174454</v>
      </c>
      <c r="Z70" s="158">
        <v>0.10490000247955322</v>
      </c>
      <c r="AA70" s="158">
        <v>0.10490000247955322</v>
      </c>
      <c r="AB70" s="158">
        <v>0.10480000078678131</v>
      </c>
      <c r="AC70" s="158">
        <v>0.1046999990940094</v>
      </c>
      <c r="AD70" s="158">
        <v>0.10480000078678131</v>
      </c>
      <c r="AE70" s="158">
        <v>0.1046999990940094</v>
      </c>
      <c r="AF70" s="158">
        <v>0.10480000078678131</v>
      </c>
    </row>
    <row r="71" spans="1:32" x14ac:dyDescent="0.2">
      <c r="A71" s="158" t="s">
        <v>222</v>
      </c>
      <c r="B71" s="158">
        <v>0.10649999976158142</v>
      </c>
      <c r="C71" s="158">
        <v>0.10610000044107437</v>
      </c>
      <c r="D71" s="158">
        <v>0.10599999874830246</v>
      </c>
      <c r="E71" s="158">
        <v>0.10610000044107437</v>
      </c>
      <c r="F71" s="158">
        <v>0.10589999705553055</v>
      </c>
      <c r="G71" s="158">
        <v>0.10580000281333923</v>
      </c>
      <c r="H71" s="158">
        <v>0.10570000112056732</v>
      </c>
      <c r="I71" s="158">
        <v>0.10559999942779541</v>
      </c>
      <c r="J71" s="158">
        <v>0.1054999977350235</v>
      </c>
      <c r="K71" s="158">
        <v>0.1054999977350235</v>
      </c>
      <c r="L71" s="158">
        <v>0.1054999977350235</v>
      </c>
      <c r="M71" s="158">
        <v>0.10540000349283218</v>
      </c>
      <c r="N71" s="158">
        <v>0.10540000349283218</v>
      </c>
      <c r="O71" s="158">
        <v>0.10530000180006027</v>
      </c>
      <c r="P71" s="158">
        <v>0.10499999672174454</v>
      </c>
      <c r="Q71" s="158">
        <v>0.10499999672174454</v>
      </c>
      <c r="R71" s="158">
        <v>0.10499999672174454</v>
      </c>
      <c r="S71" s="158">
        <v>0.10490000247955322</v>
      </c>
      <c r="T71" s="158">
        <v>0.10490000247955322</v>
      </c>
      <c r="U71" s="158">
        <v>0.10490000247955322</v>
      </c>
      <c r="V71" s="158">
        <f t="shared" si="1"/>
        <v>0.10485000163316727</v>
      </c>
      <c r="W71" s="158">
        <v>0.10480000078678131</v>
      </c>
      <c r="X71" s="158">
        <v>0.10480000078678131</v>
      </c>
      <c r="Y71" s="158">
        <v>0.1046999990940094</v>
      </c>
      <c r="Z71" s="158">
        <v>0.10450000315904617</v>
      </c>
      <c r="AA71" s="158">
        <v>0.10450000315904617</v>
      </c>
      <c r="AB71" s="158">
        <v>0.10450000315904617</v>
      </c>
      <c r="AC71" s="158">
        <v>0.10440000146627426</v>
      </c>
      <c r="AD71" s="158">
        <v>0.10440000146627426</v>
      </c>
      <c r="AE71" s="158">
        <v>0.10440000146627426</v>
      </c>
      <c r="AF71" s="158">
        <v>0.10429999977350235</v>
      </c>
    </row>
    <row r="72" spans="1:32" x14ac:dyDescent="0.2">
      <c r="A72" s="158" t="s">
        <v>223</v>
      </c>
      <c r="B72" s="158">
        <v>0.10710000246763229</v>
      </c>
      <c r="C72" s="158">
        <v>0.10689999908208847</v>
      </c>
      <c r="D72" s="158">
        <v>0.10679999738931656</v>
      </c>
      <c r="E72" s="158">
        <v>0.10679999738931656</v>
      </c>
      <c r="F72" s="158">
        <v>0.10689999908208847</v>
      </c>
      <c r="G72" s="158">
        <v>0.10670000314712524</v>
      </c>
      <c r="H72" s="158">
        <v>0.10670000314712524</v>
      </c>
      <c r="I72" s="158">
        <v>0.10649999976158142</v>
      </c>
      <c r="J72" s="158">
        <v>0.10649999976158142</v>
      </c>
      <c r="K72" s="158">
        <v>0.10639999806880951</v>
      </c>
      <c r="L72" s="158">
        <v>0.10649999976158142</v>
      </c>
      <c r="M72" s="158">
        <v>0.10639999806880951</v>
      </c>
      <c r="N72" s="158">
        <v>0.1062999963760376</v>
      </c>
      <c r="O72" s="158">
        <v>0.10620000213384628</v>
      </c>
      <c r="P72" s="158">
        <v>0.10610000044107437</v>
      </c>
      <c r="Q72" s="158">
        <v>0.10599999874830246</v>
      </c>
      <c r="R72" s="158">
        <v>0.10599999874830246</v>
      </c>
      <c r="S72" s="158">
        <v>0.10610000044107437</v>
      </c>
      <c r="T72" s="158">
        <v>0.10610000044107437</v>
      </c>
      <c r="U72" s="158">
        <v>0.10610000044107437</v>
      </c>
      <c r="V72" s="158">
        <f t="shared" si="1"/>
        <v>0.10610000044107437</v>
      </c>
      <c r="W72" s="158">
        <v>0.10610000044107437</v>
      </c>
      <c r="X72" s="158">
        <v>0.10599999874830246</v>
      </c>
      <c r="Y72" s="158">
        <v>0.10589999705553055</v>
      </c>
      <c r="Z72" s="158">
        <v>0.10580000281333923</v>
      </c>
      <c r="AA72" s="158">
        <v>0.10589999705553055</v>
      </c>
      <c r="AB72" s="158">
        <v>0.10559999942779541</v>
      </c>
      <c r="AC72" s="158">
        <v>0.10559999942779541</v>
      </c>
      <c r="AD72" s="158">
        <v>0.10559999942779541</v>
      </c>
      <c r="AE72" s="158">
        <v>0.10559999942779541</v>
      </c>
      <c r="AF72" s="158">
        <v>0.10589999705553055</v>
      </c>
    </row>
    <row r="73" spans="1:32" x14ac:dyDescent="0.2">
      <c r="A73" s="158" t="s">
        <v>224</v>
      </c>
      <c r="B73" s="158">
        <v>0.10710000246763229</v>
      </c>
      <c r="C73" s="158">
        <v>0.10679999738931656</v>
      </c>
      <c r="D73" s="158">
        <v>0.10670000314712524</v>
      </c>
      <c r="E73" s="158">
        <v>0.10670000314712524</v>
      </c>
      <c r="F73" s="158">
        <v>0.10660000145435333</v>
      </c>
      <c r="G73" s="158">
        <v>0.10660000145435333</v>
      </c>
      <c r="H73" s="158">
        <v>0.10639999806880951</v>
      </c>
      <c r="I73" s="158">
        <v>0.1062999963760376</v>
      </c>
      <c r="J73" s="158">
        <v>0.10620000213384628</v>
      </c>
      <c r="K73" s="158">
        <v>0.10620000213384628</v>
      </c>
      <c r="L73" s="158">
        <v>0.10620000213384628</v>
      </c>
      <c r="M73" s="158">
        <v>0.10599999874830246</v>
      </c>
      <c r="N73" s="158">
        <v>0.10589999705553055</v>
      </c>
      <c r="O73" s="158">
        <v>0.10570000112056732</v>
      </c>
      <c r="P73" s="158">
        <v>0.1054999977350235</v>
      </c>
      <c r="Q73" s="158">
        <v>0.1054999977350235</v>
      </c>
      <c r="R73" s="158">
        <v>0.1054999977350235</v>
      </c>
      <c r="S73" s="158">
        <v>0.1054999977350235</v>
      </c>
      <c r="T73" s="158">
        <v>0.10559999942779541</v>
      </c>
      <c r="U73" s="158">
        <v>0.10570000112056732</v>
      </c>
      <c r="V73" s="158">
        <f t="shared" si="1"/>
        <v>0.10559999942779541</v>
      </c>
      <c r="W73" s="158">
        <v>0.1054999977350235</v>
      </c>
      <c r="X73" s="158">
        <v>0.10540000349283218</v>
      </c>
      <c r="Y73" s="158">
        <v>0.10520000010728836</v>
      </c>
      <c r="Z73" s="158">
        <v>0.10509999841451645</v>
      </c>
      <c r="AA73" s="158">
        <v>0.10490000247955322</v>
      </c>
      <c r="AB73" s="158">
        <v>0.10480000078678131</v>
      </c>
      <c r="AC73" s="158">
        <v>0.10480000078678131</v>
      </c>
      <c r="AD73" s="158">
        <v>0.10480000078678131</v>
      </c>
      <c r="AE73" s="158">
        <v>0.1046999990940094</v>
      </c>
      <c r="AF73" s="158">
        <v>0.10490000247955322</v>
      </c>
    </row>
    <row r="74" spans="1:32" x14ac:dyDescent="0.2">
      <c r="A74" s="158" t="s">
        <v>225</v>
      </c>
      <c r="B74" s="158">
        <v>0.10719999670982361</v>
      </c>
      <c r="C74" s="158">
        <v>0.10719999670982361</v>
      </c>
      <c r="D74" s="158">
        <v>0.10719999670982361</v>
      </c>
      <c r="E74" s="158">
        <v>0.10729999840259552</v>
      </c>
      <c r="F74" s="158">
        <v>0.10729999840259552</v>
      </c>
      <c r="G74" s="158">
        <v>0.10740000009536743</v>
      </c>
      <c r="H74" s="158">
        <v>0.10729999840259552</v>
      </c>
      <c r="I74" s="158">
        <v>0.10729999840259552</v>
      </c>
      <c r="J74" s="158">
        <v>0.10719999670982361</v>
      </c>
      <c r="K74" s="158">
        <v>0.10719999670982361</v>
      </c>
      <c r="L74" s="158">
        <v>0.10719999670982361</v>
      </c>
      <c r="M74" s="158">
        <v>0.10729999840259552</v>
      </c>
      <c r="N74" s="158">
        <v>0.10689999908208847</v>
      </c>
      <c r="O74" s="158">
        <v>0.10679999738931656</v>
      </c>
      <c r="P74" s="158">
        <v>0.10660000145435333</v>
      </c>
      <c r="Q74" s="158">
        <v>0.10660000145435333</v>
      </c>
      <c r="R74" s="158">
        <v>0.10660000145435333</v>
      </c>
      <c r="S74" s="158">
        <v>0.10670000314712524</v>
      </c>
      <c r="T74" s="158">
        <v>0.10679999738931656</v>
      </c>
      <c r="U74" s="158">
        <v>0.10689999908208847</v>
      </c>
      <c r="V74" s="158">
        <f t="shared" si="1"/>
        <v>0.10684999823570251</v>
      </c>
      <c r="W74" s="158">
        <v>0.10679999738931656</v>
      </c>
      <c r="X74" s="158">
        <v>0.10679999738931656</v>
      </c>
      <c r="Y74" s="158">
        <v>0.10649999976158142</v>
      </c>
      <c r="Z74" s="158">
        <v>0.1062999963760376</v>
      </c>
      <c r="AA74" s="158">
        <v>0.10620000213384628</v>
      </c>
      <c r="AB74" s="158">
        <v>0.10610000044107437</v>
      </c>
      <c r="AC74" s="158">
        <v>0.10610000044107437</v>
      </c>
      <c r="AD74" s="158">
        <v>0.10610000044107437</v>
      </c>
      <c r="AE74" s="158">
        <v>0.10610000044107437</v>
      </c>
      <c r="AF74" s="158">
        <v>0.10620000213384628</v>
      </c>
    </row>
    <row r="75" spans="1:32" x14ac:dyDescent="0.2">
      <c r="A75" s="158" t="s">
        <v>226</v>
      </c>
      <c r="B75" s="158">
        <v>0.10740000009536743</v>
      </c>
      <c r="C75" s="158">
        <v>0.10710000246763229</v>
      </c>
      <c r="D75" s="158">
        <v>0.10710000246763229</v>
      </c>
      <c r="E75" s="158">
        <v>0.10700000077486038</v>
      </c>
      <c r="F75" s="158">
        <v>0.10689999908208847</v>
      </c>
      <c r="G75" s="158">
        <v>0.10719999670982361</v>
      </c>
      <c r="H75" s="158">
        <v>0.10679999738931656</v>
      </c>
      <c r="I75" s="158">
        <v>0.10670000314712524</v>
      </c>
      <c r="J75" s="158">
        <v>0.10670000314712524</v>
      </c>
      <c r="K75" s="158">
        <v>0.10670000314712524</v>
      </c>
      <c r="L75" s="158">
        <v>0.10670000314712524</v>
      </c>
      <c r="M75" s="158">
        <v>0.10649999976158142</v>
      </c>
      <c r="N75" s="158">
        <v>0.10639999806880951</v>
      </c>
      <c r="O75" s="158">
        <v>0.10620000213384628</v>
      </c>
      <c r="P75" s="158">
        <v>0.10599999874830246</v>
      </c>
      <c r="Q75" s="158">
        <v>0.10599999874830246</v>
      </c>
      <c r="R75" s="158">
        <v>0.10599999874830246</v>
      </c>
      <c r="S75" s="158">
        <v>0.10599999874830246</v>
      </c>
      <c r="T75" s="158">
        <v>0.10610000044107437</v>
      </c>
      <c r="U75" s="158">
        <v>0.10620000213384628</v>
      </c>
      <c r="V75" s="158">
        <f t="shared" si="1"/>
        <v>0.10615000128746033</v>
      </c>
      <c r="W75" s="158">
        <v>0.10610000044107437</v>
      </c>
      <c r="X75" s="158">
        <v>0.10599999874830246</v>
      </c>
      <c r="Y75" s="158">
        <v>0.10570000112056732</v>
      </c>
      <c r="Z75" s="158">
        <v>0.1054999977350235</v>
      </c>
      <c r="AA75" s="158">
        <v>0.10540000349283218</v>
      </c>
      <c r="AB75" s="158">
        <v>0.10540000349283218</v>
      </c>
      <c r="AC75" s="158">
        <v>0.10530000180006027</v>
      </c>
      <c r="AD75" s="158">
        <v>0.10540000349283218</v>
      </c>
      <c r="AE75" s="158">
        <v>0.10530000180006027</v>
      </c>
      <c r="AF75" s="158">
        <v>0.1054999977350235</v>
      </c>
    </row>
    <row r="76" spans="1:32" x14ac:dyDescent="0.2">
      <c r="A76" s="158" t="s">
        <v>227</v>
      </c>
      <c r="B76" s="158">
        <v>0.10859999805688858</v>
      </c>
      <c r="C76" s="158">
        <v>0.10819999873638153</v>
      </c>
      <c r="D76" s="158">
        <v>0.10809999704360962</v>
      </c>
      <c r="E76" s="158">
        <v>0.10819999873638153</v>
      </c>
      <c r="F76" s="158">
        <v>0.10809999704360962</v>
      </c>
      <c r="G76" s="158">
        <v>0.10819999873638153</v>
      </c>
      <c r="H76" s="158">
        <v>0.10809999704360962</v>
      </c>
      <c r="I76" s="158">
        <v>0.1080000028014183</v>
      </c>
      <c r="J76" s="158">
        <v>0.1080000028014183</v>
      </c>
      <c r="K76" s="158">
        <v>0.1080000028014183</v>
      </c>
      <c r="L76" s="158">
        <v>0.1080000028014183</v>
      </c>
      <c r="M76" s="158">
        <v>0.10779999941587448</v>
      </c>
      <c r="N76" s="158">
        <v>0.10769999772310257</v>
      </c>
      <c r="O76" s="158">
        <v>0.10750000178813934</v>
      </c>
      <c r="P76" s="158">
        <v>0.10729999840259552</v>
      </c>
      <c r="Q76" s="158">
        <v>0.10760000348091125</v>
      </c>
      <c r="R76" s="158">
        <v>0.10729999840259552</v>
      </c>
      <c r="S76" s="158">
        <v>0.10760000348091125</v>
      </c>
      <c r="T76" s="158">
        <v>0.10760000348091125</v>
      </c>
      <c r="U76" s="158">
        <v>0.10769999772310257</v>
      </c>
      <c r="V76" s="158">
        <f t="shared" si="1"/>
        <v>0.10799999907612801</v>
      </c>
      <c r="W76" s="158">
        <v>0.10830000042915344</v>
      </c>
      <c r="X76" s="158">
        <v>0.10819999873638153</v>
      </c>
      <c r="Y76" s="158">
        <v>0.10939999669790268</v>
      </c>
      <c r="Z76" s="158">
        <v>0.10899999737739563</v>
      </c>
      <c r="AA76" s="158">
        <v>0.10920000076293945</v>
      </c>
      <c r="AB76" s="158">
        <v>0.10930000245571136</v>
      </c>
      <c r="AC76" s="158">
        <v>0.10890000313520432</v>
      </c>
      <c r="AD76" s="158">
        <v>0.10890000313520432</v>
      </c>
      <c r="AE76" s="158">
        <v>0.1088000014424324</v>
      </c>
      <c r="AF76" s="158">
        <v>0.10830000042915344</v>
      </c>
    </row>
    <row r="77" spans="1:32" x14ac:dyDescent="0.2">
      <c r="A77" s="158" t="s">
        <v>228</v>
      </c>
      <c r="B77" s="158">
        <v>0.10719999670982361</v>
      </c>
      <c r="C77" s="158">
        <v>0.10660000145435333</v>
      </c>
      <c r="D77" s="158">
        <v>0.10660000145435333</v>
      </c>
      <c r="E77" s="158">
        <v>0.10660000145435333</v>
      </c>
      <c r="F77" s="158">
        <v>0.10639999806880951</v>
      </c>
      <c r="G77" s="158">
        <v>0.10649999976158142</v>
      </c>
      <c r="H77" s="158">
        <v>0.10660000145435333</v>
      </c>
      <c r="I77" s="158">
        <v>0.10620000213384628</v>
      </c>
      <c r="J77" s="158">
        <v>0.10620000213384628</v>
      </c>
      <c r="K77" s="158">
        <v>0.10620000213384628</v>
      </c>
      <c r="L77" s="158">
        <v>0.10610000044107437</v>
      </c>
      <c r="M77" s="158">
        <v>0.10589999705553055</v>
      </c>
      <c r="N77" s="158">
        <v>0.10580000281333923</v>
      </c>
      <c r="O77" s="158">
        <v>0.1054999977350235</v>
      </c>
      <c r="P77" s="158">
        <v>0.10530000180006027</v>
      </c>
      <c r="Q77" s="158">
        <v>0.10530000180006027</v>
      </c>
      <c r="R77" s="158">
        <v>0.10530000180006027</v>
      </c>
      <c r="S77" s="158">
        <v>0.10540000349283218</v>
      </c>
      <c r="T77" s="158">
        <v>0.10570000112056732</v>
      </c>
      <c r="U77" s="158">
        <v>0.10570000112056732</v>
      </c>
      <c r="V77" s="158">
        <f t="shared" si="1"/>
        <v>0.10610000044107437</v>
      </c>
      <c r="W77" s="158">
        <v>0.10649999976158142</v>
      </c>
      <c r="X77" s="158">
        <v>0.10639999806880951</v>
      </c>
      <c r="Y77" s="158">
        <v>0.10620000213384628</v>
      </c>
      <c r="Z77" s="158">
        <v>0.10580000281333923</v>
      </c>
      <c r="AA77" s="158">
        <v>0.10570000112056732</v>
      </c>
      <c r="AB77" s="158">
        <v>0.10559999942779541</v>
      </c>
      <c r="AC77" s="158">
        <v>0.10540000349283218</v>
      </c>
      <c r="AD77" s="158">
        <v>0.1054999977350235</v>
      </c>
      <c r="AE77" s="158">
        <v>0.1054999977350235</v>
      </c>
      <c r="AF77" s="158">
        <v>0.10580000281333923</v>
      </c>
    </row>
    <row r="78" spans="1:32" x14ac:dyDescent="0.2">
      <c r="A78" s="158" t="s">
        <v>229</v>
      </c>
      <c r="B78" s="158">
        <v>0.10790000110864639</v>
      </c>
      <c r="C78" s="158">
        <v>0.10760000348091125</v>
      </c>
      <c r="D78" s="158">
        <v>0.10750000178813934</v>
      </c>
      <c r="E78" s="158">
        <v>0.10750000178813934</v>
      </c>
      <c r="F78" s="158">
        <v>0.10750000178813934</v>
      </c>
      <c r="G78" s="158">
        <v>0.10760000348091125</v>
      </c>
      <c r="H78" s="158">
        <v>0.10750000178813934</v>
      </c>
      <c r="I78" s="158">
        <v>0.10750000178813934</v>
      </c>
      <c r="J78" s="158">
        <v>0.10740000009536743</v>
      </c>
      <c r="K78" s="158">
        <v>0.10740000009536743</v>
      </c>
      <c r="L78" s="158">
        <v>0.10740000009536743</v>
      </c>
      <c r="M78" s="158">
        <v>0.10719999670982361</v>
      </c>
      <c r="N78" s="158">
        <v>0.10700000077486038</v>
      </c>
      <c r="O78" s="158">
        <v>0.10670000314712524</v>
      </c>
      <c r="P78" s="158">
        <v>0.10679999738931656</v>
      </c>
      <c r="Q78" s="158">
        <v>0.10649999976158142</v>
      </c>
      <c r="R78" s="158">
        <v>0.10660000145435333</v>
      </c>
      <c r="S78" s="158">
        <v>0.10679999738931656</v>
      </c>
      <c r="T78" s="158">
        <v>0.10700000077486038</v>
      </c>
      <c r="U78" s="158">
        <v>0.10710000246763229</v>
      </c>
      <c r="V78" s="158">
        <f t="shared" si="1"/>
        <v>0.10710000246763229</v>
      </c>
      <c r="W78" s="158">
        <v>0.10710000246763229</v>
      </c>
      <c r="X78" s="158">
        <v>0.10679999738931656</v>
      </c>
      <c r="Y78" s="158">
        <v>0.10660000145435333</v>
      </c>
      <c r="Z78" s="158">
        <v>0.1062999963760376</v>
      </c>
      <c r="AA78" s="158">
        <v>0.10620000213384628</v>
      </c>
      <c r="AB78" s="158">
        <v>0.10599999874830246</v>
      </c>
      <c r="AC78" s="158">
        <v>0.10589999705553055</v>
      </c>
      <c r="AD78" s="158">
        <v>0.10599999874830246</v>
      </c>
      <c r="AE78" s="158">
        <v>0.10599999874830246</v>
      </c>
      <c r="AF78" s="158">
        <v>0.10610000044107437</v>
      </c>
    </row>
    <row r="79" spans="1:32" x14ac:dyDescent="0.2">
      <c r="A79" s="158" t="s">
        <v>230</v>
      </c>
      <c r="B79" s="158">
        <v>0.10639999806880951</v>
      </c>
      <c r="C79" s="158">
        <v>0.10589999705553055</v>
      </c>
      <c r="D79" s="158">
        <v>0.10570000112056732</v>
      </c>
      <c r="E79" s="158">
        <v>0.10570000112056732</v>
      </c>
      <c r="F79" s="158">
        <v>0.1054999977350235</v>
      </c>
      <c r="G79" s="158">
        <v>0.10559999942779541</v>
      </c>
      <c r="H79" s="158">
        <v>0.10540000349283218</v>
      </c>
      <c r="I79" s="158">
        <v>0.10530000180006027</v>
      </c>
      <c r="J79" s="158">
        <v>0.10509999841451645</v>
      </c>
      <c r="K79" s="158">
        <v>0.10520000010728836</v>
      </c>
      <c r="L79" s="158">
        <v>0.10520000010728836</v>
      </c>
      <c r="M79" s="158">
        <v>0.10499999672174454</v>
      </c>
      <c r="N79" s="158">
        <v>0.10480000078678131</v>
      </c>
      <c r="O79" s="158">
        <v>0.10450000315904617</v>
      </c>
      <c r="P79" s="158">
        <v>0.10429999977350235</v>
      </c>
      <c r="Q79" s="158">
        <v>0.10429999977350235</v>
      </c>
      <c r="R79" s="158">
        <v>0.10429999977350235</v>
      </c>
      <c r="S79" s="158">
        <v>0.10440000146627426</v>
      </c>
      <c r="T79" s="158">
        <v>0.10459999740123749</v>
      </c>
      <c r="U79" s="158">
        <v>0.1046999990940094</v>
      </c>
      <c r="V79" s="158">
        <f t="shared" si="1"/>
        <v>0.10520000010728836</v>
      </c>
      <c r="W79" s="158">
        <v>0.10570000112056732</v>
      </c>
      <c r="X79" s="158">
        <v>0.10540000349283218</v>
      </c>
      <c r="Y79" s="158">
        <v>0.10509999841451645</v>
      </c>
      <c r="Z79" s="158">
        <v>0.10499999672174454</v>
      </c>
      <c r="AA79" s="158">
        <v>0.10480000078678131</v>
      </c>
      <c r="AB79" s="158">
        <v>0.1046999990940094</v>
      </c>
      <c r="AC79" s="158">
        <v>0.10459999740123749</v>
      </c>
      <c r="AD79" s="158">
        <v>0.10459999740123749</v>
      </c>
      <c r="AE79" s="158">
        <v>0.1046999990940094</v>
      </c>
      <c r="AF79" s="158">
        <v>0.10400000214576721</v>
      </c>
    </row>
    <row r="80" spans="1:32" x14ac:dyDescent="0.2">
      <c r="A80" s="158" t="s">
        <v>231</v>
      </c>
      <c r="B80" s="158">
        <v>0.10719999670982361</v>
      </c>
      <c r="C80" s="158">
        <v>0.10679999738931656</v>
      </c>
      <c r="D80" s="158">
        <v>0.10670000314712524</v>
      </c>
      <c r="E80" s="158">
        <v>0.10660000145435333</v>
      </c>
      <c r="F80" s="158">
        <v>0.10660000145435333</v>
      </c>
      <c r="G80" s="158">
        <v>0.10679999738931656</v>
      </c>
      <c r="H80" s="158">
        <v>0.10670000314712524</v>
      </c>
      <c r="I80" s="158">
        <v>0.10670000314712524</v>
      </c>
      <c r="J80" s="158">
        <v>0.10660000145435333</v>
      </c>
      <c r="K80" s="158">
        <v>0.10679999738931656</v>
      </c>
      <c r="L80" s="158">
        <v>0.10660000145435333</v>
      </c>
      <c r="M80" s="158">
        <v>0.10639999806880951</v>
      </c>
      <c r="N80" s="158">
        <v>0.10620000213384628</v>
      </c>
      <c r="O80" s="158">
        <v>0.10599999874830246</v>
      </c>
      <c r="P80" s="158">
        <v>0.10580000281333923</v>
      </c>
      <c r="Q80" s="158">
        <v>0.10580000281333923</v>
      </c>
      <c r="R80" s="158">
        <v>0.10580000281333923</v>
      </c>
      <c r="S80" s="158">
        <v>0.10599999874830246</v>
      </c>
      <c r="T80" s="158">
        <v>0.10620000213384628</v>
      </c>
      <c r="U80" s="158">
        <v>0.1062999963760376</v>
      </c>
      <c r="V80" s="158">
        <f t="shared" si="1"/>
        <v>0.1062999963760376</v>
      </c>
      <c r="W80" s="158">
        <v>0.1062999963760376</v>
      </c>
      <c r="X80" s="158">
        <v>0.10610000044107437</v>
      </c>
      <c r="Y80" s="158">
        <v>0.10580000281333923</v>
      </c>
      <c r="Z80" s="158">
        <v>0.10559999942779541</v>
      </c>
      <c r="AA80" s="158">
        <v>0.10540000349283218</v>
      </c>
      <c r="AB80" s="158">
        <v>0.10530000180006027</v>
      </c>
      <c r="AC80" s="158">
        <v>0.10520000010728836</v>
      </c>
      <c r="AD80" s="158">
        <v>0.10520000010728836</v>
      </c>
      <c r="AE80" s="158">
        <v>0.10530000180006027</v>
      </c>
      <c r="AF80" s="158">
        <v>0.10530000180006027</v>
      </c>
    </row>
    <row r="81" spans="1:32" x14ac:dyDescent="0.2">
      <c r="A81" s="158" t="s">
        <v>232</v>
      </c>
      <c r="B81" s="158">
        <v>0.10719999670982361</v>
      </c>
      <c r="C81" s="158">
        <v>0.10660000145435333</v>
      </c>
      <c r="D81" s="158">
        <v>0.1062999963760376</v>
      </c>
      <c r="E81" s="158">
        <v>0.1062999963760376</v>
      </c>
      <c r="F81" s="158">
        <v>0.10620000213384628</v>
      </c>
      <c r="G81" s="158">
        <v>0.1062999963760376</v>
      </c>
      <c r="H81" s="158">
        <v>0.10620000213384628</v>
      </c>
      <c r="I81" s="158">
        <v>0.10610000044107437</v>
      </c>
      <c r="J81" s="158">
        <v>0.10599999874830246</v>
      </c>
      <c r="K81" s="158">
        <v>0.10599999874830246</v>
      </c>
      <c r="L81" s="158">
        <v>0.10599999874830246</v>
      </c>
      <c r="M81" s="158">
        <v>0.10570000112056732</v>
      </c>
      <c r="N81" s="158">
        <v>0.1054999977350235</v>
      </c>
      <c r="O81" s="158">
        <v>0.10520000010728836</v>
      </c>
      <c r="P81" s="158">
        <v>0.10499999672174454</v>
      </c>
      <c r="Q81" s="158">
        <v>0.10499999672174454</v>
      </c>
      <c r="R81" s="158">
        <v>0.10499999672174454</v>
      </c>
      <c r="S81" s="158">
        <v>0.10520000010728836</v>
      </c>
      <c r="T81" s="158">
        <v>0.10540000349283218</v>
      </c>
      <c r="U81" s="158">
        <v>0.1054999977350235</v>
      </c>
      <c r="V81" s="158">
        <f t="shared" si="1"/>
        <v>0.10545000061392784</v>
      </c>
      <c r="W81" s="158">
        <v>0.10540000349283218</v>
      </c>
      <c r="X81" s="158">
        <v>0.10520000010728836</v>
      </c>
      <c r="Y81" s="158">
        <v>0.10490000247955322</v>
      </c>
      <c r="Z81" s="158">
        <v>0.10459999740123749</v>
      </c>
      <c r="AA81" s="158">
        <v>0.10440000146627426</v>
      </c>
      <c r="AB81" s="158">
        <v>0.10429999977350235</v>
      </c>
      <c r="AC81" s="158">
        <v>0.10419999808073044</v>
      </c>
      <c r="AD81" s="158">
        <v>0.10419999808073044</v>
      </c>
      <c r="AE81" s="158">
        <v>0.10419999808073044</v>
      </c>
      <c r="AF81" s="158">
        <v>0.10440000146627426</v>
      </c>
    </row>
    <row r="82" spans="1:32" x14ac:dyDescent="0.2">
      <c r="A82" s="158" t="s">
        <v>233</v>
      </c>
      <c r="B82" s="158">
        <v>0.10769999772310257</v>
      </c>
      <c r="C82" s="158">
        <v>0.10729999840259552</v>
      </c>
      <c r="D82" s="158">
        <v>0.10689999908208847</v>
      </c>
      <c r="E82" s="158">
        <v>0.10689999908208847</v>
      </c>
      <c r="F82" s="158">
        <v>0.10689999908208847</v>
      </c>
      <c r="G82" s="158">
        <v>0.10719999670982361</v>
      </c>
      <c r="H82" s="158">
        <v>0.10710000246763229</v>
      </c>
      <c r="I82" s="158">
        <v>0.10710000246763229</v>
      </c>
      <c r="J82" s="158">
        <v>0.10700000077486038</v>
      </c>
      <c r="K82" s="158">
        <v>0.10700000077486038</v>
      </c>
      <c r="L82" s="158">
        <v>0.10689999908208847</v>
      </c>
      <c r="M82" s="158">
        <v>0.10670000314712524</v>
      </c>
      <c r="N82" s="158">
        <v>0.10639999806880951</v>
      </c>
      <c r="O82" s="158">
        <v>0.10620000213384628</v>
      </c>
      <c r="P82" s="158">
        <v>0.10599999874830246</v>
      </c>
      <c r="Q82" s="158">
        <v>0.10589999705553055</v>
      </c>
      <c r="R82" s="158">
        <v>0.10599999874830246</v>
      </c>
      <c r="S82" s="158">
        <v>0.10620000213384628</v>
      </c>
      <c r="T82" s="158">
        <v>0.10670000314712524</v>
      </c>
      <c r="U82" s="158">
        <v>0.10660000145435333</v>
      </c>
      <c r="V82" s="158">
        <f t="shared" si="1"/>
        <v>0.10660000145435333</v>
      </c>
      <c r="W82" s="158">
        <v>0.10660000145435333</v>
      </c>
      <c r="X82" s="158">
        <v>0.1062999963760376</v>
      </c>
      <c r="Y82" s="158">
        <v>0.10620000213384628</v>
      </c>
      <c r="Z82" s="158">
        <v>0.10559999942779541</v>
      </c>
      <c r="AA82" s="158">
        <v>0.1054999977350235</v>
      </c>
      <c r="AB82" s="158">
        <v>0.10530000180006027</v>
      </c>
      <c r="AC82" s="158">
        <v>0.10509999841451645</v>
      </c>
      <c r="AD82" s="158">
        <v>0.10509999841451645</v>
      </c>
      <c r="AE82" s="158">
        <v>0.10520000010728836</v>
      </c>
      <c r="AF82" s="158">
        <v>0.10530000180006027</v>
      </c>
    </row>
    <row r="83" spans="1:32" x14ac:dyDescent="0.2">
      <c r="A83" s="158" t="s">
        <v>234</v>
      </c>
      <c r="B83" s="158">
        <v>0.10710000246763229</v>
      </c>
      <c r="C83" s="158">
        <v>0.10679999738931656</v>
      </c>
      <c r="D83" s="158">
        <v>0.10639999806880951</v>
      </c>
      <c r="E83" s="158">
        <v>0.10639999806880951</v>
      </c>
      <c r="F83" s="158">
        <v>0.1062999963760376</v>
      </c>
      <c r="G83" s="158">
        <v>0.10649999976158142</v>
      </c>
      <c r="H83" s="158">
        <v>0.10639999806880951</v>
      </c>
      <c r="I83" s="158">
        <v>0.1062999963760376</v>
      </c>
      <c r="J83" s="158">
        <v>0.10639999806880951</v>
      </c>
      <c r="K83" s="158">
        <v>0.10620000213384628</v>
      </c>
      <c r="L83" s="158">
        <v>0.10620000213384628</v>
      </c>
      <c r="M83" s="158">
        <v>0.10599999874830246</v>
      </c>
      <c r="N83" s="158">
        <v>0.10580000281333923</v>
      </c>
      <c r="O83" s="158">
        <v>0.1054999977350235</v>
      </c>
      <c r="P83" s="158">
        <v>0.10530000180006027</v>
      </c>
      <c r="Q83" s="158">
        <v>0.10530000180006027</v>
      </c>
      <c r="R83" s="158">
        <v>0.10540000349283218</v>
      </c>
      <c r="S83" s="158">
        <v>0.10559999942779541</v>
      </c>
      <c r="T83" s="158">
        <v>0.10580000281333923</v>
      </c>
      <c r="U83" s="158">
        <v>0.10589999705553055</v>
      </c>
      <c r="V83" s="158">
        <f t="shared" si="1"/>
        <v>0.10589999705553055</v>
      </c>
      <c r="W83" s="158">
        <v>0.10589999705553055</v>
      </c>
      <c r="X83" s="158">
        <v>0.10570000112056732</v>
      </c>
      <c r="Y83" s="158">
        <v>0.10530000180006027</v>
      </c>
      <c r="Z83" s="158">
        <v>0.10509999841451645</v>
      </c>
      <c r="AA83" s="158">
        <v>0.10520000010728836</v>
      </c>
      <c r="AB83" s="158">
        <v>0.10480000078678131</v>
      </c>
      <c r="AC83" s="158">
        <v>0.10459999740123749</v>
      </c>
      <c r="AD83" s="158">
        <v>0.1046999990940094</v>
      </c>
      <c r="AE83" s="158">
        <v>0.1046999990940094</v>
      </c>
      <c r="AF83" s="158">
        <v>0.10509999841451645</v>
      </c>
    </row>
    <row r="84" spans="1:32" x14ac:dyDescent="0.2">
      <c r="A84" s="158" t="s">
        <v>235</v>
      </c>
      <c r="B84" s="158">
        <v>0.10719999670982361</v>
      </c>
      <c r="C84" s="158">
        <v>0.10679999738931656</v>
      </c>
      <c r="D84" s="158">
        <v>0.10670000314712524</v>
      </c>
      <c r="E84" s="158">
        <v>0.10649999976158142</v>
      </c>
      <c r="F84" s="158">
        <v>0.10639999806880951</v>
      </c>
      <c r="G84" s="158">
        <v>0.10670000314712524</v>
      </c>
      <c r="H84" s="158">
        <v>0.10660000145435333</v>
      </c>
      <c r="I84" s="158">
        <v>0.10639999806880951</v>
      </c>
      <c r="J84" s="158">
        <v>0.10639999806880951</v>
      </c>
      <c r="K84" s="158">
        <v>0.10639999806880951</v>
      </c>
      <c r="L84" s="158">
        <v>0.10639999806880951</v>
      </c>
      <c r="M84" s="158">
        <v>0.10610000044107437</v>
      </c>
      <c r="N84" s="158">
        <v>0.10580000281333923</v>
      </c>
      <c r="O84" s="158">
        <v>0.10559999942779541</v>
      </c>
      <c r="P84" s="158">
        <v>0.10540000349283218</v>
      </c>
      <c r="Q84" s="158">
        <v>0.10540000349283218</v>
      </c>
      <c r="R84" s="158">
        <v>0.1054999977350235</v>
      </c>
      <c r="S84" s="158">
        <v>0.10559999942779541</v>
      </c>
      <c r="T84" s="158">
        <v>0.10589999705553055</v>
      </c>
      <c r="U84" s="158">
        <v>0.10599999874830246</v>
      </c>
      <c r="V84" s="158">
        <f t="shared" si="1"/>
        <v>0.10604999959468842</v>
      </c>
      <c r="W84" s="158">
        <v>0.10610000044107437</v>
      </c>
      <c r="X84" s="158">
        <v>0.10580000281333923</v>
      </c>
      <c r="Y84" s="158">
        <v>0.1054999977350235</v>
      </c>
      <c r="Z84" s="158">
        <v>0.10520000010728836</v>
      </c>
      <c r="AA84" s="158">
        <v>0.10499999672174454</v>
      </c>
      <c r="AB84" s="158">
        <v>0.10490000247955322</v>
      </c>
      <c r="AC84" s="158">
        <v>0.1046999990940094</v>
      </c>
      <c r="AD84" s="158">
        <v>0.10480000078678131</v>
      </c>
      <c r="AE84" s="158">
        <v>0.10480000078678131</v>
      </c>
      <c r="AF84" s="158">
        <v>0.10499999672174454</v>
      </c>
    </row>
    <row r="85" spans="1:32" x14ac:dyDescent="0.2">
      <c r="A85" s="158" t="s">
        <v>236</v>
      </c>
      <c r="B85" s="158">
        <v>0.10639999806880951</v>
      </c>
      <c r="C85" s="158">
        <v>0.10599999874830246</v>
      </c>
      <c r="D85" s="158">
        <v>0.10580000281333923</v>
      </c>
      <c r="E85" s="158">
        <v>0.10580000281333923</v>
      </c>
      <c r="F85" s="158">
        <v>0.10610000044107437</v>
      </c>
      <c r="G85" s="158">
        <v>0.10620000213384628</v>
      </c>
      <c r="H85" s="158">
        <v>0.10610000044107437</v>
      </c>
      <c r="I85" s="158">
        <v>0.10599999874830246</v>
      </c>
      <c r="J85" s="158">
        <v>0.10580000281333923</v>
      </c>
      <c r="K85" s="158">
        <v>0.10580000281333923</v>
      </c>
      <c r="L85" s="158">
        <v>0.10580000281333923</v>
      </c>
      <c r="M85" s="158">
        <v>0.10559999942779541</v>
      </c>
      <c r="N85" s="158">
        <v>0.10530000180006027</v>
      </c>
      <c r="O85" s="158">
        <v>0.10490000247955322</v>
      </c>
      <c r="P85" s="158">
        <v>0.10490000247955322</v>
      </c>
      <c r="Q85" s="158">
        <v>0.10480000078678131</v>
      </c>
      <c r="R85" s="158">
        <v>0.10480000078678131</v>
      </c>
      <c r="S85" s="158">
        <v>0.10509999841451645</v>
      </c>
      <c r="T85" s="158">
        <v>0.10530000180006027</v>
      </c>
      <c r="U85" s="158">
        <v>0.10559999942779541</v>
      </c>
      <c r="V85" s="158">
        <f t="shared" si="1"/>
        <v>0.10619999840855598</v>
      </c>
      <c r="W85" s="158">
        <v>0.10679999738931656</v>
      </c>
      <c r="X85" s="158">
        <v>0.1062999963760376</v>
      </c>
      <c r="Y85" s="158">
        <v>0.10589999705553055</v>
      </c>
      <c r="Z85" s="158">
        <v>0.10580000281333923</v>
      </c>
      <c r="AA85" s="158">
        <v>0.10570000112056732</v>
      </c>
      <c r="AB85" s="158">
        <v>0.10540000349283218</v>
      </c>
      <c r="AC85" s="158">
        <v>0.1054999977350235</v>
      </c>
      <c r="AD85" s="158">
        <v>0.10520000010728836</v>
      </c>
      <c r="AE85" s="158">
        <v>0.10540000349283218</v>
      </c>
      <c r="AF85" s="158">
        <v>0.10480000078678131</v>
      </c>
    </row>
    <row r="86" spans="1:32" x14ac:dyDescent="0.2">
      <c r="A86" s="158" t="s">
        <v>237</v>
      </c>
      <c r="B86" s="158">
        <v>0.10670000314712524</v>
      </c>
      <c r="C86" s="158">
        <v>0.1062999963760376</v>
      </c>
      <c r="D86" s="158">
        <v>0.10620000213384628</v>
      </c>
      <c r="E86" s="158">
        <v>0.10610000044107437</v>
      </c>
      <c r="F86" s="158">
        <v>0.10599999874830246</v>
      </c>
      <c r="G86" s="158">
        <v>0.1062999963760376</v>
      </c>
      <c r="H86" s="158">
        <v>0.10620000213384628</v>
      </c>
      <c r="I86" s="158">
        <v>0.10610000044107437</v>
      </c>
      <c r="J86" s="158">
        <v>0.10649999976158142</v>
      </c>
      <c r="K86" s="158">
        <v>0.10599999874830246</v>
      </c>
      <c r="L86" s="158">
        <v>0.10610000044107437</v>
      </c>
      <c r="M86" s="158">
        <v>0.10589999705553055</v>
      </c>
      <c r="N86" s="158">
        <v>0.1054999977350235</v>
      </c>
      <c r="O86" s="158">
        <v>0.10520000010728836</v>
      </c>
      <c r="P86" s="158">
        <v>0.10499999672174454</v>
      </c>
      <c r="Q86" s="158">
        <v>0.10499999672174454</v>
      </c>
      <c r="R86" s="158">
        <v>0.10509999841451645</v>
      </c>
      <c r="S86" s="158">
        <v>0.10520000010728836</v>
      </c>
      <c r="T86" s="158">
        <v>0.1054999977350235</v>
      </c>
      <c r="U86" s="158">
        <v>0.10559999942779541</v>
      </c>
      <c r="V86" s="158">
        <f t="shared" si="1"/>
        <v>0.10559999942779541</v>
      </c>
      <c r="W86" s="158">
        <v>0.10559999942779541</v>
      </c>
      <c r="X86" s="158">
        <v>0.10540000349283218</v>
      </c>
      <c r="Y86" s="158">
        <v>0.10509999841451645</v>
      </c>
      <c r="Z86" s="158">
        <v>0.10480000078678131</v>
      </c>
      <c r="AA86" s="158">
        <v>0.10459999740123749</v>
      </c>
      <c r="AB86" s="158">
        <v>0.10440000146627426</v>
      </c>
      <c r="AC86" s="158">
        <v>0.10429999977350235</v>
      </c>
      <c r="AD86" s="158">
        <v>0.10429999977350235</v>
      </c>
      <c r="AE86" s="158">
        <v>0.10440000146627426</v>
      </c>
      <c r="AF86" s="158">
        <v>0.10459999740123749</v>
      </c>
    </row>
    <row r="87" spans="1:32" x14ac:dyDescent="0.2">
      <c r="A87" s="158" t="s">
        <v>238</v>
      </c>
      <c r="B87" s="158">
        <v>0.10679999738931656</v>
      </c>
      <c r="C87" s="158">
        <v>0.10649999976158142</v>
      </c>
      <c r="D87" s="158">
        <v>0.10639999806880951</v>
      </c>
      <c r="E87" s="158">
        <v>0.1062999963760376</v>
      </c>
      <c r="F87" s="158">
        <v>0.10620000213384628</v>
      </c>
      <c r="G87" s="158">
        <v>0.10639999806880951</v>
      </c>
      <c r="H87" s="158">
        <v>0.1062999963760376</v>
      </c>
      <c r="I87" s="158">
        <v>0.10620000213384628</v>
      </c>
      <c r="J87" s="158">
        <v>0.10610000044107437</v>
      </c>
      <c r="K87" s="158">
        <v>0.10610000044107437</v>
      </c>
      <c r="L87" s="158">
        <v>0.10610000044107437</v>
      </c>
      <c r="M87" s="158">
        <v>0.10580000281333923</v>
      </c>
      <c r="N87" s="158">
        <v>0.10559999942779541</v>
      </c>
      <c r="O87" s="158">
        <v>0.1054999977350235</v>
      </c>
      <c r="P87" s="158">
        <v>0.10509999841451645</v>
      </c>
      <c r="Q87" s="158">
        <v>0.10509999841451645</v>
      </c>
      <c r="R87" s="158">
        <v>0.10520000010728836</v>
      </c>
      <c r="S87" s="158">
        <v>0.10530000180006027</v>
      </c>
      <c r="T87" s="158">
        <v>0.10559999942779541</v>
      </c>
      <c r="U87" s="158">
        <v>0.10559999942779541</v>
      </c>
      <c r="V87" s="158">
        <f t="shared" si="1"/>
        <v>0.10565000027418137</v>
      </c>
      <c r="W87" s="158">
        <v>0.10570000112056732</v>
      </c>
      <c r="X87" s="158">
        <v>0.10540000349283218</v>
      </c>
      <c r="Y87" s="158">
        <v>0.10509999841451645</v>
      </c>
      <c r="Z87" s="158">
        <v>0.10490000247955322</v>
      </c>
      <c r="AA87" s="158">
        <v>0.10459999740123749</v>
      </c>
      <c r="AB87" s="158">
        <v>0.10450000315904617</v>
      </c>
      <c r="AC87" s="158">
        <v>0.10440000146627426</v>
      </c>
      <c r="AD87" s="158">
        <v>0.10440000146627426</v>
      </c>
      <c r="AE87" s="158">
        <v>0.10440000146627426</v>
      </c>
      <c r="AF87" s="158">
        <v>0.10459999740123749</v>
      </c>
    </row>
    <row r="88" spans="1:32" x14ac:dyDescent="0.2">
      <c r="A88" s="158" t="s">
        <v>239</v>
      </c>
      <c r="B88" s="158">
        <v>0.10679999738931656</v>
      </c>
      <c r="C88" s="158">
        <v>0.1062999963760376</v>
      </c>
      <c r="D88" s="158">
        <v>0.10620000213384628</v>
      </c>
      <c r="E88" s="158">
        <v>0.10610000044107437</v>
      </c>
      <c r="F88" s="158">
        <v>0.10610000044107437</v>
      </c>
      <c r="G88" s="158">
        <v>0.10620000213384628</v>
      </c>
      <c r="H88" s="158">
        <v>0.10620000213384628</v>
      </c>
      <c r="I88" s="158">
        <v>0.10599999874830246</v>
      </c>
      <c r="J88" s="158">
        <v>0.10589999705553055</v>
      </c>
      <c r="K88" s="158">
        <v>0.10589999705553055</v>
      </c>
      <c r="L88" s="158">
        <v>0.10589999705553055</v>
      </c>
      <c r="M88" s="158">
        <v>0.10570000112056732</v>
      </c>
      <c r="N88" s="158">
        <v>0.10540000349283218</v>
      </c>
      <c r="O88" s="158">
        <v>0.10520000010728836</v>
      </c>
      <c r="P88" s="158">
        <v>0.10490000247955322</v>
      </c>
      <c r="Q88" s="158">
        <v>0.10499999672174454</v>
      </c>
      <c r="R88" s="158">
        <v>0.10499999672174454</v>
      </c>
      <c r="S88" s="158">
        <v>0.10520000010728836</v>
      </c>
      <c r="T88" s="158">
        <v>0.1054999977350235</v>
      </c>
      <c r="U88" s="158">
        <v>0.1054999977350235</v>
      </c>
      <c r="V88" s="158">
        <f t="shared" si="1"/>
        <v>0.1054999977350235</v>
      </c>
      <c r="W88" s="158">
        <v>0.1054999977350235</v>
      </c>
      <c r="X88" s="158">
        <v>0.10520000010728836</v>
      </c>
      <c r="Y88" s="158">
        <v>0.10499999672174454</v>
      </c>
      <c r="Z88" s="158">
        <v>0.1046999990940094</v>
      </c>
      <c r="AA88" s="158">
        <v>0.10450000315904617</v>
      </c>
      <c r="AB88" s="158">
        <v>0.10440000146627426</v>
      </c>
      <c r="AC88" s="158">
        <v>0.10429999977350235</v>
      </c>
      <c r="AD88" s="158">
        <v>0.10419999808073044</v>
      </c>
      <c r="AE88" s="158">
        <v>0.10429999977350235</v>
      </c>
      <c r="AF88" s="158">
        <v>0.10450000315904617</v>
      </c>
    </row>
    <row r="89" spans="1:32" x14ac:dyDescent="0.2">
      <c r="A89" s="158" t="s">
        <v>240</v>
      </c>
      <c r="B89" s="158">
        <v>0.10649999976158142</v>
      </c>
      <c r="C89" s="158">
        <v>0.10610000044107437</v>
      </c>
      <c r="D89" s="158">
        <v>0.10589999705553055</v>
      </c>
      <c r="E89" s="158">
        <v>0.10589999705553055</v>
      </c>
      <c r="F89" s="158">
        <v>0.10589999705553055</v>
      </c>
      <c r="G89" s="158">
        <v>0.10599999874830246</v>
      </c>
      <c r="H89" s="158">
        <v>0.10620000213384628</v>
      </c>
      <c r="I89" s="158">
        <v>0.10570000112056732</v>
      </c>
      <c r="J89" s="158">
        <v>0.10570000112056732</v>
      </c>
      <c r="K89" s="158">
        <v>0.10559999942779541</v>
      </c>
      <c r="L89" s="158">
        <v>0.10570000112056732</v>
      </c>
      <c r="M89" s="158">
        <v>0.10540000349283218</v>
      </c>
      <c r="N89" s="158">
        <v>0.10520000010728836</v>
      </c>
      <c r="O89" s="158">
        <v>0.10490000247955322</v>
      </c>
      <c r="P89" s="158">
        <v>0.1046999990940094</v>
      </c>
      <c r="Q89" s="158">
        <v>0.1046999990940094</v>
      </c>
      <c r="R89" s="158">
        <v>0.1046999990940094</v>
      </c>
      <c r="S89" s="158">
        <v>0.10509999841451645</v>
      </c>
      <c r="T89" s="158">
        <v>0.10520000010728836</v>
      </c>
      <c r="U89" s="158">
        <v>0.10530000180006027</v>
      </c>
      <c r="V89" s="158">
        <f t="shared" si="1"/>
        <v>0.10530000180006027</v>
      </c>
      <c r="W89" s="158">
        <v>0.10530000180006027</v>
      </c>
      <c r="X89" s="158">
        <v>0.10499999672174454</v>
      </c>
      <c r="Y89" s="158">
        <v>0.10480000078678131</v>
      </c>
      <c r="Z89" s="158">
        <v>0.10450000315904617</v>
      </c>
      <c r="AA89" s="158">
        <v>0.10419999808073044</v>
      </c>
      <c r="AB89" s="158">
        <v>0.10409999638795853</v>
      </c>
      <c r="AC89" s="158">
        <v>0.10400000214576721</v>
      </c>
      <c r="AD89" s="158">
        <v>0.10400000214576721</v>
      </c>
      <c r="AE89" s="158">
        <v>0.10409999638795853</v>
      </c>
      <c r="AF89" s="158">
        <v>0.10419999808073044</v>
      </c>
    </row>
    <row r="90" spans="1:32" x14ac:dyDescent="0.2">
      <c r="A90" s="158" t="s">
        <v>241</v>
      </c>
      <c r="B90" s="158">
        <v>0.10740000009536743</v>
      </c>
      <c r="C90" s="158">
        <v>0.10700000077486038</v>
      </c>
      <c r="D90" s="158">
        <v>0.10700000077486038</v>
      </c>
      <c r="E90" s="158">
        <v>0.10670000314712524</v>
      </c>
      <c r="F90" s="158">
        <v>0.10660000145435333</v>
      </c>
      <c r="G90" s="158">
        <v>0.10689999908208847</v>
      </c>
      <c r="H90" s="158">
        <v>0.10670000314712524</v>
      </c>
      <c r="I90" s="158">
        <v>0.10660000145435333</v>
      </c>
      <c r="J90" s="158">
        <v>0.10649999976158142</v>
      </c>
      <c r="K90" s="158">
        <v>0.10649999976158142</v>
      </c>
      <c r="L90" s="158">
        <v>0.10679999738931656</v>
      </c>
      <c r="M90" s="158">
        <v>0.1062999963760376</v>
      </c>
      <c r="N90" s="158">
        <v>0.10599999874830246</v>
      </c>
      <c r="O90" s="158">
        <v>0.10580000281333923</v>
      </c>
      <c r="P90" s="158">
        <v>0.1054999977350235</v>
      </c>
      <c r="Q90" s="158">
        <v>0.1054999977350235</v>
      </c>
      <c r="R90" s="158">
        <v>0.10559999942779541</v>
      </c>
      <c r="S90" s="158">
        <v>0.10570000112056732</v>
      </c>
      <c r="T90" s="158">
        <v>0.10599999874830246</v>
      </c>
      <c r="U90" s="158">
        <v>0.10610000044107437</v>
      </c>
      <c r="V90" s="158">
        <f t="shared" si="1"/>
        <v>0.10610000044107437</v>
      </c>
      <c r="W90" s="158">
        <v>0.10610000044107437</v>
      </c>
      <c r="X90" s="158">
        <v>0.10580000281333923</v>
      </c>
      <c r="Y90" s="158">
        <v>0.1054999977350235</v>
      </c>
      <c r="Z90" s="158">
        <v>0.10530000180006027</v>
      </c>
      <c r="AA90" s="158">
        <v>0.10499999672174454</v>
      </c>
      <c r="AB90" s="158">
        <v>0.10490000247955322</v>
      </c>
      <c r="AC90" s="158">
        <v>0.10480000078678131</v>
      </c>
      <c r="AD90" s="158">
        <v>0.10490000247955322</v>
      </c>
      <c r="AE90" s="158">
        <v>0.10480000078678131</v>
      </c>
      <c r="AF90" s="158">
        <v>0.10499999672174454</v>
      </c>
    </row>
    <row r="91" spans="1:32" x14ac:dyDescent="0.2">
      <c r="A91" s="158" t="s">
        <v>242</v>
      </c>
      <c r="B91" s="158">
        <v>0.10719999670982361</v>
      </c>
      <c r="C91" s="158">
        <v>0.10660000145435333</v>
      </c>
      <c r="D91" s="158">
        <v>0.10639999806880951</v>
      </c>
      <c r="E91" s="158">
        <v>0.10639999806880951</v>
      </c>
      <c r="F91" s="158">
        <v>0.10620000213384628</v>
      </c>
      <c r="G91" s="158">
        <v>0.10639999806880951</v>
      </c>
      <c r="H91" s="158">
        <v>0.10620000213384628</v>
      </c>
      <c r="I91" s="158">
        <v>0.10610000044107437</v>
      </c>
      <c r="J91" s="158">
        <v>0.10599999874830246</v>
      </c>
      <c r="K91" s="158">
        <v>0.10610000044107437</v>
      </c>
      <c r="L91" s="158">
        <v>0.10599999874830246</v>
      </c>
      <c r="M91" s="158">
        <v>0.10580000281333923</v>
      </c>
      <c r="N91" s="158">
        <v>0.1054999977350235</v>
      </c>
      <c r="O91" s="158">
        <v>0.10540000349283218</v>
      </c>
      <c r="P91" s="158">
        <v>0.10499999672174454</v>
      </c>
      <c r="Q91" s="158">
        <v>0.10509999841451645</v>
      </c>
      <c r="R91" s="158">
        <v>0.10509999841451645</v>
      </c>
      <c r="S91" s="158">
        <v>0.10520000010728836</v>
      </c>
      <c r="T91" s="158">
        <v>0.1054999977350235</v>
      </c>
      <c r="U91" s="158">
        <v>0.10559999942779541</v>
      </c>
      <c r="V91" s="158">
        <f t="shared" si="1"/>
        <v>0.10559999942779541</v>
      </c>
      <c r="W91" s="158">
        <v>0.10559999942779541</v>
      </c>
      <c r="X91" s="158">
        <v>0.10540000349283218</v>
      </c>
      <c r="Y91" s="158">
        <v>0.10509999841451645</v>
      </c>
      <c r="Z91" s="158">
        <v>0.10490000247955322</v>
      </c>
      <c r="AA91" s="158">
        <v>0.10459999740123749</v>
      </c>
      <c r="AB91" s="158">
        <v>0.10440000146627426</v>
      </c>
      <c r="AC91" s="158">
        <v>0.10440000146627426</v>
      </c>
      <c r="AD91" s="158">
        <v>0.10440000146627426</v>
      </c>
      <c r="AE91" s="158">
        <v>0.10440000146627426</v>
      </c>
      <c r="AF91" s="158">
        <v>0.10459999740123749</v>
      </c>
    </row>
    <row r="92" spans="1:32" x14ac:dyDescent="0.2">
      <c r="A92" s="158" t="s">
        <v>243</v>
      </c>
      <c r="B92" s="158">
        <v>0.10740000009536743</v>
      </c>
      <c r="C92" s="158">
        <v>0.10679999738931656</v>
      </c>
      <c r="D92" s="158">
        <v>0.10660000145435333</v>
      </c>
      <c r="E92" s="158">
        <v>0.10639999806880951</v>
      </c>
      <c r="F92" s="158">
        <v>0.1062999963760376</v>
      </c>
      <c r="G92" s="158">
        <v>0.10649999976158142</v>
      </c>
      <c r="H92" s="158">
        <v>0.1062999963760376</v>
      </c>
      <c r="I92" s="158">
        <v>0.10620000213384628</v>
      </c>
      <c r="J92" s="158">
        <v>0.10610000044107437</v>
      </c>
      <c r="K92" s="158">
        <v>0.10610000044107437</v>
      </c>
      <c r="L92" s="158">
        <v>0.10599999874830246</v>
      </c>
      <c r="M92" s="158">
        <v>0.10580000281333923</v>
      </c>
      <c r="N92" s="158">
        <v>0.1054999977350235</v>
      </c>
      <c r="O92" s="158">
        <v>0.10530000180006027</v>
      </c>
      <c r="P92" s="158">
        <v>0.10499999672174454</v>
      </c>
      <c r="Q92" s="158">
        <v>0.10499999672174454</v>
      </c>
      <c r="R92" s="158">
        <v>0.10509999841451645</v>
      </c>
      <c r="S92" s="158">
        <v>0.10520000010728836</v>
      </c>
      <c r="T92" s="158">
        <v>0.1054999977350235</v>
      </c>
      <c r="U92" s="158">
        <v>0.10559999942779541</v>
      </c>
      <c r="V92" s="158">
        <f t="shared" si="1"/>
        <v>0.10559999942779541</v>
      </c>
      <c r="W92" s="158">
        <v>0.10559999942779541</v>
      </c>
      <c r="X92" s="158">
        <v>0.10530000180006027</v>
      </c>
      <c r="Y92" s="158">
        <v>0.10509999841451645</v>
      </c>
      <c r="Z92" s="158">
        <v>0.10480000078678131</v>
      </c>
      <c r="AA92" s="158">
        <v>0.10450000315904617</v>
      </c>
      <c r="AB92" s="158">
        <v>0.10440000146627426</v>
      </c>
      <c r="AC92" s="158">
        <v>0.10429999977350235</v>
      </c>
      <c r="AD92" s="158">
        <v>0.10429999977350235</v>
      </c>
      <c r="AE92" s="158">
        <v>0.10429999977350235</v>
      </c>
      <c r="AF92" s="158">
        <v>0.10450000315904617</v>
      </c>
    </row>
    <row r="93" spans="1:32" x14ac:dyDescent="0.2">
      <c r="A93" s="158" t="s">
        <v>244</v>
      </c>
      <c r="B93" s="158">
        <v>0.10750000178813934</v>
      </c>
      <c r="C93" s="158">
        <v>0.10639999806880951</v>
      </c>
      <c r="D93" s="158">
        <v>0.10639999806880951</v>
      </c>
      <c r="E93" s="158">
        <v>0.10670000314712524</v>
      </c>
      <c r="F93" s="158">
        <v>0.10639999806880951</v>
      </c>
      <c r="G93" s="158">
        <v>0.10660000145435333</v>
      </c>
      <c r="H93" s="158">
        <v>0.1062999963760376</v>
      </c>
      <c r="I93" s="158">
        <v>0.10620000213384628</v>
      </c>
      <c r="J93" s="158">
        <v>0.10599999874830246</v>
      </c>
      <c r="K93" s="158">
        <v>0.10599999874830246</v>
      </c>
      <c r="L93" s="158">
        <v>0.10599999874830246</v>
      </c>
      <c r="M93" s="158">
        <v>0.10570000112056732</v>
      </c>
      <c r="N93" s="158">
        <v>0.1054999977350235</v>
      </c>
      <c r="O93" s="158">
        <v>0.10530000180006027</v>
      </c>
      <c r="P93" s="158">
        <v>0.10490000247955322</v>
      </c>
      <c r="Q93" s="158">
        <v>0.10490000247955322</v>
      </c>
      <c r="R93" s="158">
        <v>0.10499999672174454</v>
      </c>
      <c r="S93" s="158">
        <v>0.10509999841451645</v>
      </c>
      <c r="T93" s="158">
        <v>0.10530000180006027</v>
      </c>
      <c r="U93" s="158">
        <v>0.10530000180006027</v>
      </c>
      <c r="V93" s="158">
        <f t="shared" si="1"/>
        <v>0.10530000180006027</v>
      </c>
      <c r="W93" s="158">
        <v>0.10530000180006027</v>
      </c>
      <c r="X93" s="158">
        <v>0.10499999672174454</v>
      </c>
      <c r="Y93" s="158">
        <v>0.1046999990940094</v>
      </c>
      <c r="Z93" s="158">
        <v>0.10450000315904617</v>
      </c>
      <c r="AA93" s="158">
        <v>0.10419999808073044</v>
      </c>
      <c r="AB93" s="158">
        <v>0.10400000214576721</v>
      </c>
      <c r="AC93" s="158">
        <v>0.10400000214576721</v>
      </c>
      <c r="AD93" s="158">
        <v>0.10409999638795853</v>
      </c>
      <c r="AE93" s="158">
        <v>0.1039000004529953</v>
      </c>
      <c r="AF93" s="158">
        <v>0.10350000113248825</v>
      </c>
    </row>
    <row r="94" spans="1:32" x14ac:dyDescent="0.2">
      <c r="A94" s="156" t="s">
        <v>308</v>
      </c>
      <c r="B94" s="156">
        <f>$B$55-AVERAGE($B$58,$B$62)</f>
        <v>5.5000185966491699E-4</v>
      </c>
      <c r="C94" s="156">
        <f>$C$55-AVERAGE($C$58,$C$62)</f>
        <v>7.0000439882278442E-4</v>
      </c>
      <c r="D94" s="156">
        <f>$D$55-AVERAGE($D$58,$D$62)</f>
        <v>9.0000033378601074E-4</v>
      </c>
      <c r="E94" s="156">
        <f>$E$55-AVERAGE($E$58,$E$62)</f>
        <v>1.7499998211860657E-3</v>
      </c>
      <c r="F94" s="156">
        <f>$F$55-AVERAGE($F$58,$F$62)</f>
        <v>2.1999962627887726E-3</v>
      </c>
      <c r="G94" s="156">
        <f>$G$55-AVERAGE($G$58,$G$62)</f>
        <v>3.599993884563446E-3</v>
      </c>
      <c r="H94" s="156">
        <f>$H$55-AVERAGE($H$58,$H$62)</f>
        <v>5.800001323223114E-3</v>
      </c>
      <c r="I94" s="156">
        <f>$I$55-AVERAGE($I$58,$I$62)</f>
        <v>9.5499977469444275E-3</v>
      </c>
      <c r="J94" s="156">
        <f>$J$55-AVERAGE($J$58,$J$62)</f>
        <v>1.5900000929832458E-2</v>
      </c>
      <c r="K94" s="156">
        <f>$K$55-AVERAGE($K$58,$K$62)</f>
        <v>2.5700002908706665E-2</v>
      </c>
      <c r="L94" s="156">
        <f>$L$55-AVERAGE($L$58,$L$62)</f>
        <v>4.0600001811981201E-2</v>
      </c>
      <c r="M94" s="156">
        <f>$M$55-AVERAGE($M$58,$M$62)</f>
        <v>6.1599995940923691E-2</v>
      </c>
      <c r="N94" s="156">
        <f>$N$55-AVERAGE($N$58,$N$62)</f>
        <v>8.8349997997283936E-2</v>
      </c>
      <c r="O94" s="156">
        <f>$O$55-AVERAGE($O$58,$O$62)</f>
        <v>0.12064999341964722</v>
      </c>
      <c r="P94" s="156">
        <f>$P$55-AVERAGE($P$58,$P$62)</f>
        <v>0.15840000659227371</v>
      </c>
      <c r="Q94" s="156">
        <f>$Q$55-AVERAGE($Q$58,$Q$62)</f>
        <v>0.20089999586343765</v>
      </c>
      <c r="R94" s="156">
        <f>$R$55-AVERAGE($R$58,$R$62)</f>
        <v>0.24725000560283661</v>
      </c>
      <c r="S94" s="156">
        <f>$S$55-AVERAGE($S$58,$S$62)</f>
        <v>0.28790000081062317</v>
      </c>
      <c r="T94" s="156">
        <f>$T$55-AVERAGE($T$58,$T$62)</f>
        <v>0.3218500092625618</v>
      </c>
      <c r="U94" s="156">
        <f>$U$55-AVERAGE($U$58,$U$62)</f>
        <v>0.35014998540282249</v>
      </c>
      <c r="V94" s="156">
        <f>$V$55-AVERAGE($V$58,$V$62)</f>
        <v>0.35542499087750912</v>
      </c>
      <c r="W94" s="156">
        <f>$W$55-AVERAGE($W$58,$W$62)</f>
        <v>0.36069999635219574</v>
      </c>
      <c r="X94" s="156">
        <f>$X$55-AVERAGE($X$58,$X$62)</f>
        <v>0.36304999142885208</v>
      </c>
      <c r="Y94" s="156">
        <f>$Y$55-AVERAGE($Y$58,$Y$62)</f>
        <v>0.36365001276135445</v>
      </c>
      <c r="Z94" s="156">
        <f>$Z$55-AVERAGE($Z$58,$Z$62)</f>
        <v>0.36449999734759331</v>
      </c>
      <c r="AA94" s="156">
        <f>$AA$55-AVERAGE($AA$58,$AA$62)</f>
        <v>0.36855000630021095</v>
      </c>
      <c r="AB94" s="156">
        <f>$AB$55-AVERAGE($AB$58,$AB$62)</f>
        <v>0.37404999509453773</v>
      </c>
      <c r="AC94" s="156">
        <f>$AC$55-AVERAGE($AC$58,$AC$62)</f>
        <v>0.38160000368952751</v>
      </c>
      <c r="AD94" s="156">
        <f>$AD$55-AVERAGE($AD$58,$AD$62)</f>
        <v>0.39255001023411751</v>
      </c>
      <c r="AE94" s="156">
        <f>$AE$55-AVERAGE($AE$58,$AE$62)</f>
        <v>0.40705001354217529</v>
      </c>
      <c r="AF94" s="156">
        <f>$AF$55-AVERAGE($AF$58,$AF$62)</f>
        <v>0.42035001516342163</v>
      </c>
    </row>
    <row r="95" spans="1:32" x14ac:dyDescent="0.2">
      <c r="A95" s="157" t="s">
        <v>309</v>
      </c>
      <c r="B95" s="157">
        <f>$B$56-AVERAGE($B$58,$B$62,$B$66,$B$70)</f>
        <v>6.7499466240406036E-4</v>
      </c>
      <c r="C95" s="157">
        <f>$C$56-AVERAGE($C$58,$C$62,$C$66,$C$70)</f>
        <v>7.9999677836894989E-4</v>
      </c>
      <c r="D95" s="157">
        <f>$D$56-AVERAGE($D$58,$D$62,$D$66,$D$70)</f>
        <v>1.2250039726495743E-3</v>
      </c>
      <c r="E95" s="157">
        <f>$E$56-AVERAGE($E$58,$E$62,$E$66,$E$70)</f>
        <v>1.8499996513128281E-3</v>
      </c>
      <c r="F95" s="157">
        <f>$F$56-AVERAGE($F$58,$F$62,$F$66,$F$70)</f>
        <v>2.9500015079975128E-3</v>
      </c>
      <c r="G95" s="157">
        <f>$G$56-AVERAGE($G$58,$G$62,$G$66,$G$70)</f>
        <v>4.6499986201524734E-3</v>
      </c>
      <c r="H95" s="157">
        <f>$H$56-AVERAGE($H$58,$H$62,$H$66,$H$70)</f>
        <v>7.5750015676021576E-3</v>
      </c>
      <c r="I95" s="157">
        <f>$I$56-AVERAGE($I$58,$I$62,$I$66,$I$70)</f>
        <v>1.2550001963973045E-2</v>
      </c>
      <c r="J95" s="157">
        <f>$J$56-AVERAGE($J$58,$J$62,$J$66,$J$70)</f>
        <v>2.0674997940659523E-2</v>
      </c>
      <c r="K95" s="157">
        <f>$K$56-AVERAGE($K$58,$K$62,$K$66,$K$70)</f>
        <v>3.3275002613663673E-2</v>
      </c>
      <c r="L95" s="157">
        <f>$L$56-AVERAGE($L$58,$L$62,$L$66,$L$70)</f>
        <v>5.1349995657801628E-2</v>
      </c>
      <c r="M95" s="157">
        <f>$M$56-AVERAGE($M$58,$M$62,$M$66,$M$70)</f>
        <v>7.6049994677305222E-2</v>
      </c>
      <c r="N95" s="157">
        <f>$N$56-AVERAGE($N$58,$N$62,$N$66,$N$70)</f>
        <v>0.10619999654591084</v>
      </c>
      <c r="O95" s="157">
        <f>$O$56-AVERAGE($O$58,$O$62,$O$66,$O$70)</f>
        <v>0.14182500168681145</v>
      </c>
      <c r="P95" s="157">
        <f>$P$56-AVERAGE($P$58,$P$62,$P$66,$P$70)</f>
        <v>0.18317501433193684</v>
      </c>
      <c r="Q95" s="157">
        <f>$Q$56-AVERAGE($Q$58,$Q$62,$Q$66,$Q$70)</f>
        <v>0.22837500460445881</v>
      </c>
      <c r="R95" s="157">
        <f>$R$56-AVERAGE($R$58,$R$62,$R$66,$R$70)</f>
        <v>0.27237500436604023</v>
      </c>
      <c r="S95" s="157">
        <f>$S$56-AVERAGE($S$58,$S$62,$S$66,$S$70)</f>
        <v>0.30659999884665012</v>
      </c>
      <c r="T95" s="157">
        <f>$T$56-AVERAGE($T$58,$T$62,$T$66,$T$70)</f>
        <v>0.3378750067204237</v>
      </c>
      <c r="U95" s="157">
        <f>$U$56-AVERAGE($U$58,$U$62,$U$66,$U$70)</f>
        <v>0.34869999811053276</v>
      </c>
      <c r="V95" s="157">
        <f>$V$56-AVERAGE($V$58,$V$62,$V$66,$V$70)</f>
        <v>0.35285000037401915</v>
      </c>
      <c r="W95" s="157">
        <f>$W$56-AVERAGE($W$58,$W$62,$W$66,$W$70)</f>
        <v>0.35700000263750553</v>
      </c>
      <c r="X95" s="157">
        <f>$X$56-AVERAGE($X$58,$X$62,$X$66,$X$70)</f>
        <v>0.35782498680055141</v>
      </c>
      <c r="Y95" s="157">
        <f>$Y$56-AVERAGE($Y$58,$Y$62,$Y$66,$Y$70)</f>
        <v>0.35884998552501202</v>
      </c>
      <c r="Z95" s="157">
        <f>$Z$56-AVERAGE($Z$58,$Z$62,$Z$66,$Z$70)</f>
        <v>0.36030000820755959</v>
      </c>
      <c r="AA95" s="157">
        <f>$AA$56-AVERAGE($AA$58,$AA$62,$AA$66,$AA$70)</f>
        <v>0.36517500132322311</v>
      </c>
      <c r="AB95" s="157">
        <f>$AB$56-AVERAGE($AB$58,$AB$62,$AB$66,$AB$70)</f>
        <v>0.37210001423954964</v>
      </c>
      <c r="AC95" s="157">
        <f>$AC$56-AVERAGE($AC$58,$AC$62,$AC$66,$AC$70)</f>
        <v>0.38239999487996101</v>
      </c>
      <c r="AD95" s="157">
        <f>$AD$56-AVERAGE($AD$58,$AD$62,$AD$66,$AD$70)</f>
        <v>0.39505000039935112</v>
      </c>
      <c r="AE95" s="157">
        <f>$AE$56-AVERAGE($AE$58,$AE$62,$AE$66,$AE$70)</f>
        <v>0.41004999913275242</v>
      </c>
      <c r="AF95" s="157">
        <f>$AF$56-AVERAGE($AF$58,$AF$62,$AF$66,$AF$70)</f>
        <v>0.42202502302825451</v>
      </c>
    </row>
    <row r="96" spans="1:32" x14ac:dyDescent="0.2">
      <c r="A96" s="168" t="s">
        <v>310</v>
      </c>
      <c r="B96" s="168">
        <f>$B$57-AVERAGE($B$58,$B$59,$B$61,$B$62,$B$63,$B$66,$B$68,$B$69,$B$70,$B$71,$B$72,$B$73,$B$74,$B$75,$B$77,$B$79,$B$80,$B$81,$B$83,$B$84,$B$85,$B$86,$B$87,$B$88,$B$89,$B$90,$B$91,$B$92,$B$93)</f>
        <v>2.3206891170863414E-3</v>
      </c>
      <c r="C96" s="168">
        <f>$C$57-AVERAGE($C$58,$C$59,$C$61,$C$62,$C$63,$C$66,$C$68,$C$69,$C$70,$C$71,$C$72,$C$73,$C$74,$C$75,$C$77,$C$79,$C$80,$C$81,$C$83,$C$84,$C$85,$C$86,$C$87,$C$88,$C$89,$C$90,$C$91,$C$92,$C$93)</f>
        <v>8.6551647761771988E-4</v>
      </c>
      <c r="D96" s="168">
        <f>$D$57-AVERAGE($D$58,$D$59,$D$61,$D$62,$D$63,$D$66,$D$68,$D$69,$D$70,$D$71,$D$72,$D$73,$D$74,$D$75,$D$77,$D$79,$D$80,$D$81,$D$83,$D$84,$D$85,$D$86,$D$87,$D$88,$D$89,$D$90,$D$91,$D$92,$D$93)</f>
        <v>2.8655182184844225E-3</v>
      </c>
      <c r="E96" s="168">
        <f>$E$57-AVERAGE($E$58,$E$59,$E$61,$E$62,$E$63,$E$66,$E$68,$E$69,$E$70,$E$71,$E$72,$E$73,$E$74,$E$75,$E$77,$E$79,$E$80,$E$81,$E$83,$E$84,$E$85,$E$86,$E$87,$E$88,$E$89,$E$90,$E$91,$E$92,$E$93)</f>
        <v>1.9655178846984117E-3</v>
      </c>
      <c r="F96" s="168">
        <f>$F$57-AVERAGE($F$58,$F$59,$F$61,$F$62,$F$63,$F$66,$F$68,$F$69,$F$70,$F$71,$F$72,$F$73,$F$74,$F$75,$F$77,$F$79,$F$80,$F$81,$F$83,$F$84,$F$85,$F$86,$F$87,$F$88,$F$89,$F$90,$F$91,$F$92,$F$93)</f>
        <v>2.7758599869136119E-3</v>
      </c>
      <c r="G96" s="168">
        <f>$G$57-AVERAGE($G$58,$G$59,$G$61,$G$62,$G$63,$G$66,$G$68,$G$69,$G$70,$G$71,$G$72,$G$73,$G$74,$G$75,$G$77,$G$79,$G$80,$G$81,$G$83,$G$84,$G$85,$G$86,$G$87,$G$88,$G$89,$G$90,$G$91,$G$92,$G$93)</f>
        <v>4.2827607228838188E-3</v>
      </c>
      <c r="H96" s="168">
        <f>$H$57-AVERAGE($H$58,$H$59,$H$61,$H$62,$H$63,$H$66,$H$68,$H$69,$H$70,$H$71,$H$72,$H$73,$H$74,$H$75,$H$77,$H$79,$H$80,$H$81,$H$83,$H$84,$H$85,$H$86,$H$87,$H$88,$H$89,$H$90,$H$91,$H$92,$H$93)</f>
        <v>7.1000027759321738E-3</v>
      </c>
      <c r="I96" s="168">
        <f>$I$57-AVERAGE($I$58,$I$59,$I$61,$I$62,$I$63,$I$66,$I$68,$I$69,$I$70,$I$71,$I$72,$I$73,$I$74,$I$75,$I$77,$I$79,$I$80,$I$81,$I$83,$I$84,$I$85,$I$86,$I$87,$I$88,$I$89,$I$90,$I$91,$I$92,$I$93)</f>
        <v>1.2037933386605359E-2</v>
      </c>
      <c r="J96" s="168">
        <f>$J$57-AVERAGE($J$58,$J$59,$J$61,$J$62,$J$63,$J$66,$J$68,$J$69,$J$70,$J$71,$J$72,$J$73,$J$74,$J$75,$J$77,$J$79,$J$80,$J$81,$J$83,$J$84,$J$85,$J$86,$J$87,$J$88,$J$89,$J$90,$J$91,$J$92,$J$93)</f>
        <v>1.9689652683406042E-2</v>
      </c>
      <c r="K96" s="168">
        <f>$K$57-AVERAGE($K$58,$K$59,$K$61,$K$62,$K$63,$K$66,$K$68,$K$69,$K$70,$K$71,$K$72,$K$73,$K$74,$K$75,$K$77,$K$79,$K$80,$K$81,$K$83,$K$84,$K$85,$K$86,$K$87,$K$88,$K$89,$K$90,$K$91,$K$92,$K$93)</f>
        <v>3.4220694211022612E-2</v>
      </c>
      <c r="L96" s="168">
        <f>$L$57-AVERAGE($L$58,$L$59,$L$61,$L$62,$L$63,$L$66,$L$68,$L$69,$L$70,$L$71,$L$72,$L$73,$L$74,$L$75,$L$77,$L$79,$L$80,$L$81,$L$83,$L$84,$L$85,$L$86,$L$87,$L$88,$L$89,$L$90,$L$91,$L$92,$L$93)</f>
        <v>4.9910347009527276E-2</v>
      </c>
      <c r="M96" s="168">
        <f>$M$57-AVERAGE($M$58,$M$59,$M$61,$M$62,$M$63,$M$66,$M$68,$M$69,$M$70,$M$71,$M$72,$M$73,$M$74,$M$75,$M$77,$M$79,$M$80,$M$81,$M$83,$M$84,$M$85,$M$86,$M$87,$M$88,$M$89,$M$90,$M$91,$M$92,$M$93)</f>
        <v>7.6589658342558764E-2</v>
      </c>
      <c r="N96" s="168">
        <f>$N$57-AVERAGE($N$58,$N$59,$N$61,$N$62,$N$63,$N$66,$N$68,$N$69,$N$70,$N$71,$N$72,$N$73,$N$74,$N$75,$N$77,$N$79,$N$80,$N$81,$N$83,$N$84,$N$85,$N$86,$N$87,$N$88,$N$89,$N$90,$N$91,$N$92,$N$93)</f>
        <v>0.10626206469946894</v>
      </c>
      <c r="O96" s="168">
        <f>$O$57-AVERAGE($O$58,$O$59,$O$61,$O$62,$O$63,$O$66,$O$68,$O$69,$O$70,$O$71,$O$72,$O$73,$O$74,$O$75,$O$77,$O$79,$O$80,$O$81,$O$83,$O$84,$O$85,$O$86,$O$87,$O$88,$O$89,$O$90,$O$91,$O$92,$O$93)</f>
        <v>0.14293793331960153</v>
      </c>
      <c r="P96" s="168">
        <f>$P$57-AVERAGE($P$58,$P$59,$P$61,$P$62,$P$63,$P$66,$P$68,$P$69,$P$70,$P$71,$P$72,$P$73,$P$74,$P$75,$P$77,$P$79,$P$80,$P$81,$P$83,$P$84,$P$85,$P$86,$P$87,$P$88,$P$89,$P$90,$P$91,$P$92,$P$93)</f>
        <v>0.18695517141243506</v>
      </c>
      <c r="Q96" s="168">
        <f>$Q$57-AVERAGE($Q$58,$Q$59,$Q$61,$Q$62,$Q$63,$Q$66,$Q$68,$Q$69,$Q$70,$Q$71,$Q$72,$Q$73,$Q$74,$Q$75,$Q$77,$Q$79,$Q$80,$Q$81,$Q$83,$Q$84,$Q$85,$Q$86,$Q$87,$Q$88,$Q$89,$Q$90,$Q$91,$Q$92,$Q$93)</f>
        <v>0.23065173317646159</v>
      </c>
      <c r="R96" s="168">
        <f>$R$57-AVERAGE($R$58,$R$59,$R$61,$R$62,$R$63,$R$66,$R$68,$R$69,$R$70,$R$71,$R$72,$R$73,$R$74,$R$75,$R$77,$R$79,$R$80,$R$81,$R$83,$R$84,$R$85,$R$86,$R$87,$R$88,$R$89,$R$90,$R$91,$R$92,$R$93)</f>
        <v>0.27623448880582019</v>
      </c>
      <c r="S96" s="168">
        <f>$S$57-AVERAGE($S$58,$S$59,$S$61,$S$62,$S$63,$S$66,$S$68,$S$69,$S$70,$S$71,$S$72,$S$73,$S$74,$S$75,$S$77,$S$79,$S$80,$S$81,$S$83,$S$84,$S$85,$S$86,$S$87,$S$88,$S$89,$S$90,$S$91,$S$92,$S$93)</f>
        <v>0.31288619262391126</v>
      </c>
      <c r="T96" s="168">
        <f>$T$57-AVERAGE($T$58,$T$59,$T$61,$T$62,$T$63,$T$66,$T$68,$T$69,$T$70,$T$71,$T$72,$T$73,$T$74,$T$75,$T$77,$T$79,$T$80,$T$81,$T$83,$T$84,$T$85,$T$86,$T$87,$T$88,$T$89,$T$90,$T$91,$T$92,$T$93)</f>
        <v>0.34504483871418856</v>
      </c>
      <c r="U96" s="168">
        <f>$U$57-AVERAGE($U$58,$U$59,$U$61,$U$62,$U$63,$U$66,$U$68,$U$69,$U$70,$U$71,$U$72,$U$73,$U$74,$U$75,$U$77,$U$79,$U$80,$U$81,$U$83,$U$84,$U$85,$U$86,$U$87,$U$88,$U$89,$U$90,$U$91,$U$92,$U$93)</f>
        <v>0.35877931683227937</v>
      </c>
      <c r="V96" s="168">
        <f>$V$57-AVERAGE($V$58,$V$59,$V$61,$V$62,$V$63,$V$66,$V$68,$V$69,$V$70,$V$71,$V$72,$V$73,$V$74,$V$75,$V$77,$V$79,$V$80,$V$81,$V$83,$V$84,$V$85,$V$86,$V$87,$V$88,$V$89,$V$90,$V$91,$V$92,$V$93)</f>
        <v>0.36296034809844246</v>
      </c>
      <c r="W96" s="168">
        <f>$W$57-AVERAGE($W$58,$W$59,$W$61,$W$62,$W$63,$W$66,$W$68,$W$69,$W$70,$W$71,$W$72,$W$73,$W$74,$W$75,$W$77,$W$79,$W$80,$W$81,$W$83,$W$84,$W$85,$W$86,$W$87,$W$88,$W$89,$W$90,$W$91,$W$92,$W$93)</f>
        <v>0.36714137936460561</v>
      </c>
      <c r="X96" s="168">
        <f>$X$57-AVERAGE($X$58,$X$59,$X$61,$X$62,$X$63,$X$66,$X$68,$X$69,$X$70,$X$71,$X$72,$X$73,$X$74,$X$75,$X$77,$X$79,$X$80,$X$81,$X$83,$X$84,$X$85,$X$86,$X$87,$X$88,$X$89,$X$90,$X$91,$X$92,$X$93)</f>
        <v>0.36580343750016442</v>
      </c>
      <c r="Y96" s="168">
        <f>$Y$57-AVERAGE($Y$58,$Y$59,$Y$61,$Y$62,$Y$63,$Y$66,$Y$68,$Y$69,$Y$70,$Y$71,$Y$72,$Y$73,$Y$74,$Y$75,$Y$77,$Y$79,$Y$80,$Y$81,$Y$83,$Y$84,$Y$85,$Y$86,$Y$87,$Y$88,$Y$89,$Y$90,$Y$91,$Y$92,$Y$93)</f>
        <v>0.36771724501560477</v>
      </c>
      <c r="Z96" s="168">
        <f>$Z$57-AVERAGE($Z$58,$Z$59,$Z$61,$Z$62,$Z$63,$Z$66,$Z$68,$Z$69,$Z$70,$Z$71,$Z$72,$Z$73,$Z$74,$Z$75,$Z$77,$Z$79,$Z$80,$Z$81,$Z$83,$Z$84,$Z$85,$Z$86,$Z$87,$Z$88,$Z$89,$Z$90,$Z$91,$Z$92,$Z$93)</f>
        <v>0.36787241620236433</v>
      </c>
      <c r="AA96" s="168">
        <f>$AA$57-AVERAGE($AA$58,$AA$59,$AA$61,$AA$62,$AA$63,$AA$66,$AA$68,$AA$69,$AA$70,$AA$71,$AA$72,$AA$73,$AA$74,$AA$75,$AA$77,$AA$79,$AA$80,$AA$81,$AA$83,$AA$84,$AA$85,$AA$86,$AA$87,$AA$88,$AA$89,$AA$90,$AA$91,$AA$92,$AA$93)</f>
        <v>0.3715275736718342</v>
      </c>
      <c r="AB96" s="168">
        <f>$AB$57-AVERAGE($AB$58,$AB$59,$AB$61,$AB$62,$AB$63,$AB$66,$AB$68,$AB$69,$AB$70,$AB$71,$AB$72,$AB$73,$AB$74,$AB$75,$AB$77,$AB$79,$AB$80,$AB$81,$AB$83,$AB$84,$AB$85,$AB$86,$AB$87,$AB$88,$AB$89,$AB$90,$AB$91,$AB$92,$AB$93)</f>
        <v>0.37812757877440289</v>
      </c>
      <c r="AC96" s="168">
        <f>$AC$57-AVERAGE($AC$58,$AC$59,$AC$61,$AC$62,$AC$63,$AC$66,$AC$68,$AC$69,$AC$70,$AC$71,$AC$72,$AC$73,$AC$74,$AC$75,$AC$77,$AC$79,$AC$80,$AC$81,$AC$83,$AC$84,$AC$85,$AC$86,$AC$87,$AC$88,$AC$89,$AC$90,$AC$91,$AC$92,$AC$93)</f>
        <v>0.38868276569350013</v>
      </c>
      <c r="AD96" s="168">
        <f>$AD$57-AVERAGE($AD$58,$AD$59,$AD$61,$AD$62,$AD$63,$AD$66,$AD$68,$AD$69,$AD$70,$AD$71,$AD$72,$AD$73,$AD$74,$AD$75,$AD$77,$AD$79,$AD$80,$AD$81,$AD$83,$AD$84,$AD$85,$AD$86,$AD$87,$AD$88,$AD$89,$AD$90,$AD$91,$AD$92,$AD$93)</f>
        <v>0.39869657929601343</v>
      </c>
      <c r="AE96" s="168">
        <f>$AE$57-AVERAGE($AE$58,$AE$59,$AE$61,$AE$62,$AE$63,$AE$66,$AE$68,$AE$69,$AE$70,$AE$71,$AE$72,$AE$73,$AE$74,$AE$75,$AE$77,$AE$79,$AE$80,$AE$81,$AE$83,$AE$84,$AE$85,$AE$86,$AE$87,$AE$88,$AE$89,$AE$90,$AE$91,$AE$92,$AE$93)</f>
        <v>0.41660691438050107</v>
      </c>
      <c r="AF96" s="168">
        <f>$AF$57-AVERAGE($AF$58,$AF$59,$AF$61,$AF$62,$AF$63,$AF$66,$AF$68,$AF$69,$AF$70,$AF$71,$AF$72,$AF$73,$AF$74,$AF$75,$AF$77,$AF$79,$AF$80,$AF$81,$AF$83,$AF$84,$AF$85,$AF$86,$AF$87,$AF$88,$AF$89,$AF$90,$AF$91,$AF$92,$AF$93)</f>
        <v>0.42435862149657877</v>
      </c>
    </row>
    <row r="97" spans="1:32" x14ac:dyDescent="0.2">
      <c r="A97" t="s">
        <v>311</v>
      </c>
      <c r="H97">
        <f>INDEX(LOGEST($B$94:$H$94,$B$54:$H$54,TRUE,TRUE), 3)</f>
        <v>0.98445299376076012</v>
      </c>
      <c r="I97">
        <f>INDEX(LOGEST($B$94:$I$94,$B$54:$I$54,TRUE,TRUE), 3)</f>
        <v>0.98786130244253856</v>
      </c>
      <c r="J97">
        <f>INDEX(LOGEST($B$94:$J$94,$B$54:$J$54,TRUE,TRUE), 3)</f>
        <v>0.9898441015542403</v>
      </c>
      <c r="K97">
        <f>INDEX(LOGEST($B$94:$K$94,$B$54:$K$54,TRUE,TRUE), 3)</f>
        <v>0.99168577224871712</v>
      </c>
      <c r="L97">
        <f>INDEX(LOGEST($B$94:$L$94,$B$54:$L$54,TRUE,TRUE), 3)</f>
        <v>0.99337653919030389</v>
      </c>
      <c r="M97">
        <f>INDEX(LOGEST($B$94:$M$94,$B$54:$M$54,TRUE,TRUE), 3)</f>
        <v>0.99485619201620923</v>
      </c>
      <c r="N97">
        <f>INDEX(LOGEST($B$94:$N$94,$B$54:$N$54,TRUE,TRUE), 3)</f>
        <v>0.99589330082403482</v>
      </c>
      <c r="O97" s="155">
        <f>INDEX(LOGEST($B$94:$O$94,$B$54:$O$54,TRUE,TRUE), 3)</f>
        <v>0.99618986097288265</v>
      </c>
      <c r="P97">
        <f>INDEX(LOGEST($B$94:$P$94,$B$54:$P$54,TRUE,TRUE), 3)</f>
        <v>0.99558793942775003</v>
      </c>
      <c r="Q97">
        <f>INDEX(LOGEST($B$94:$Q$94,$B$54:$Q$54,TRUE,TRUE), 3)</f>
        <v>0.99403965291097962</v>
      </c>
      <c r="R97">
        <f>INDEX(LOGEST($B$94:$R$94,$B$54:$R$54,TRUE,TRUE), 3)</f>
        <v>0.99156388140326934</v>
      </c>
      <c r="S97">
        <f>INDEX(LOGEST($B$94:$S$94,$B$54:$S$54,TRUE,TRUE), 3)</f>
        <v>0.98779793071526889</v>
      </c>
      <c r="T97">
        <f>INDEX(LOGEST($B$94:$T$94,$B$54:$T$54,TRUE,TRUE), 3)</f>
        <v>0.98257659358644189</v>
      </c>
      <c r="U97">
        <f>INDEX(LOGEST($B$94:$U$94,$B$54:$U$54,TRUE,TRUE), 3)</f>
        <v>0.97593214688151975</v>
      </c>
      <c r="V97">
        <f>INDEX(LOGEST($B$94:$V$94,$B$54:$V$54,TRUE,TRUE), 3)</f>
        <v>0.96700879106893567</v>
      </c>
      <c r="W97">
        <f>INDEX(LOGEST($B$94:$W$94,$B$54:$W$54,TRUE,TRUE), 3)</f>
        <v>0.95637019564016235</v>
      </c>
      <c r="X97">
        <f>INDEX(LOGEST($B$94:$X$94,$B$54:$X$54,TRUE,TRUE), 3)</f>
        <v>0.94431074079566346</v>
      </c>
      <c r="Y97">
        <f>INDEX(LOGEST($B$94:$Y$94,$B$54:$Y$54,TRUE,TRUE), 3)</f>
        <v>0.93112815150541528</v>
      </c>
      <c r="Z97">
        <f>INDEX(LOGEST($B$94:$Z$94,$B$54:$Z$54,TRUE,TRUE), 3)</f>
        <v>0.91718129276142679</v>
      </c>
      <c r="AA97">
        <f>INDEX(LOGEST($B$94:$AA$94,$B$54:$AA$54,TRUE,TRUE), 3)</f>
        <v>0.90295111844597398</v>
      </c>
      <c r="AB97">
        <f>INDEX(LOGEST($B$94:$AB$94,$B$54:$AB$54,TRUE,TRUE), 3)</f>
        <v>0.88870926387514815</v>
      </c>
      <c r="AC97">
        <f>INDEX(LOGEST($B$94:$AC$94,$B$54:$AC$54,TRUE,TRUE), 3)</f>
        <v>0.87470547607758287</v>
      </c>
      <c r="AD97">
        <f>INDEX(LOGEST($B$94:$AD$94,$B$54:$AD$54,TRUE,TRUE), 3)</f>
        <v>0.86121398609285915</v>
      </c>
      <c r="AE97">
        <f>INDEX(LOGEST($B$94:$AE$94,$B$54:$AE$54,TRUE,TRUE), 3)</f>
        <v>0.84844616172142817</v>
      </c>
      <c r="AF97">
        <f>INDEX(LOGEST($B$94:$AF$94,$B$54:$AF$54,TRUE,TRUE), 3)</f>
        <v>0.83628687420365111</v>
      </c>
    </row>
    <row r="98" spans="1:32" x14ac:dyDescent="0.2">
      <c r="A98" t="s">
        <v>312</v>
      </c>
      <c r="H98">
        <f>INDEX(LOGEST($B$95:$H$95,$B$54:$H$54,TRUE,TRUE), 3)</f>
        <v>0.98923850981074601</v>
      </c>
      <c r="I98">
        <f>INDEX(LOGEST($B$95:$I$95,$B$54:$I$54,TRUE,TRUE), 3)</f>
        <v>0.99106683968680387</v>
      </c>
      <c r="J98">
        <f>INDEX(LOGEST($B$95:$J$95,$B$54:$J$54,TRUE,TRUE), 3)</f>
        <v>0.99253962420319375</v>
      </c>
      <c r="K98">
        <f>INDEX(LOGEST($B$95:$K$95,$B$54:$K$54,TRUE,TRUE), 3)</f>
        <v>0.99398949628693423</v>
      </c>
      <c r="L98">
        <f>INDEX(LOGEST($B$95:$L$95,$B$54:$L$54,TRUE,TRUE), 3)</f>
        <v>0.99538189805549149</v>
      </c>
      <c r="M98">
        <f>INDEX(LOGEST($B$95:$M$95,$B$54:$M$54,TRUE,TRUE), 3)</f>
        <v>0.99643687964831085</v>
      </c>
      <c r="N98" s="155">
        <f>INDEX(LOGEST($B$95:$N$95,$B$54:$N$54,TRUE,TRUE), 3)</f>
        <v>0.99684050600545104</v>
      </c>
      <c r="O98">
        <f>INDEX(LOGEST($B$95:$O$95,$B$54:$O$54,TRUE,TRUE), 3)</f>
        <v>0.99635030934401259</v>
      </c>
      <c r="P98">
        <f>INDEX(LOGEST($B$95:$P$95,$B$54:$P$54,TRUE,TRUE), 3)</f>
        <v>0.99492423731173396</v>
      </c>
      <c r="Q98">
        <f>INDEX(LOGEST($B$95:$Q$95,$B$54:$Q$54,TRUE,TRUE), 3)</f>
        <v>0.99252652503002115</v>
      </c>
      <c r="R98">
        <f>INDEX(LOGEST($B$95:$R$95,$B$54:$R$54,TRUE,TRUE), 3)</f>
        <v>0.98896873927060935</v>
      </c>
      <c r="S98">
        <f>INDEX(LOGEST($B$95:$S$95,$B$54:$S$54,TRUE,TRUE), 3)</f>
        <v>0.9837985935732132</v>
      </c>
      <c r="T98">
        <f>INDEX(LOGEST($B$95:$T$95,$B$54:$T$54,TRUE,TRUE), 3)</f>
        <v>0.97720744434701745</v>
      </c>
      <c r="U98">
        <f>INDEX(LOGEST($B$95:$U$95,$B$54:$U$54,TRUE,TRUE), 3)</f>
        <v>0.96839731105732563</v>
      </c>
      <c r="V98">
        <f>INDEX(LOGEST($B$95:$V$95,$B$54:$V$54,TRUE,TRUE), 3)</f>
        <v>0.95754434567351809</v>
      </c>
      <c r="W98">
        <f>INDEX(LOGEST($B$95:$W$95,$B$54:$W$54,TRUE,TRUE), 3)</f>
        <v>0.94521495500961095</v>
      </c>
      <c r="X98">
        <f>INDEX(LOGEST($B$95:$X$95,$B$54:$X$54,TRUE,TRUE), 3)</f>
        <v>0.93163374193804482</v>
      </c>
      <c r="Y98">
        <f>INDEX(LOGEST($B$95:$Y$95,$B$54:$Y$54,TRUE,TRUE), 3)</f>
        <v>0.91720806561630586</v>
      </c>
      <c r="Z98">
        <f>INDEX(LOGEST($B$95:$Z$95,$B$54:$Z$54,TRUE,TRUE), 3)</f>
        <v>0.90227389101558253</v>
      </c>
      <c r="AA98">
        <f>INDEX(LOGEST($B$95:$AA$95,$B$54:$AA$54,TRUE,TRUE), 3)</f>
        <v>0.88731084020637774</v>
      </c>
      <c r="AB98">
        <f>INDEX(LOGEST($B$95:$AB$95,$B$54:$AB$54,TRUE,TRUE), 3)</f>
        <v>0.87259992102028183</v>
      </c>
      <c r="AC98">
        <f>INDEX(LOGEST($B$95:$AC$95,$B$54:$AC$54,TRUE,TRUE), 3)</f>
        <v>0.85844505419806427</v>
      </c>
      <c r="AD98">
        <f>INDEX(LOGEST($B$95:$AD$95,$B$54:$AD$54,TRUE,TRUE), 3)</f>
        <v>0.84500350982215744</v>
      </c>
      <c r="AE98">
        <f>INDEX(LOGEST($B$95:$AE$95,$B$54:$AE$54,TRUE,TRUE), 3)</f>
        <v>0.83238275787705029</v>
      </c>
      <c r="AF98">
        <f>INDEX(LOGEST($B$95:$AF$95,$B$54:$AF$54,TRUE,TRUE), 3)</f>
        <v>0.820338477332061</v>
      </c>
    </row>
    <row r="99" spans="1:32" x14ac:dyDescent="0.2">
      <c r="A99" t="s">
        <v>313</v>
      </c>
      <c r="H99">
        <f>INDEX(LOGEST($B$96:$H$96,$B$54:$H$54,TRUE,TRUE), 3)</f>
        <v>0.59120329615564859</v>
      </c>
      <c r="I99">
        <f>INDEX(LOGEST($B$96:$I$96,$B$54:$I$54,TRUE,TRUE), 3)</f>
        <v>0.72712029182762716</v>
      </c>
      <c r="J99">
        <f>INDEX(LOGEST($B$96:$J$96,$B$54:$J$54,TRUE,TRUE), 3)</f>
        <v>0.80866281951517127</v>
      </c>
      <c r="K99">
        <f>INDEX(LOGEST($B$96:$K$96,$B$54:$K$54,TRUE,TRUE), 3)</f>
        <v>0.85902709223479812</v>
      </c>
      <c r="L99">
        <f>INDEX(LOGEST($B$96:$L$96,$B$54:$L$54,TRUE,TRUE), 3)</f>
        <v>0.89398006602379054</v>
      </c>
      <c r="M99">
        <f>INDEX(LOGEST($B$96:$M$96,$B$54:$M$54,TRUE,TRUE), 3)</f>
        <v>0.9182837660500639</v>
      </c>
      <c r="N99">
        <f>INDEX(LOGEST($B$96:$N$96,$B$54:$N$54,TRUE,TRUE), 3)</f>
        <v>0.93576670155158836</v>
      </c>
      <c r="O99">
        <f>INDEX(LOGEST($B$96:$O$96,$B$54:$O$54,TRUE,TRUE), 3)</f>
        <v>0.94822917709137067</v>
      </c>
      <c r="P99">
        <f>INDEX(LOGEST($B$96:$P$96,$B$54:$P$54,TRUE,TRUE), 3)</f>
        <v>0.95694488406473099</v>
      </c>
      <c r="Q99">
        <f>INDEX(LOGEST($B$96:$Q$96,$B$54:$Q$54,TRUE,TRUE), 3)</f>
        <v>0.96245921424986203</v>
      </c>
      <c r="R99">
        <f>INDEX(LOGEST($B$96:$R$96,$B$54:$R$54,TRUE,TRUE), 3)</f>
        <v>0.96534762100366478</v>
      </c>
      <c r="S99" s="155">
        <f>INDEX(LOGEST($B$96:$S$96,$B$54:$S$54,TRUE,TRUE), 3)</f>
        <v>0.96559151123813836</v>
      </c>
      <c r="T99">
        <f>INDEX(LOGEST($B$96:$T$96,$B$54:$T$54,TRUE,TRUE), 3)</f>
        <v>0.96351289222570768</v>
      </c>
      <c r="U99">
        <f>INDEX(LOGEST($B$96:$U$96,$B$54:$U$54,TRUE,TRUE), 3)</f>
        <v>0.95866160769954611</v>
      </c>
      <c r="V99">
        <f>INDEX(LOGEST($B$96:$V$96,$B$54:$V$54,TRUE,TRUE), 3)</f>
        <v>0.95114735606526557</v>
      </c>
      <c r="W99">
        <f>INDEX(LOGEST($B$96:$W$96,$B$54:$W$54,TRUE,TRUE), 3)</f>
        <v>0.94163392515336564</v>
      </c>
      <c r="X99">
        <f>INDEX(LOGEST($B$96:$X$96,$B$54:$X$54,TRUE,TRUE), 3)</f>
        <v>0.93028423542674987</v>
      </c>
      <c r="Y99">
        <f>INDEX(LOGEST($B$96:$Y$96,$B$54:$Y$54,TRUE,TRUE), 3)</f>
        <v>0.91781362846956505</v>
      </c>
      <c r="Z99">
        <f>INDEX(LOGEST($B$96:$Z$96,$B$54:$Z$54,TRUE,TRUE), 3)</f>
        <v>0.90444565264804477</v>
      </c>
      <c r="AA99">
        <f>INDEX(LOGEST($B$96:$AA$96,$B$54:$AA$54,TRUE,TRUE), 3)</f>
        <v>0.89072955478448368</v>
      </c>
      <c r="AB99">
        <f>INDEX(LOGEST($B$96:$AB$96,$B$54:$AB$54,TRUE,TRUE), 3)</f>
        <v>0.87706603880412315</v>
      </c>
      <c r="AC99">
        <f>INDEX(LOGEST($B$96:$AC$96,$B$54:$AC$54,TRUE,TRUE), 3)</f>
        <v>0.86383628887062858</v>
      </c>
      <c r="AD99">
        <f>INDEX(LOGEST($B$96:$AD$96,$B$54:$AD$54,TRUE,TRUE), 3)</f>
        <v>0.85102757766304393</v>
      </c>
      <c r="AE99">
        <f>INDEX(LOGEST($B$96:$AE$96,$B$54:$AE$54,TRUE,TRUE), 3)</f>
        <v>0.83915690592829173</v>
      </c>
      <c r="AF99">
        <f>INDEX(LOGEST($B$96:$AF$96,$B$54:$AF$54,TRUE,TRUE), 3)</f>
        <v>0.82751753074494783</v>
      </c>
    </row>
    <row r="100" spans="1:32" s="160" customFormat="1" x14ac:dyDescent="0.2">
      <c r="A100" s="160" t="s">
        <v>314</v>
      </c>
      <c r="B100" s="160">
        <f>$K$43*EXP($J$49*$B$54)</f>
        <v>4.4225652628966357E-4</v>
      </c>
      <c r="C100" s="160">
        <f>$K$43*EXP($J$49*$C$54)</f>
        <v>6.8727689773055516E-4</v>
      </c>
      <c r="D100" s="160">
        <f>$K$43*EXP($J$49*$D$54)</f>
        <v>1.0680442369430689E-3</v>
      </c>
      <c r="E100" s="160">
        <f>$K$43*EXP($J$49*$E$54)</f>
        <v>1.6597655120287741E-3</v>
      </c>
      <c r="F100" s="160">
        <f>$K$43*EXP($J$49*$F$54)</f>
        <v>2.5793140954581844E-3</v>
      </c>
      <c r="G100" s="160">
        <f>$K$43*EXP($J$49*$G$54)</f>
        <v>4.008313918330131E-3</v>
      </c>
      <c r="H100" s="160">
        <f>$K$43*EXP($J$49*$H$54)</f>
        <v>6.2290127814096305E-3</v>
      </c>
      <c r="I100" s="160">
        <f>$K$43*EXP($J$49*$I$54)</f>
        <v>9.6800303123785545E-3</v>
      </c>
      <c r="J100" s="160">
        <f>$K$43*EXP($J$49*$J$54)</f>
        <v>1.5042991584191716E-2</v>
      </c>
      <c r="K100" s="160">
        <f>$K$43*EXP($J$49*$K$54)</f>
        <v>2.3377157767025494E-2</v>
      </c>
      <c r="L100" s="160">
        <f>$K$43*EXP($J$49*$L$54)</f>
        <v>3.6328645283475049E-2</v>
      </c>
      <c r="M100" s="160">
        <f>$K$43*EXP($J$49*$M$54)</f>
        <v>5.6455557227497809E-2</v>
      </c>
      <c r="N100" s="160">
        <f>$K$43*EXP($J$49*$N$54)</f>
        <v>8.773324512921131E-2</v>
      </c>
      <c r="O100" s="160">
        <f>$K$43*EXP($J$49*$O$54)</f>
        <v>0.13633949745434853</v>
      </c>
    </row>
    <row r="101" spans="1:32" s="161" customFormat="1" x14ac:dyDescent="0.2">
      <c r="A101" s="161" t="s">
        <v>315</v>
      </c>
      <c r="B101" s="161">
        <f>$Q$43*EXP($P$49*$B$54)</f>
        <v>5.3478926926105955E-4</v>
      </c>
      <c r="C101" s="161">
        <f>$Q$43*EXP($P$49*$C$54)</f>
        <v>8.3743537188890485E-4</v>
      </c>
      <c r="D101" s="161">
        <f>$Q$43*EXP($P$49*$D$54)</f>
        <v>1.3113539152715624E-3</v>
      </c>
      <c r="E101" s="161">
        <f>$Q$43*EXP($P$49*$E$54)</f>
        <v>2.0534708095972178E-3</v>
      </c>
      <c r="F101" s="161">
        <f>$Q$43*EXP($P$49*$F$54)</f>
        <v>3.2155639425491219E-3</v>
      </c>
      <c r="G101" s="161">
        <f>$Q$43*EXP($P$49*$G$54)</f>
        <v>5.035304821620611E-3</v>
      </c>
      <c r="H101" s="161">
        <f>$Q$43*EXP($P$49*$H$54)</f>
        <v>7.8848671958102311E-3</v>
      </c>
      <c r="I101" s="161">
        <f>$Q$43*EXP($P$49*$I$54)</f>
        <v>1.2347044101205875E-2</v>
      </c>
      <c r="J101" s="161">
        <f>$Q$43*EXP($P$49*$J$54)</f>
        <v>1.9334440803027059E-2</v>
      </c>
      <c r="K101" s="161">
        <f>$Q$43*EXP($P$49*$K$54)</f>
        <v>3.0276120997190591E-2</v>
      </c>
      <c r="L101" s="161">
        <f>$Q$43*EXP($P$49*$L$54)</f>
        <v>4.7409879187869375E-2</v>
      </c>
      <c r="M101" s="161">
        <f>$Q$43*EXP($P$49*$M$54)</f>
        <v>7.4239914843019089E-2</v>
      </c>
      <c r="N101" s="161">
        <f>$Q$43*EXP($P$49*$N$54)</f>
        <v>0.11625351193278191</v>
      </c>
    </row>
    <row r="102" spans="1:32" s="169" customFormat="1" x14ac:dyDescent="0.2">
      <c r="A102" s="169" t="s">
        <v>316</v>
      </c>
      <c r="B102" s="169">
        <f>$W$43*EXP($V$49*$B$54)</f>
        <v>1.0140912093285941E-3</v>
      </c>
      <c r="C102" s="169">
        <f>$W$43*EXP($V$49*$C$54)</f>
        <v>1.4577756006986524E-3</v>
      </c>
      <c r="D102" s="169">
        <f>$W$43*EXP($V$49*$D$54)</f>
        <v>2.095580439356438E-3</v>
      </c>
      <c r="E102" s="169">
        <f>$W$43*EXP($V$49*$E$54)</f>
        <v>3.0124371513068778E-3</v>
      </c>
      <c r="F102" s="169">
        <f>$W$43*EXP($V$49*$F$54)</f>
        <v>4.3304362935172279E-3</v>
      </c>
      <c r="G102" s="169">
        <f>$W$43*EXP($V$49*$G$54)</f>
        <v>6.2250853877817165E-3</v>
      </c>
      <c r="H102" s="169">
        <f>$W$43*EXP($V$49*$H$54)</f>
        <v>8.9486798693207224E-3</v>
      </c>
      <c r="I102" s="169">
        <f>$W$43*EXP($V$49*$I$54)</f>
        <v>1.286389927450002E-2</v>
      </c>
      <c r="J102" s="169">
        <f>$W$43*EXP($V$49*$J$54)</f>
        <v>1.8492102406278556E-2</v>
      </c>
      <c r="K102" s="169">
        <f>$W$43*EXP($V$49*$K$54)</f>
        <v>2.6582752562603833E-2</v>
      </c>
      <c r="L102" s="169">
        <f>$W$43*EXP($V$49*$L$54)</f>
        <v>3.8213217636340641E-2</v>
      </c>
      <c r="M102" s="169">
        <f>$W$43*EXP($V$49*$M$54)</f>
        <v>5.4932234676727615E-2</v>
      </c>
      <c r="N102" s="169">
        <f>$W$43*EXP($V$49*$N$54)</f>
        <v>7.8966142953358492E-2</v>
      </c>
      <c r="O102" s="169">
        <f>$W$43*EXP($V$49*$O$54)</f>
        <v>0.11351534794873393</v>
      </c>
      <c r="P102" s="169">
        <f>$W$43*EXP($V$49*$P$54)</f>
        <v>0.16318049404455687</v>
      </c>
      <c r="Q102" s="169">
        <f>$W$43*EXP($V$49*$Q$54)</f>
        <v>0.23457509594783085</v>
      </c>
      <c r="R102" s="169">
        <f>$W$43*EXP($V$49*$R$54)</f>
        <v>0.33720620813851188</v>
      </c>
      <c r="S102" s="169">
        <f>$W$43*EXP($V$49*$S$54)</f>
        <v>0.48474040412389685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C1937-306F-9A4F-A540-4CBD40008E3C}">
  <sheetPr codeName="Sheet43"/>
  <dimension ref="A42:AF102"/>
  <sheetViews>
    <sheetView workbookViewId="0"/>
  </sheetViews>
  <sheetFormatPr baseColWidth="10" defaultRowHeight="15" x14ac:dyDescent="0.2"/>
  <sheetData>
    <row r="42" spans="9:24" x14ac:dyDescent="0.2">
      <c r="I42" t="s">
        <v>249</v>
      </c>
      <c r="O42" t="s">
        <v>249</v>
      </c>
      <c r="U42" t="s">
        <v>249</v>
      </c>
    </row>
    <row r="43" spans="9:24" x14ac:dyDescent="0.2">
      <c r="I43" t="s">
        <v>250</v>
      </c>
      <c r="J43" s="159">
        <f t="array" ref="J43:K47">LOGEST($B$94:$P$94,$B$54:$P$54,TRUE,TRUE)</f>
        <v>1.0004342888254445</v>
      </c>
      <c r="K43" s="159">
        <v>9.4007470774915144E-4</v>
      </c>
      <c r="L43" t="s">
        <v>255</v>
      </c>
      <c r="O43" t="s">
        <v>250</v>
      </c>
      <c r="P43" s="159">
        <f t="array" ref="P43:Q47">LOGEST($B$95:$O$95,$B$54:$O$54,TRUE,TRUE)</f>
        <v>1.0004899760201549</v>
      </c>
      <c r="Q43" s="159">
        <v>5.698856487189785E-4</v>
      </c>
      <c r="R43" t="s">
        <v>255</v>
      </c>
      <c r="U43" t="s">
        <v>250</v>
      </c>
      <c r="V43" s="159">
        <f t="array" ref="V43:W47">LOGEST($B$96:$R$96,$B$54:$R$54,TRUE,TRUE)</f>
        <v>1.0004455311873059</v>
      </c>
      <c r="W43" s="159">
        <v>5.1436804811182655E-4</v>
      </c>
      <c r="X43" t="s">
        <v>255</v>
      </c>
    </row>
    <row r="44" spans="9:24" x14ac:dyDescent="0.2">
      <c r="I44" t="s">
        <v>251</v>
      </c>
      <c r="J44" s="159">
        <v>1.1500828080467629E-5</v>
      </c>
      <c r="K44" s="159">
        <v>8.5154433631801807E-2</v>
      </c>
      <c r="L44" t="s">
        <v>256</v>
      </c>
      <c r="O44" t="s">
        <v>251</v>
      </c>
      <c r="P44" s="159">
        <v>9.12750390087501E-6</v>
      </c>
      <c r="Q44" s="159">
        <v>6.2837763874365668E-2</v>
      </c>
      <c r="R44" t="s">
        <v>256</v>
      </c>
      <c r="U44" t="s">
        <v>251</v>
      </c>
      <c r="V44" s="159">
        <v>1.3033327025043056E-5</v>
      </c>
      <c r="W44" s="159">
        <v>0.11004932681064644</v>
      </c>
      <c r="X44" t="s">
        <v>256</v>
      </c>
    </row>
    <row r="45" spans="9:24" x14ac:dyDescent="0.2">
      <c r="I45" t="s">
        <v>252</v>
      </c>
      <c r="J45" s="159">
        <v>0.9909616389958259</v>
      </c>
      <c r="K45" s="159">
        <v>0.17322034085167592</v>
      </c>
      <c r="L45" t="s">
        <v>257</v>
      </c>
      <c r="O45" t="s">
        <v>252</v>
      </c>
      <c r="P45" s="159">
        <v>0.9958510063901872</v>
      </c>
      <c r="Q45" s="159">
        <v>0.12391774149077404</v>
      </c>
      <c r="R45" t="s">
        <v>257</v>
      </c>
      <c r="U45" t="s">
        <v>252</v>
      </c>
      <c r="V45" s="159">
        <v>0.98732064107281048</v>
      </c>
      <c r="W45" s="159">
        <v>0.236960597205009</v>
      </c>
      <c r="X45" t="s">
        <v>257</v>
      </c>
    </row>
    <row r="46" spans="9:24" x14ac:dyDescent="0.2">
      <c r="I46" t="s">
        <v>253</v>
      </c>
      <c r="J46" s="159">
        <v>1425.3138706228053</v>
      </c>
      <c r="K46" s="159">
        <v>13</v>
      </c>
      <c r="L46" t="s">
        <v>258</v>
      </c>
      <c r="O46" t="s">
        <v>253</v>
      </c>
      <c r="P46" s="159">
        <v>2880.2676505499708</v>
      </c>
      <c r="Q46" s="159">
        <v>12</v>
      </c>
      <c r="R46" t="s">
        <v>258</v>
      </c>
      <c r="U46" t="s">
        <v>253</v>
      </c>
      <c r="V46" s="159">
        <v>1168.025110822771</v>
      </c>
      <c r="W46" s="159">
        <v>15</v>
      </c>
      <c r="X46" t="s">
        <v>258</v>
      </c>
    </row>
    <row r="47" spans="9:24" x14ac:dyDescent="0.2">
      <c r="I47" t="s">
        <v>254</v>
      </c>
      <c r="J47" s="159">
        <v>42.766951018754796</v>
      </c>
      <c r="K47" s="159">
        <v>0.39006872430202022</v>
      </c>
      <c r="L47" t="s">
        <v>259</v>
      </c>
      <c r="O47" t="s">
        <v>254</v>
      </c>
      <c r="P47" s="159">
        <v>44.22825710634865</v>
      </c>
      <c r="Q47" s="159">
        <v>0.18426727987409161</v>
      </c>
      <c r="R47" t="s">
        <v>259</v>
      </c>
      <c r="U47" t="s">
        <v>254</v>
      </c>
      <c r="V47" s="159">
        <v>65.584989146067542</v>
      </c>
      <c r="W47" s="159">
        <v>0.84225486941631789</v>
      </c>
      <c r="X47" t="s">
        <v>259</v>
      </c>
    </row>
    <row r="49" spans="1:32" x14ac:dyDescent="0.2">
      <c r="I49" t="s">
        <v>260</v>
      </c>
      <c r="J49">
        <f>LN($J$43)</f>
        <v>4.3419454934692531E-4</v>
      </c>
      <c r="O49" t="s">
        <v>260</v>
      </c>
      <c r="P49">
        <f>LN($P$43)</f>
        <v>4.8985602110088991E-4</v>
      </c>
      <c r="U49" t="s">
        <v>260</v>
      </c>
      <c r="V49">
        <f>LN($V$43)</f>
        <v>4.4543196775569187E-4</v>
      </c>
    </row>
    <row r="50" spans="1:32" x14ac:dyDescent="0.2">
      <c r="I50" t="s">
        <v>261</v>
      </c>
      <c r="J50">
        <f>ROUND(LN(2)/$J$49, 1)</f>
        <v>1596.4</v>
      </c>
      <c r="O50" t="s">
        <v>261</v>
      </c>
      <c r="P50">
        <f>ROUND(LN(2)/$P$49, 1)</f>
        <v>1415</v>
      </c>
      <c r="U50" t="s">
        <v>261</v>
      </c>
      <c r="V50">
        <f>ROUND(LN(2)/$V$49, 1)</f>
        <v>1556.1</v>
      </c>
    </row>
    <row r="51" spans="1:32" x14ac:dyDescent="0.2">
      <c r="I51" t="s">
        <v>204</v>
      </c>
      <c r="J51" s="155">
        <f>ROUND($J$50/60, 1)</f>
        <v>26.6</v>
      </c>
      <c r="O51" t="s">
        <v>204</v>
      </c>
      <c r="P51" s="155">
        <f>ROUND($P$50/60, 1)</f>
        <v>23.6</v>
      </c>
      <c r="U51" t="s">
        <v>204</v>
      </c>
      <c r="V51" s="155">
        <f>ROUND($V$50/60, 1)</f>
        <v>25.9</v>
      </c>
    </row>
    <row r="54" spans="1:32" x14ac:dyDescent="0.2">
      <c r="A54" t="s">
        <v>206</v>
      </c>
      <c r="B54" s="166">
        <v>0</v>
      </c>
      <c r="C54" s="166">
        <v>900.1</v>
      </c>
      <c r="D54" s="166">
        <v>1800.2</v>
      </c>
      <c r="E54" s="166">
        <v>2700.3</v>
      </c>
      <c r="F54" s="166">
        <v>3600.4</v>
      </c>
      <c r="G54" s="166">
        <v>4500.5</v>
      </c>
      <c r="H54" s="166">
        <v>5400.6</v>
      </c>
      <c r="I54" s="166">
        <v>6300.7</v>
      </c>
      <c r="J54" s="166">
        <v>7200.8</v>
      </c>
      <c r="K54" s="166">
        <v>8100.9</v>
      </c>
      <c r="L54" s="166">
        <v>9001</v>
      </c>
      <c r="M54" s="166">
        <v>9901.1</v>
      </c>
      <c r="N54" s="166">
        <v>10801.2</v>
      </c>
      <c r="O54" s="166">
        <v>11701.3</v>
      </c>
      <c r="P54" s="166">
        <v>12601.4</v>
      </c>
      <c r="Q54" s="166">
        <v>13501.5</v>
      </c>
      <c r="R54" s="166">
        <v>14401.6</v>
      </c>
      <c r="S54" s="166">
        <v>15301.7</v>
      </c>
      <c r="T54" s="166">
        <v>16201.8</v>
      </c>
      <c r="U54" s="166">
        <v>17101.900000000001</v>
      </c>
      <c r="V54" s="166">
        <v>18002</v>
      </c>
      <c r="W54" s="166">
        <v>18902.099999999999</v>
      </c>
      <c r="X54" s="166">
        <v>19802.2</v>
      </c>
      <c r="Y54" s="166">
        <v>20702.3</v>
      </c>
      <c r="Z54" s="166">
        <v>21602.400000000001</v>
      </c>
      <c r="AA54" s="166">
        <v>22502.5</v>
      </c>
      <c r="AB54" s="166">
        <v>23402.6</v>
      </c>
      <c r="AC54" s="166">
        <v>24302.7</v>
      </c>
      <c r="AD54" s="166">
        <v>25202.799999999999</v>
      </c>
      <c r="AE54" s="166">
        <v>26102.9</v>
      </c>
      <c r="AF54" s="166">
        <v>27003</v>
      </c>
    </row>
    <row r="55" spans="1:32" x14ac:dyDescent="0.2">
      <c r="A55" s="156" t="s">
        <v>317</v>
      </c>
      <c r="B55" s="156">
        <v>0.10819999873638153</v>
      </c>
      <c r="C55" s="156">
        <v>0.1080000028014183</v>
      </c>
      <c r="D55" s="156">
        <v>0.10840000212192535</v>
      </c>
      <c r="E55" s="156">
        <v>0.10920000076293945</v>
      </c>
      <c r="F55" s="156">
        <v>0.10989999771118164</v>
      </c>
      <c r="G55" s="156">
        <v>0.11169999837875366</v>
      </c>
      <c r="H55" s="156">
        <v>0.11460000276565552</v>
      </c>
      <c r="I55" s="156">
        <v>0.11980000138282776</v>
      </c>
      <c r="J55" s="156">
        <v>0.12809999287128448</v>
      </c>
      <c r="K55" s="156">
        <v>0.14149999618530273</v>
      </c>
      <c r="L55" s="156">
        <v>0.16099999845027924</v>
      </c>
      <c r="M55" s="156">
        <v>0.18700000643730164</v>
      </c>
      <c r="N55" s="156">
        <v>0.21930000185966492</v>
      </c>
      <c r="O55" s="156">
        <v>0.25760000944137573</v>
      </c>
      <c r="P55" s="156">
        <v>0.30180001258850098</v>
      </c>
      <c r="Q55" s="156">
        <v>0.34760001301765442</v>
      </c>
      <c r="R55" s="156">
        <v>0.39230000972747803</v>
      </c>
      <c r="S55" s="156">
        <v>0.42539998888969421</v>
      </c>
      <c r="T55" s="156">
        <v>0.45590001344680786</v>
      </c>
      <c r="U55" s="156">
        <v>0.46389999985694885</v>
      </c>
      <c r="V55" s="156">
        <f t="shared" ref="V55:V57" si="0">AVERAGE(U55,W55)</f>
        <v>0.46649999916553497</v>
      </c>
      <c r="W55" s="156">
        <v>0.46909999847412109</v>
      </c>
      <c r="X55" s="156">
        <v>0.47020000219345093</v>
      </c>
      <c r="Y55" s="156">
        <v>0.46939998865127563</v>
      </c>
      <c r="Z55" s="156">
        <v>0.47049999237060547</v>
      </c>
      <c r="AA55" s="156">
        <v>0.47409999370574951</v>
      </c>
      <c r="AB55" s="156">
        <v>0.47990000247955322</v>
      </c>
      <c r="AC55" s="156">
        <v>0.49219998717308044</v>
      </c>
      <c r="AD55" s="156">
        <v>0.50440001487731934</v>
      </c>
      <c r="AE55" s="156">
        <v>0.5187000036239624</v>
      </c>
      <c r="AF55" s="156">
        <v>0.52920001745223999</v>
      </c>
    </row>
    <row r="56" spans="1:32" x14ac:dyDescent="0.2">
      <c r="A56" s="157" t="s">
        <v>318</v>
      </c>
      <c r="B56" s="157">
        <v>0.10719999670982361</v>
      </c>
      <c r="C56" s="157">
        <v>0.10719999670982361</v>
      </c>
      <c r="D56" s="157">
        <v>0.10740000009536743</v>
      </c>
      <c r="E56" s="157">
        <v>0.10809999704360962</v>
      </c>
      <c r="F56" s="157">
        <v>0.10890000313520432</v>
      </c>
      <c r="G56" s="157">
        <v>0.11060000211000443</v>
      </c>
      <c r="H56" s="157">
        <v>0.11349999904632568</v>
      </c>
      <c r="I56" s="157">
        <v>0.11860000342130661</v>
      </c>
      <c r="J56" s="157">
        <v>0.12720000743865967</v>
      </c>
      <c r="K56" s="157">
        <v>0.14010000228881836</v>
      </c>
      <c r="L56" s="157">
        <v>0.15899999439716339</v>
      </c>
      <c r="M56" s="157">
        <v>0.18529999256134033</v>
      </c>
      <c r="N56" s="157">
        <v>0.21660000085830688</v>
      </c>
      <c r="O56" s="157">
        <v>0.25619998574256897</v>
      </c>
      <c r="P56" s="157">
        <v>0.30210000276565552</v>
      </c>
      <c r="Q56" s="157">
        <v>0.34860000014305115</v>
      </c>
      <c r="R56" s="157">
        <v>0.3919999897480011</v>
      </c>
      <c r="S56" s="157">
        <v>0.42579999566078186</v>
      </c>
      <c r="T56" s="157">
        <v>0.45519998669624329</v>
      </c>
      <c r="U56" s="157">
        <v>0.46329998970031738</v>
      </c>
      <c r="V56" s="157">
        <f t="shared" si="0"/>
        <v>0.46580000221729279</v>
      </c>
      <c r="W56" s="157">
        <v>0.46830001473426819</v>
      </c>
      <c r="X56" s="157">
        <v>0.46880000829696655</v>
      </c>
      <c r="Y56" s="157">
        <v>0.46849998831748962</v>
      </c>
      <c r="Z56" s="157">
        <v>0.46979999542236328</v>
      </c>
      <c r="AA56" s="157">
        <v>0.47409999370574951</v>
      </c>
      <c r="AB56" s="157">
        <v>0.48080000281333923</v>
      </c>
      <c r="AC56" s="157">
        <v>0.49099999666213989</v>
      </c>
      <c r="AD56" s="157">
        <v>0.50470000505447388</v>
      </c>
      <c r="AE56" s="157">
        <v>0.52009999752044678</v>
      </c>
      <c r="AF56" s="157">
        <v>0.52910000085830688</v>
      </c>
    </row>
    <row r="57" spans="1:32" x14ac:dyDescent="0.2">
      <c r="A57" s="168" t="s">
        <v>319</v>
      </c>
      <c r="B57" s="168">
        <v>0.10570000112056732</v>
      </c>
      <c r="C57" s="168">
        <v>0.1054999977350235</v>
      </c>
      <c r="D57" s="168">
        <v>0.10570000112056732</v>
      </c>
      <c r="E57" s="168">
        <v>0.10599999874830246</v>
      </c>
      <c r="F57" s="168">
        <v>0.10660000145435333</v>
      </c>
      <c r="G57" s="168">
        <v>0.10760000348091125</v>
      </c>
      <c r="H57" s="168">
        <v>0.10930000245571136</v>
      </c>
      <c r="I57" s="168">
        <v>0.11209999769926071</v>
      </c>
      <c r="J57" s="168">
        <v>0.11720000207424164</v>
      </c>
      <c r="K57" s="168">
        <v>0.12559999525547028</v>
      </c>
      <c r="L57" s="168">
        <v>0.13850000500679016</v>
      </c>
      <c r="M57" s="168">
        <v>0.15700000524520874</v>
      </c>
      <c r="N57" s="168">
        <v>0.1817999929189682</v>
      </c>
      <c r="O57" s="168">
        <v>0.2125999927520752</v>
      </c>
      <c r="P57" s="168">
        <v>0.25069999694824219</v>
      </c>
      <c r="Q57" s="168">
        <v>0.29660001397132874</v>
      </c>
      <c r="R57" s="168">
        <v>0.34310001134872437</v>
      </c>
      <c r="S57" s="168">
        <v>0.38989999890327454</v>
      </c>
      <c r="T57" s="168">
        <v>0.42329999804496765</v>
      </c>
      <c r="U57" s="168">
        <v>0.45269998908042908</v>
      </c>
      <c r="V57" s="168">
        <f t="shared" si="0"/>
        <v>0.4622499942779541</v>
      </c>
      <c r="W57" s="168">
        <v>0.47179999947547913</v>
      </c>
      <c r="X57" s="168">
        <v>0.47450000047683716</v>
      </c>
      <c r="Y57" s="168">
        <v>0.47389999032020569</v>
      </c>
      <c r="Z57" s="168">
        <v>0.47269999980926514</v>
      </c>
      <c r="AA57" s="168">
        <v>0.47569999098777771</v>
      </c>
      <c r="AB57" s="168">
        <v>0.47740000486373901</v>
      </c>
      <c r="AC57" s="168">
        <v>0.48330000042915344</v>
      </c>
      <c r="AD57" s="168">
        <v>0.49200001358985901</v>
      </c>
      <c r="AE57" s="168">
        <v>0.50629997253417969</v>
      </c>
      <c r="AF57" s="168">
        <v>0.51840001344680786</v>
      </c>
    </row>
    <row r="58" spans="1:32" x14ac:dyDescent="0.2">
      <c r="A58" s="158" t="s">
        <v>209</v>
      </c>
      <c r="B58" s="158">
        <v>0.10480000078678131</v>
      </c>
      <c r="C58" s="158">
        <v>0.1046999990940094</v>
      </c>
      <c r="D58" s="158">
        <v>0.1046999990940094</v>
      </c>
      <c r="E58" s="158">
        <v>0.10480000078678131</v>
      </c>
      <c r="F58" s="158">
        <v>0.10459999740123749</v>
      </c>
      <c r="G58" s="158">
        <v>0.10450000315904617</v>
      </c>
      <c r="H58" s="158">
        <v>0.10440000146627426</v>
      </c>
      <c r="I58" s="158">
        <v>0.10429999977350235</v>
      </c>
      <c r="J58" s="158">
        <v>0.10419999808073044</v>
      </c>
      <c r="K58" s="158">
        <v>0.10419999808073044</v>
      </c>
      <c r="L58" s="158">
        <v>0.10419999808073044</v>
      </c>
      <c r="M58" s="158">
        <v>0.10409999638795853</v>
      </c>
      <c r="N58" s="158">
        <v>0.10400000214576721</v>
      </c>
      <c r="O58" s="158">
        <v>0.1039000004529953</v>
      </c>
      <c r="P58" s="158">
        <v>0.10379999876022339</v>
      </c>
      <c r="Q58" s="158">
        <v>0.10379999876022339</v>
      </c>
      <c r="R58" s="158">
        <v>0.1039000004529953</v>
      </c>
      <c r="S58" s="158">
        <v>0.10360000282526016</v>
      </c>
      <c r="T58" s="158">
        <v>0.10360000282526016</v>
      </c>
      <c r="U58" s="158">
        <v>0.10379999876022339</v>
      </c>
      <c r="V58" s="158">
        <f>AVERAGE(U58,W58)</f>
        <v>0.10359999909996986</v>
      </c>
      <c r="W58" s="158">
        <v>0.10339999943971634</v>
      </c>
      <c r="X58" s="158">
        <v>0.10329999774694443</v>
      </c>
      <c r="Y58" s="158">
        <v>0.10320000350475311</v>
      </c>
      <c r="Z58" s="158">
        <v>0.10320000350475311</v>
      </c>
      <c r="AA58" s="158">
        <v>0.1031000018119812</v>
      </c>
      <c r="AB58" s="158">
        <v>0.1031000018119812</v>
      </c>
      <c r="AC58" s="158">
        <v>0.10300000011920929</v>
      </c>
      <c r="AD58" s="158">
        <v>0.10300000011920929</v>
      </c>
      <c r="AE58" s="158">
        <v>0.10289999842643738</v>
      </c>
      <c r="AF58" s="158">
        <v>0.10289999842643738</v>
      </c>
    </row>
    <row r="59" spans="1:32" x14ac:dyDescent="0.2">
      <c r="A59" s="158" t="s">
        <v>210</v>
      </c>
      <c r="B59" s="158">
        <v>0.10660000145435333</v>
      </c>
      <c r="C59" s="158">
        <v>0.10649999976158142</v>
      </c>
      <c r="D59" s="158">
        <v>0.10649999976158142</v>
      </c>
      <c r="E59" s="158">
        <v>0.10649999976158142</v>
      </c>
      <c r="F59" s="158">
        <v>0.10639999806880951</v>
      </c>
      <c r="G59" s="158">
        <v>0.1062999963760376</v>
      </c>
      <c r="H59" s="158">
        <v>0.1062999963760376</v>
      </c>
      <c r="I59" s="158">
        <v>0.10610000044107437</v>
      </c>
      <c r="J59" s="158">
        <v>0.10610000044107437</v>
      </c>
      <c r="K59" s="158">
        <v>0.10610000044107437</v>
      </c>
      <c r="L59" s="158">
        <v>0.10610000044107437</v>
      </c>
      <c r="M59" s="158">
        <v>0.10599999874830246</v>
      </c>
      <c r="N59" s="158">
        <v>0.10589999705553055</v>
      </c>
      <c r="O59" s="158">
        <v>0.10589999705553055</v>
      </c>
      <c r="P59" s="158">
        <v>0.10570000112056732</v>
      </c>
      <c r="Q59" s="158">
        <v>0.10570000112056732</v>
      </c>
      <c r="R59" s="158">
        <v>0.10570000112056732</v>
      </c>
      <c r="S59" s="158">
        <v>0.10559999942779541</v>
      </c>
      <c r="T59" s="158">
        <v>0.10559999942779541</v>
      </c>
      <c r="U59" s="158">
        <v>0.10559999942779541</v>
      </c>
      <c r="V59" s="158">
        <f t="shared" ref="V59:V93" si="1">AVERAGE(U59,W59)</f>
        <v>0.1055000014603138</v>
      </c>
      <c r="W59" s="158">
        <v>0.10540000349283218</v>
      </c>
      <c r="X59" s="158">
        <v>0.10540000349283218</v>
      </c>
      <c r="Y59" s="158">
        <v>0.10530000180006027</v>
      </c>
      <c r="Z59" s="158">
        <v>0.10530000180006027</v>
      </c>
      <c r="AA59" s="158">
        <v>0.10520000010728836</v>
      </c>
      <c r="AB59" s="158">
        <v>0.10520000010728836</v>
      </c>
      <c r="AC59" s="158">
        <v>0.10520000010728836</v>
      </c>
      <c r="AD59" s="158">
        <v>0.10509999841451645</v>
      </c>
      <c r="AE59" s="158">
        <v>0.10509999841451645</v>
      </c>
      <c r="AF59" s="158">
        <v>0.10509999841451645</v>
      </c>
    </row>
    <row r="60" spans="1:32" x14ac:dyDescent="0.2">
      <c r="A60" s="158" t="s">
        <v>211</v>
      </c>
      <c r="B60" s="158">
        <v>0.10740000009536743</v>
      </c>
      <c r="C60" s="158">
        <v>0.10740000009536743</v>
      </c>
      <c r="D60" s="158">
        <v>0.10729999840259552</v>
      </c>
      <c r="E60" s="158">
        <v>0.10729999840259552</v>
      </c>
      <c r="F60" s="158">
        <v>0.10719999670982361</v>
      </c>
      <c r="G60" s="158">
        <v>0.10719999670982361</v>
      </c>
      <c r="H60" s="158">
        <v>0.10710000246763229</v>
      </c>
      <c r="I60" s="158">
        <v>0.10689999908208847</v>
      </c>
      <c r="J60" s="158">
        <v>0.10689999908208847</v>
      </c>
      <c r="K60" s="158">
        <v>0.10710000246763229</v>
      </c>
      <c r="L60" s="158">
        <v>0.10679999738931656</v>
      </c>
      <c r="M60" s="158">
        <v>0.10670000314712524</v>
      </c>
      <c r="N60" s="158">
        <v>0.10670000314712524</v>
      </c>
      <c r="O60" s="158">
        <v>0.10660000145435333</v>
      </c>
      <c r="P60" s="158">
        <v>0.10649999976158142</v>
      </c>
      <c r="Q60" s="158">
        <v>0.10649999976158142</v>
      </c>
      <c r="R60" s="158">
        <v>0.10639999806880951</v>
      </c>
      <c r="S60" s="158">
        <v>0.1062999963760376</v>
      </c>
      <c r="T60" s="158">
        <v>0.1062999963760376</v>
      </c>
      <c r="U60" s="158">
        <v>0.1062999963760376</v>
      </c>
      <c r="V60" s="158">
        <f t="shared" si="1"/>
        <v>0.10624999925494194</v>
      </c>
      <c r="W60" s="158">
        <v>0.10620000213384628</v>
      </c>
      <c r="X60" s="158">
        <v>0.10610000044107437</v>
      </c>
      <c r="Y60" s="158">
        <v>0.10610000044107437</v>
      </c>
      <c r="Z60" s="158">
        <v>0.10599999874830246</v>
      </c>
      <c r="AA60" s="158">
        <v>0.10589999705553055</v>
      </c>
      <c r="AB60" s="158">
        <v>0.10589999705553055</v>
      </c>
      <c r="AC60" s="158">
        <v>0.10599999874830246</v>
      </c>
      <c r="AD60" s="158">
        <v>0.10580000281333923</v>
      </c>
      <c r="AE60" s="158">
        <v>0.10580000281333923</v>
      </c>
      <c r="AF60" s="158">
        <v>0.10580000281333923</v>
      </c>
    </row>
    <row r="61" spans="1:32" x14ac:dyDescent="0.2">
      <c r="A61" s="158" t="s">
        <v>212</v>
      </c>
      <c r="B61" s="158">
        <v>0.10700000077486038</v>
      </c>
      <c r="C61" s="158">
        <v>0.10689999908208847</v>
      </c>
      <c r="D61" s="158">
        <v>0.10679999738931656</v>
      </c>
      <c r="E61" s="158">
        <v>0.10689999908208847</v>
      </c>
      <c r="F61" s="158">
        <v>0.10670000314712524</v>
      </c>
      <c r="G61" s="158">
        <v>0.10689999908208847</v>
      </c>
      <c r="H61" s="158">
        <v>0.10660000145435333</v>
      </c>
      <c r="I61" s="158">
        <v>0.10639999806880951</v>
      </c>
      <c r="J61" s="158">
        <v>0.10639999806880951</v>
      </c>
      <c r="K61" s="158">
        <v>0.1062999963760376</v>
      </c>
      <c r="L61" s="158">
        <v>0.1062999963760376</v>
      </c>
      <c r="M61" s="158">
        <v>0.1062999963760376</v>
      </c>
      <c r="N61" s="158">
        <v>0.10620000213384628</v>
      </c>
      <c r="O61" s="158">
        <v>0.10610000044107437</v>
      </c>
      <c r="P61" s="158">
        <v>0.10599999874830246</v>
      </c>
      <c r="Q61" s="158">
        <v>0.10599999874830246</v>
      </c>
      <c r="R61" s="158">
        <v>0.10599999874830246</v>
      </c>
      <c r="S61" s="158">
        <v>0.10580000281333923</v>
      </c>
      <c r="T61" s="158">
        <v>0.10580000281333923</v>
      </c>
      <c r="U61" s="158">
        <v>0.10580000281333923</v>
      </c>
      <c r="V61" s="158">
        <f t="shared" si="1"/>
        <v>0.10575000196695328</v>
      </c>
      <c r="W61" s="158">
        <v>0.10570000112056732</v>
      </c>
      <c r="X61" s="158">
        <v>0.10559999942779541</v>
      </c>
      <c r="Y61" s="158">
        <v>0.10559999942779541</v>
      </c>
      <c r="Z61" s="158">
        <v>0.10559999942779541</v>
      </c>
      <c r="AA61" s="158">
        <v>0.10540000349283218</v>
      </c>
      <c r="AB61" s="158">
        <v>0.10540000349283218</v>
      </c>
      <c r="AC61" s="158">
        <v>0.10540000349283218</v>
      </c>
      <c r="AD61" s="158">
        <v>0.10540000349283218</v>
      </c>
      <c r="AE61" s="158">
        <v>0.10530000180006027</v>
      </c>
      <c r="AF61" s="158">
        <v>0.10530000180006027</v>
      </c>
    </row>
    <row r="62" spans="1:32" x14ac:dyDescent="0.2">
      <c r="A62" s="158" t="s">
        <v>213</v>
      </c>
      <c r="B62" s="158">
        <v>0.10570000112056732</v>
      </c>
      <c r="C62" s="158">
        <v>0.1054999977350235</v>
      </c>
      <c r="D62" s="158">
        <v>0.1054999977350235</v>
      </c>
      <c r="E62" s="158">
        <v>0.1054999977350235</v>
      </c>
      <c r="F62" s="158">
        <v>0.10540000349283218</v>
      </c>
      <c r="G62" s="158">
        <v>0.10530000180006027</v>
      </c>
      <c r="H62" s="158">
        <v>0.10520000010728836</v>
      </c>
      <c r="I62" s="158">
        <v>0.10520000010728836</v>
      </c>
      <c r="J62" s="158">
        <v>0.10499999672174454</v>
      </c>
      <c r="K62" s="158">
        <v>0.10499999672174454</v>
      </c>
      <c r="L62" s="158">
        <v>0.10499999672174454</v>
      </c>
      <c r="M62" s="158">
        <v>0.10490000247955322</v>
      </c>
      <c r="N62" s="158">
        <v>0.10490000247955322</v>
      </c>
      <c r="O62" s="158">
        <v>0.10480000078678131</v>
      </c>
      <c r="P62" s="158">
        <v>0.10459999740123749</v>
      </c>
      <c r="Q62" s="158">
        <v>0.10459999740123749</v>
      </c>
      <c r="R62" s="158">
        <v>0.10459999740123749</v>
      </c>
      <c r="S62" s="158">
        <v>0.10440000146627426</v>
      </c>
      <c r="T62" s="158">
        <v>0.10450000315904617</v>
      </c>
      <c r="U62" s="158">
        <v>0.10450000315904617</v>
      </c>
      <c r="V62" s="158">
        <f t="shared" si="1"/>
        <v>0.10445000231266022</v>
      </c>
      <c r="W62" s="158">
        <v>0.10440000146627426</v>
      </c>
      <c r="X62" s="158">
        <v>0.10440000146627426</v>
      </c>
      <c r="Y62" s="158">
        <v>0.10429999977350235</v>
      </c>
      <c r="Z62" s="158">
        <v>0.10419999808073044</v>
      </c>
      <c r="AA62" s="158">
        <v>0.10419999808073044</v>
      </c>
      <c r="AB62" s="158">
        <v>0.10419999808073044</v>
      </c>
      <c r="AC62" s="158">
        <v>0.10440000146627426</v>
      </c>
      <c r="AD62" s="158">
        <v>0.10409999638795853</v>
      </c>
      <c r="AE62" s="158">
        <v>0.10400000214576721</v>
      </c>
      <c r="AF62" s="158">
        <v>0.10400000214576721</v>
      </c>
    </row>
    <row r="63" spans="1:32" x14ac:dyDescent="0.2">
      <c r="A63" s="158" t="s">
        <v>214</v>
      </c>
      <c r="B63" s="158">
        <v>0.10689999908208847</v>
      </c>
      <c r="C63" s="158">
        <v>0.10679999738931656</v>
      </c>
      <c r="D63" s="158">
        <v>0.10679999738931656</v>
      </c>
      <c r="E63" s="158">
        <v>0.10679999738931656</v>
      </c>
      <c r="F63" s="158">
        <v>0.10670000314712524</v>
      </c>
      <c r="G63" s="158">
        <v>0.10660000145435333</v>
      </c>
      <c r="H63" s="158">
        <v>0.10649999976158142</v>
      </c>
      <c r="I63" s="158">
        <v>0.1062999963760376</v>
      </c>
      <c r="J63" s="158">
        <v>0.1062999963760376</v>
      </c>
      <c r="K63" s="158">
        <v>0.10620000213384628</v>
      </c>
      <c r="L63" s="158">
        <v>0.1062999963760376</v>
      </c>
      <c r="M63" s="158">
        <v>0.10620000213384628</v>
      </c>
      <c r="N63" s="158">
        <v>0.10610000044107437</v>
      </c>
      <c r="O63" s="158">
        <v>0.10610000044107437</v>
      </c>
      <c r="P63" s="158">
        <v>0.10580000281333923</v>
      </c>
      <c r="Q63" s="158">
        <v>0.10589999705553055</v>
      </c>
      <c r="R63" s="158">
        <v>0.10580000281333923</v>
      </c>
      <c r="S63" s="158">
        <v>0.10570000112056732</v>
      </c>
      <c r="T63" s="158">
        <v>0.10570000112056732</v>
      </c>
      <c r="U63" s="158">
        <v>0.10570000112056732</v>
      </c>
      <c r="V63" s="158">
        <f t="shared" si="1"/>
        <v>0.10565000027418137</v>
      </c>
      <c r="W63" s="158">
        <v>0.10559999942779541</v>
      </c>
      <c r="X63" s="158">
        <v>0.1054999977350235</v>
      </c>
      <c r="Y63" s="158">
        <v>0.1054999977350235</v>
      </c>
      <c r="Z63" s="158">
        <v>0.10540000349283218</v>
      </c>
      <c r="AA63" s="158">
        <v>0.10540000349283218</v>
      </c>
      <c r="AB63" s="158">
        <v>0.10540000349283218</v>
      </c>
      <c r="AC63" s="158">
        <v>0.10540000349283218</v>
      </c>
      <c r="AD63" s="158">
        <v>0.10530000180006027</v>
      </c>
      <c r="AE63" s="158">
        <v>0.10520000010728836</v>
      </c>
      <c r="AF63" s="158">
        <v>0.10530000180006027</v>
      </c>
    </row>
    <row r="64" spans="1:32" x14ac:dyDescent="0.2">
      <c r="A64" s="158" t="s">
        <v>215</v>
      </c>
      <c r="B64" s="158">
        <v>0.10819999873638153</v>
      </c>
      <c r="C64" s="158">
        <v>0.10790000110864639</v>
      </c>
      <c r="D64" s="158">
        <v>0.10779999941587448</v>
      </c>
      <c r="E64" s="158">
        <v>0.1080000028014183</v>
      </c>
      <c r="F64" s="158">
        <v>0.10760000348091125</v>
      </c>
      <c r="G64" s="158">
        <v>0.10750000178813934</v>
      </c>
      <c r="H64" s="158">
        <v>0.10740000009536743</v>
      </c>
      <c r="I64" s="158">
        <v>0.10719999670982361</v>
      </c>
      <c r="J64" s="158">
        <v>0.10719999670982361</v>
      </c>
      <c r="K64" s="158">
        <v>0.10710000246763229</v>
      </c>
      <c r="L64" s="158">
        <v>0.10719999670982361</v>
      </c>
      <c r="M64" s="158">
        <v>0.10700000077486038</v>
      </c>
      <c r="N64" s="158">
        <v>0.10700000077486038</v>
      </c>
      <c r="O64" s="158">
        <v>0.10700000077486038</v>
      </c>
      <c r="P64" s="158">
        <v>0.10679999738931656</v>
      </c>
      <c r="Q64" s="158">
        <v>0.10679999738931656</v>
      </c>
      <c r="R64" s="158">
        <v>0.10670000314712524</v>
      </c>
      <c r="S64" s="158">
        <v>0.10660000145435333</v>
      </c>
      <c r="T64" s="158">
        <v>0.10660000145435333</v>
      </c>
      <c r="U64" s="158">
        <v>0.10660000145435333</v>
      </c>
      <c r="V64" s="158">
        <f t="shared" si="1"/>
        <v>0.10655000060796738</v>
      </c>
      <c r="W64" s="158">
        <v>0.10649999976158142</v>
      </c>
      <c r="X64" s="158">
        <v>0.10649999976158142</v>
      </c>
      <c r="Y64" s="158">
        <v>0.1062999963760376</v>
      </c>
      <c r="Z64" s="158">
        <v>0.1062999963760376</v>
      </c>
      <c r="AA64" s="158">
        <v>0.1062999963760376</v>
      </c>
      <c r="AB64" s="158">
        <v>0.1062999963760376</v>
      </c>
      <c r="AC64" s="158">
        <v>0.1062999963760376</v>
      </c>
      <c r="AD64" s="158">
        <v>0.10620000213384628</v>
      </c>
      <c r="AE64" s="158">
        <v>0.10610000044107437</v>
      </c>
      <c r="AF64" s="158">
        <v>0.10610000044107437</v>
      </c>
    </row>
    <row r="65" spans="1:32" x14ac:dyDescent="0.2">
      <c r="A65" s="158" t="s">
        <v>216</v>
      </c>
      <c r="B65" s="158">
        <v>0.10639999806880951</v>
      </c>
      <c r="C65" s="158">
        <v>0.10599999874830246</v>
      </c>
      <c r="D65" s="158">
        <v>0.10589999705553055</v>
      </c>
      <c r="E65" s="158">
        <v>0.10840000212192535</v>
      </c>
      <c r="F65" s="158">
        <v>0.10869999974966049</v>
      </c>
      <c r="G65" s="158">
        <v>0.10819999873638153</v>
      </c>
      <c r="H65" s="158">
        <v>0.10819999873638153</v>
      </c>
      <c r="I65" s="158">
        <v>0.1080000028014183</v>
      </c>
      <c r="J65" s="158">
        <v>0.10779999941587448</v>
      </c>
      <c r="K65" s="158">
        <v>0.1080000028014183</v>
      </c>
      <c r="L65" s="158">
        <v>0.10830000042915344</v>
      </c>
      <c r="M65" s="158">
        <v>0.1080000028014183</v>
      </c>
      <c r="N65" s="158">
        <v>0.10809999704360962</v>
      </c>
      <c r="O65" s="158">
        <v>0.10779999941587448</v>
      </c>
      <c r="P65" s="158">
        <v>0.10740000009536743</v>
      </c>
      <c r="Q65" s="158">
        <v>0.10760000348091125</v>
      </c>
      <c r="R65" s="158">
        <v>0.10760000348091125</v>
      </c>
      <c r="S65" s="158">
        <v>0.1080000028014183</v>
      </c>
      <c r="T65" s="158">
        <v>0.10750000178813934</v>
      </c>
      <c r="U65" s="158">
        <v>0.10750000178813934</v>
      </c>
      <c r="V65" s="158">
        <f t="shared" si="1"/>
        <v>0.1075500026345253</v>
      </c>
      <c r="W65" s="158">
        <v>0.10760000348091125</v>
      </c>
      <c r="X65" s="158">
        <v>0.10779999941587448</v>
      </c>
      <c r="Y65" s="158">
        <v>0.10740000009536743</v>
      </c>
      <c r="Z65" s="158">
        <v>0.10750000178813934</v>
      </c>
      <c r="AA65" s="158">
        <v>0.10920000076293945</v>
      </c>
      <c r="AB65" s="158">
        <v>0.10830000042915344</v>
      </c>
      <c r="AC65" s="158">
        <v>0.10909999907016754</v>
      </c>
      <c r="AD65" s="158">
        <v>0.10819999873638153</v>
      </c>
      <c r="AE65" s="158">
        <v>0.10740000009536743</v>
      </c>
      <c r="AF65" s="158">
        <v>0.10849999636411667</v>
      </c>
    </row>
    <row r="66" spans="1:32" x14ac:dyDescent="0.2">
      <c r="A66" s="158" t="s">
        <v>217</v>
      </c>
      <c r="B66" s="158">
        <v>0.10580000281333923</v>
      </c>
      <c r="C66" s="158">
        <v>0.10570000112056732</v>
      </c>
      <c r="D66" s="158">
        <v>0.10570000112056732</v>
      </c>
      <c r="E66" s="158">
        <v>0.10580000281333923</v>
      </c>
      <c r="F66" s="158">
        <v>0.1054999977350235</v>
      </c>
      <c r="G66" s="158">
        <v>0.10559999942779541</v>
      </c>
      <c r="H66" s="158">
        <v>0.10540000349283218</v>
      </c>
      <c r="I66" s="158">
        <v>0.10530000180006027</v>
      </c>
      <c r="J66" s="158">
        <v>0.10520000010728836</v>
      </c>
      <c r="K66" s="158">
        <v>0.10520000010728836</v>
      </c>
      <c r="L66" s="158">
        <v>0.10520000010728836</v>
      </c>
      <c r="M66" s="158">
        <v>0.10509999841451645</v>
      </c>
      <c r="N66" s="158">
        <v>0.10509999841451645</v>
      </c>
      <c r="O66" s="158">
        <v>0.10499999672174454</v>
      </c>
      <c r="P66" s="158">
        <v>0.10480000078678131</v>
      </c>
      <c r="Q66" s="158">
        <v>0.10480000078678131</v>
      </c>
      <c r="R66" s="158">
        <v>0.10480000078678131</v>
      </c>
      <c r="S66" s="158">
        <v>0.1046999990940094</v>
      </c>
      <c r="T66" s="158">
        <v>0.1046999990940094</v>
      </c>
      <c r="U66" s="158">
        <v>0.1046999990940094</v>
      </c>
      <c r="V66" s="158">
        <f t="shared" si="1"/>
        <v>0.10464999824762344</v>
      </c>
      <c r="W66" s="158">
        <v>0.10459999740123749</v>
      </c>
      <c r="X66" s="158">
        <v>0.10459999740123749</v>
      </c>
      <c r="Y66" s="158">
        <v>0.10450000315904617</v>
      </c>
      <c r="Z66" s="158">
        <v>0.10450000315904617</v>
      </c>
      <c r="AA66" s="158">
        <v>0.10429999977350235</v>
      </c>
      <c r="AB66" s="158">
        <v>0.10429999977350235</v>
      </c>
      <c r="AC66" s="158">
        <v>0.10429999977350235</v>
      </c>
      <c r="AD66" s="158">
        <v>0.10429999977350235</v>
      </c>
      <c r="AE66" s="158">
        <v>0.10419999808073044</v>
      </c>
      <c r="AF66" s="158">
        <v>0.10419999808073044</v>
      </c>
    </row>
    <row r="67" spans="1:32" x14ac:dyDescent="0.2">
      <c r="A67" s="158" t="s">
        <v>218</v>
      </c>
      <c r="B67" s="158">
        <v>0.10999999940395355</v>
      </c>
      <c r="C67" s="158">
        <v>0.10859999805688858</v>
      </c>
      <c r="D67" s="158">
        <v>0.1088000014424324</v>
      </c>
      <c r="E67" s="158">
        <v>0.10869999974966049</v>
      </c>
      <c r="F67" s="158">
        <v>0.10859999805688858</v>
      </c>
      <c r="G67" s="158">
        <v>0.10890000313520432</v>
      </c>
      <c r="H67" s="158">
        <v>0.10849999636411667</v>
      </c>
      <c r="I67" s="158">
        <v>0.10830000042915344</v>
      </c>
      <c r="J67" s="158">
        <v>0.10840000212192535</v>
      </c>
      <c r="K67" s="158">
        <v>0.10809999704360962</v>
      </c>
      <c r="L67" s="158">
        <v>0.10869999974966049</v>
      </c>
      <c r="M67" s="158">
        <v>0.10849999636411667</v>
      </c>
      <c r="N67" s="158">
        <v>0.10859999805688858</v>
      </c>
      <c r="O67" s="158">
        <v>0.10849999636411667</v>
      </c>
      <c r="P67" s="158">
        <v>0.1080000028014183</v>
      </c>
      <c r="Q67" s="158">
        <v>0.10769999772310257</v>
      </c>
      <c r="R67" s="158">
        <v>0.10769999772310257</v>
      </c>
      <c r="S67" s="158">
        <v>0.1080000028014183</v>
      </c>
      <c r="T67" s="158">
        <v>0.10769999772310257</v>
      </c>
      <c r="U67" s="158">
        <v>0.10809999704360962</v>
      </c>
      <c r="V67" s="158">
        <f t="shared" si="1"/>
        <v>0.10794999822974205</v>
      </c>
      <c r="W67" s="158">
        <v>0.10779999941587448</v>
      </c>
      <c r="X67" s="158">
        <v>0.10740000009536743</v>
      </c>
      <c r="Y67" s="158">
        <v>0.10750000178813934</v>
      </c>
      <c r="Z67" s="158">
        <v>0.10750000178813934</v>
      </c>
      <c r="AA67" s="158">
        <v>0.10620000213384628</v>
      </c>
      <c r="AB67" s="158">
        <v>0.10670000314712524</v>
      </c>
      <c r="AC67" s="158">
        <v>0.10620000213384628</v>
      </c>
      <c r="AD67" s="158">
        <v>0.10700000077486038</v>
      </c>
      <c r="AE67" s="158">
        <v>0.10679999738931656</v>
      </c>
      <c r="AF67" s="158">
        <v>0.10639999806880951</v>
      </c>
    </row>
    <row r="68" spans="1:32" x14ac:dyDescent="0.2">
      <c r="A68" s="158" t="s">
        <v>219</v>
      </c>
      <c r="B68" s="158">
        <v>0.10649999976158142</v>
      </c>
      <c r="C68" s="158">
        <v>0.10620000213384628</v>
      </c>
      <c r="D68" s="158">
        <v>0.10610000044107437</v>
      </c>
      <c r="E68" s="158">
        <v>0.10639999806880951</v>
      </c>
      <c r="F68" s="158">
        <v>0.10620000213384628</v>
      </c>
      <c r="G68" s="158">
        <v>0.10620000213384628</v>
      </c>
      <c r="H68" s="158">
        <v>0.10610000044107437</v>
      </c>
      <c r="I68" s="158">
        <v>0.10589999705553055</v>
      </c>
      <c r="J68" s="158">
        <v>0.10610000044107437</v>
      </c>
      <c r="K68" s="158">
        <v>0.10589999705553055</v>
      </c>
      <c r="L68" s="158">
        <v>0.10589999705553055</v>
      </c>
      <c r="M68" s="158">
        <v>0.10570000112056732</v>
      </c>
      <c r="N68" s="158">
        <v>0.10570000112056732</v>
      </c>
      <c r="O68" s="158">
        <v>0.10559999942779541</v>
      </c>
      <c r="P68" s="158">
        <v>0.10540000349283218</v>
      </c>
      <c r="Q68" s="158">
        <v>0.10540000349283218</v>
      </c>
      <c r="R68" s="158">
        <v>0.10540000349283218</v>
      </c>
      <c r="S68" s="158">
        <v>0.10530000180006027</v>
      </c>
      <c r="T68" s="158">
        <v>0.10530000180006027</v>
      </c>
      <c r="U68" s="158">
        <v>0.10530000180006027</v>
      </c>
      <c r="V68" s="158">
        <f t="shared" si="1"/>
        <v>0.10525000095367432</v>
      </c>
      <c r="W68" s="158">
        <v>0.10520000010728836</v>
      </c>
      <c r="X68" s="158">
        <v>0.10509999841451645</v>
      </c>
      <c r="Y68" s="158">
        <v>0.10499999672174454</v>
      </c>
      <c r="Z68" s="158">
        <v>0.10520000010728836</v>
      </c>
      <c r="AA68" s="158">
        <v>0.10490000247955322</v>
      </c>
      <c r="AB68" s="158">
        <v>0.10490000247955322</v>
      </c>
      <c r="AC68" s="158">
        <v>0.10490000247955322</v>
      </c>
      <c r="AD68" s="158">
        <v>0.10480000078678131</v>
      </c>
      <c r="AE68" s="158">
        <v>0.10499999672174454</v>
      </c>
      <c r="AF68" s="158">
        <v>0.10480000078678131</v>
      </c>
    </row>
    <row r="69" spans="1:32" x14ac:dyDescent="0.2">
      <c r="A69" s="158" t="s">
        <v>220</v>
      </c>
      <c r="B69" s="158">
        <v>0.10679999738931656</v>
      </c>
      <c r="C69" s="158">
        <v>0.10660000145435333</v>
      </c>
      <c r="D69" s="158">
        <v>0.10649999976158142</v>
      </c>
      <c r="E69" s="158">
        <v>0.10649999976158142</v>
      </c>
      <c r="F69" s="158">
        <v>0.1062999963760376</v>
      </c>
      <c r="G69" s="158">
        <v>0.10620000213384628</v>
      </c>
      <c r="H69" s="158">
        <v>0.10610000044107437</v>
      </c>
      <c r="I69" s="158">
        <v>0.10599999874830246</v>
      </c>
      <c r="J69" s="158">
        <v>0.10589999705553055</v>
      </c>
      <c r="K69" s="158">
        <v>0.10589999705553055</v>
      </c>
      <c r="L69" s="158">
        <v>0.10589999705553055</v>
      </c>
      <c r="M69" s="158">
        <v>0.10580000281333923</v>
      </c>
      <c r="N69" s="158">
        <v>0.10570000112056732</v>
      </c>
      <c r="O69" s="158">
        <v>0.10559999942779541</v>
      </c>
      <c r="P69" s="158">
        <v>0.10540000349283218</v>
      </c>
      <c r="Q69" s="158">
        <v>0.10540000349283218</v>
      </c>
      <c r="R69" s="158">
        <v>0.10530000180006027</v>
      </c>
      <c r="S69" s="158">
        <v>0.10520000010728836</v>
      </c>
      <c r="T69" s="158">
        <v>0.10520000010728836</v>
      </c>
      <c r="U69" s="158">
        <v>0.10520000010728836</v>
      </c>
      <c r="V69" s="158">
        <f t="shared" si="1"/>
        <v>0.10509999841451645</v>
      </c>
      <c r="W69" s="158">
        <v>0.10499999672174454</v>
      </c>
      <c r="X69" s="158">
        <v>0.10499999672174454</v>
      </c>
      <c r="Y69" s="158">
        <v>0.10480000078678131</v>
      </c>
      <c r="Z69" s="158">
        <v>0.10480000078678131</v>
      </c>
      <c r="AA69" s="158">
        <v>0.10459999740123749</v>
      </c>
      <c r="AB69" s="158">
        <v>0.10459999740123749</v>
      </c>
      <c r="AC69" s="158">
        <v>0.10459999740123749</v>
      </c>
      <c r="AD69" s="158">
        <v>0.10450000315904617</v>
      </c>
      <c r="AE69" s="158">
        <v>0.10440000146627426</v>
      </c>
      <c r="AF69" s="158">
        <v>0.10440000146627426</v>
      </c>
    </row>
    <row r="70" spans="1:32" x14ac:dyDescent="0.2">
      <c r="A70" s="158" t="s">
        <v>221</v>
      </c>
      <c r="B70" s="158">
        <v>0.10620000213384628</v>
      </c>
      <c r="C70" s="158">
        <v>0.10610000044107437</v>
      </c>
      <c r="D70" s="158">
        <v>0.10599999874830246</v>
      </c>
      <c r="E70" s="158">
        <v>0.10610000044107437</v>
      </c>
      <c r="F70" s="158">
        <v>0.10589999705553055</v>
      </c>
      <c r="G70" s="158">
        <v>0.10599999874830246</v>
      </c>
      <c r="H70" s="158">
        <v>0.10589999705553055</v>
      </c>
      <c r="I70" s="158">
        <v>0.10580000281333923</v>
      </c>
      <c r="J70" s="158">
        <v>0.10570000112056732</v>
      </c>
      <c r="K70" s="158">
        <v>0.10570000112056732</v>
      </c>
      <c r="L70" s="158">
        <v>0.10580000281333923</v>
      </c>
      <c r="M70" s="158">
        <v>0.10570000112056732</v>
      </c>
      <c r="N70" s="158">
        <v>0.10559999942779541</v>
      </c>
      <c r="O70" s="158">
        <v>0.10540000349283218</v>
      </c>
      <c r="P70" s="158">
        <v>0.10530000180006027</v>
      </c>
      <c r="Q70" s="158">
        <v>0.10530000180006027</v>
      </c>
      <c r="R70" s="158">
        <v>0.10520000010728836</v>
      </c>
      <c r="S70" s="158">
        <v>0.10530000180006027</v>
      </c>
      <c r="T70" s="158">
        <v>0.10530000180006027</v>
      </c>
      <c r="U70" s="158">
        <v>0.10540000349283218</v>
      </c>
      <c r="V70" s="158">
        <f t="shared" si="1"/>
        <v>0.10530000180006027</v>
      </c>
      <c r="W70" s="158">
        <v>0.10520000010728836</v>
      </c>
      <c r="X70" s="158">
        <v>0.10520000010728836</v>
      </c>
      <c r="Y70" s="158">
        <v>0.10499999672174454</v>
      </c>
      <c r="Z70" s="158">
        <v>0.10490000247955322</v>
      </c>
      <c r="AA70" s="158">
        <v>0.10490000247955322</v>
      </c>
      <c r="AB70" s="158">
        <v>0.10480000078678131</v>
      </c>
      <c r="AC70" s="158">
        <v>0.1046999990940094</v>
      </c>
      <c r="AD70" s="158">
        <v>0.10480000078678131</v>
      </c>
      <c r="AE70" s="158">
        <v>0.1046999990940094</v>
      </c>
      <c r="AF70" s="158">
        <v>0.10480000078678131</v>
      </c>
    </row>
    <row r="71" spans="1:32" x14ac:dyDescent="0.2">
      <c r="A71" s="158" t="s">
        <v>222</v>
      </c>
      <c r="B71" s="158">
        <v>0.10649999976158142</v>
      </c>
      <c r="C71" s="158">
        <v>0.10610000044107437</v>
      </c>
      <c r="D71" s="158">
        <v>0.10599999874830246</v>
      </c>
      <c r="E71" s="158">
        <v>0.10610000044107437</v>
      </c>
      <c r="F71" s="158">
        <v>0.10589999705553055</v>
      </c>
      <c r="G71" s="158">
        <v>0.10580000281333923</v>
      </c>
      <c r="H71" s="158">
        <v>0.10570000112056732</v>
      </c>
      <c r="I71" s="158">
        <v>0.10559999942779541</v>
      </c>
      <c r="J71" s="158">
        <v>0.1054999977350235</v>
      </c>
      <c r="K71" s="158">
        <v>0.1054999977350235</v>
      </c>
      <c r="L71" s="158">
        <v>0.1054999977350235</v>
      </c>
      <c r="M71" s="158">
        <v>0.10540000349283218</v>
      </c>
      <c r="N71" s="158">
        <v>0.10540000349283218</v>
      </c>
      <c r="O71" s="158">
        <v>0.10530000180006027</v>
      </c>
      <c r="P71" s="158">
        <v>0.10499999672174454</v>
      </c>
      <c r="Q71" s="158">
        <v>0.10499999672174454</v>
      </c>
      <c r="R71" s="158">
        <v>0.10499999672174454</v>
      </c>
      <c r="S71" s="158">
        <v>0.10490000247955322</v>
      </c>
      <c r="T71" s="158">
        <v>0.10490000247955322</v>
      </c>
      <c r="U71" s="158">
        <v>0.10490000247955322</v>
      </c>
      <c r="V71" s="158">
        <f t="shared" si="1"/>
        <v>0.10485000163316727</v>
      </c>
      <c r="W71" s="158">
        <v>0.10480000078678131</v>
      </c>
      <c r="X71" s="158">
        <v>0.10480000078678131</v>
      </c>
      <c r="Y71" s="158">
        <v>0.1046999990940094</v>
      </c>
      <c r="Z71" s="158">
        <v>0.10450000315904617</v>
      </c>
      <c r="AA71" s="158">
        <v>0.10450000315904617</v>
      </c>
      <c r="AB71" s="158">
        <v>0.10450000315904617</v>
      </c>
      <c r="AC71" s="158">
        <v>0.10440000146627426</v>
      </c>
      <c r="AD71" s="158">
        <v>0.10440000146627426</v>
      </c>
      <c r="AE71" s="158">
        <v>0.10440000146627426</v>
      </c>
      <c r="AF71" s="158">
        <v>0.10429999977350235</v>
      </c>
    </row>
    <row r="72" spans="1:32" x14ac:dyDescent="0.2">
      <c r="A72" s="158" t="s">
        <v>223</v>
      </c>
      <c r="B72" s="158">
        <v>0.10710000246763229</v>
      </c>
      <c r="C72" s="158">
        <v>0.10689999908208847</v>
      </c>
      <c r="D72" s="158">
        <v>0.10679999738931656</v>
      </c>
      <c r="E72" s="158">
        <v>0.10679999738931656</v>
      </c>
      <c r="F72" s="158">
        <v>0.10689999908208847</v>
      </c>
      <c r="G72" s="158">
        <v>0.10670000314712524</v>
      </c>
      <c r="H72" s="158">
        <v>0.10670000314712524</v>
      </c>
      <c r="I72" s="158">
        <v>0.10649999976158142</v>
      </c>
      <c r="J72" s="158">
        <v>0.10649999976158142</v>
      </c>
      <c r="K72" s="158">
        <v>0.10639999806880951</v>
      </c>
      <c r="L72" s="158">
        <v>0.10649999976158142</v>
      </c>
      <c r="M72" s="158">
        <v>0.10639999806880951</v>
      </c>
      <c r="N72" s="158">
        <v>0.1062999963760376</v>
      </c>
      <c r="O72" s="158">
        <v>0.10620000213384628</v>
      </c>
      <c r="P72" s="158">
        <v>0.10610000044107437</v>
      </c>
      <c r="Q72" s="158">
        <v>0.10599999874830246</v>
      </c>
      <c r="R72" s="158">
        <v>0.10599999874830246</v>
      </c>
      <c r="S72" s="158">
        <v>0.10610000044107437</v>
      </c>
      <c r="T72" s="158">
        <v>0.10610000044107437</v>
      </c>
      <c r="U72" s="158">
        <v>0.10610000044107437</v>
      </c>
      <c r="V72" s="158">
        <f t="shared" si="1"/>
        <v>0.10610000044107437</v>
      </c>
      <c r="W72" s="158">
        <v>0.10610000044107437</v>
      </c>
      <c r="X72" s="158">
        <v>0.10599999874830246</v>
      </c>
      <c r="Y72" s="158">
        <v>0.10589999705553055</v>
      </c>
      <c r="Z72" s="158">
        <v>0.10580000281333923</v>
      </c>
      <c r="AA72" s="158">
        <v>0.10589999705553055</v>
      </c>
      <c r="AB72" s="158">
        <v>0.10559999942779541</v>
      </c>
      <c r="AC72" s="158">
        <v>0.10559999942779541</v>
      </c>
      <c r="AD72" s="158">
        <v>0.10559999942779541</v>
      </c>
      <c r="AE72" s="158">
        <v>0.10559999942779541</v>
      </c>
      <c r="AF72" s="158">
        <v>0.10589999705553055</v>
      </c>
    </row>
    <row r="73" spans="1:32" x14ac:dyDescent="0.2">
      <c r="A73" s="158" t="s">
        <v>224</v>
      </c>
      <c r="B73" s="158">
        <v>0.10710000246763229</v>
      </c>
      <c r="C73" s="158">
        <v>0.10679999738931656</v>
      </c>
      <c r="D73" s="158">
        <v>0.10670000314712524</v>
      </c>
      <c r="E73" s="158">
        <v>0.10670000314712524</v>
      </c>
      <c r="F73" s="158">
        <v>0.10660000145435333</v>
      </c>
      <c r="G73" s="158">
        <v>0.10660000145435333</v>
      </c>
      <c r="H73" s="158">
        <v>0.10639999806880951</v>
      </c>
      <c r="I73" s="158">
        <v>0.1062999963760376</v>
      </c>
      <c r="J73" s="158">
        <v>0.10620000213384628</v>
      </c>
      <c r="K73" s="158">
        <v>0.10620000213384628</v>
      </c>
      <c r="L73" s="158">
        <v>0.10620000213384628</v>
      </c>
      <c r="M73" s="158">
        <v>0.10599999874830246</v>
      </c>
      <c r="N73" s="158">
        <v>0.10589999705553055</v>
      </c>
      <c r="O73" s="158">
        <v>0.10570000112056732</v>
      </c>
      <c r="P73" s="158">
        <v>0.1054999977350235</v>
      </c>
      <c r="Q73" s="158">
        <v>0.1054999977350235</v>
      </c>
      <c r="R73" s="158">
        <v>0.1054999977350235</v>
      </c>
      <c r="S73" s="158">
        <v>0.1054999977350235</v>
      </c>
      <c r="T73" s="158">
        <v>0.10559999942779541</v>
      </c>
      <c r="U73" s="158">
        <v>0.10570000112056732</v>
      </c>
      <c r="V73" s="158">
        <f t="shared" si="1"/>
        <v>0.10559999942779541</v>
      </c>
      <c r="W73" s="158">
        <v>0.1054999977350235</v>
      </c>
      <c r="X73" s="158">
        <v>0.10540000349283218</v>
      </c>
      <c r="Y73" s="158">
        <v>0.10520000010728836</v>
      </c>
      <c r="Z73" s="158">
        <v>0.10509999841451645</v>
      </c>
      <c r="AA73" s="158">
        <v>0.10490000247955322</v>
      </c>
      <c r="AB73" s="158">
        <v>0.10480000078678131</v>
      </c>
      <c r="AC73" s="158">
        <v>0.10480000078678131</v>
      </c>
      <c r="AD73" s="158">
        <v>0.10480000078678131</v>
      </c>
      <c r="AE73" s="158">
        <v>0.1046999990940094</v>
      </c>
      <c r="AF73" s="158">
        <v>0.10490000247955322</v>
      </c>
    </row>
    <row r="74" spans="1:32" x14ac:dyDescent="0.2">
      <c r="A74" s="158" t="s">
        <v>225</v>
      </c>
      <c r="B74" s="158">
        <v>0.10719999670982361</v>
      </c>
      <c r="C74" s="158">
        <v>0.10719999670982361</v>
      </c>
      <c r="D74" s="158">
        <v>0.10719999670982361</v>
      </c>
      <c r="E74" s="158">
        <v>0.10729999840259552</v>
      </c>
      <c r="F74" s="158">
        <v>0.10729999840259552</v>
      </c>
      <c r="G74" s="158">
        <v>0.10740000009536743</v>
      </c>
      <c r="H74" s="158">
        <v>0.10729999840259552</v>
      </c>
      <c r="I74" s="158">
        <v>0.10729999840259552</v>
      </c>
      <c r="J74" s="158">
        <v>0.10719999670982361</v>
      </c>
      <c r="K74" s="158">
        <v>0.10719999670982361</v>
      </c>
      <c r="L74" s="158">
        <v>0.10719999670982361</v>
      </c>
      <c r="M74" s="158">
        <v>0.10729999840259552</v>
      </c>
      <c r="N74" s="158">
        <v>0.10689999908208847</v>
      </c>
      <c r="O74" s="158">
        <v>0.10679999738931656</v>
      </c>
      <c r="P74" s="158">
        <v>0.10660000145435333</v>
      </c>
      <c r="Q74" s="158">
        <v>0.10660000145435333</v>
      </c>
      <c r="R74" s="158">
        <v>0.10660000145435333</v>
      </c>
      <c r="S74" s="158">
        <v>0.10670000314712524</v>
      </c>
      <c r="T74" s="158">
        <v>0.10679999738931656</v>
      </c>
      <c r="U74" s="158">
        <v>0.10689999908208847</v>
      </c>
      <c r="V74" s="158">
        <f t="shared" si="1"/>
        <v>0.10684999823570251</v>
      </c>
      <c r="W74" s="158">
        <v>0.10679999738931656</v>
      </c>
      <c r="X74" s="158">
        <v>0.10679999738931656</v>
      </c>
      <c r="Y74" s="158">
        <v>0.10649999976158142</v>
      </c>
      <c r="Z74" s="158">
        <v>0.1062999963760376</v>
      </c>
      <c r="AA74" s="158">
        <v>0.10620000213384628</v>
      </c>
      <c r="AB74" s="158">
        <v>0.10610000044107437</v>
      </c>
      <c r="AC74" s="158">
        <v>0.10610000044107437</v>
      </c>
      <c r="AD74" s="158">
        <v>0.10610000044107437</v>
      </c>
      <c r="AE74" s="158">
        <v>0.10610000044107437</v>
      </c>
      <c r="AF74" s="158">
        <v>0.10620000213384628</v>
      </c>
    </row>
    <row r="75" spans="1:32" x14ac:dyDescent="0.2">
      <c r="A75" s="158" t="s">
        <v>226</v>
      </c>
      <c r="B75" s="158">
        <v>0.10740000009536743</v>
      </c>
      <c r="C75" s="158">
        <v>0.10710000246763229</v>
      </c>
      <c r="D75" s="158">
        <v>0.10710000246763229</v>
      </c>
      <c r="E75" s="158">
        <v>0.10700000077486038</v>
      </c>
      <c r="F75" s="158">
        <v>0.10689999908208847</v>
      </c>
      <c r="G75" s="158">
        <v>0.10719999670982361</v>
      </c>
      <c r="H75" s="158">
        <v>0.10679999738931656</v>
      </c>
      <c r="I75" s="158">
        <v>0.10670000314712524</v>
      </c>
      <c r="J75" s="158">
        <v>0.10670000314712524</v>
      </c>
      <c r="K75" s="158">
        <v>0.10670000314712524</v>
      </c>
      <c r="L75" s="158">
        <v>0.10670000314712524</v>
      </c>
      <c r="M75" s="158">
        <v>0.10649999976158142</v>
      </c>
      <c r="N75" s="158">
        <v>0.10639999806880951</v>
      </c>
      <c r="O75" s="158">
        <v>0.10620000213384628</v>
      </c>
      <c r="P75" s="158">
        <v>0.10599999874830246</v>
      </c>
      <c r="Q75" s="158">
        <v>0.10599999874830246</v>
      </c>
      <c r="R75" s="158">
        <v>0.10599999874830246</v>
      </c>
      <c r="S75" s="158">
        <v>0.10599999874830246</v>
      </c>
      <c r="T75" s="158">
        <v>0.10610000044107437</v>
      </c>
      <c r="U75" s="158">
        <v>0.10620000213384628</v>
      </c>
      <c r="V75" s="158">
        <f t="shared" si="1"/>
        <v>0.10615000128746033</v>
      </c>
      <c r="W75" s="158">
        <v>0.10610000044107437</v>
      </c>
      <c r="X75" s="158">
        <v>0.10599999874830246</v>
      </c>
      <c r="Y75" s="158">
        <v>0.10570000112056732</v>
      </c>
      <c r="Z75" s="158">
        <v>0.1054999977350235</v>
      </c>
      <c r="AA75" s="158">
        <v>0.10540000349283218</v>
      </c>
      <c r="AB75" s="158">
        <v>0.10540000349283218</v>
      </c>
      <c r="AC75" s="158">
        <v>0.10530000180006027</v>
      </c>
      <c r="AD75" s="158">
        <v>0.10540000349283218</v>
      </c>
      <c r="AE75" s="158">
        <v>0.10530000180006027</v>
      </c>
      <c r="AF75" s="158">
        <v>0.1054999977350235</v>
      </c>
    </row>
    <row r="76" spans="1:32" x14ac:dyDescent="0.2">
      <c r="A76" s="158" t="s">
        <v>227</v>
      </c>
      <c r="B76" s="158">
        <v>0.10859999805688858</v>
      </c>
      <c r="C76" s="158">
        <v>0.10819999873638153</v>
      </c>
      <c r="D76" s="158">
        <v>0.10809999704360962</v>
      </c>
      <c r="E76" s="158">
        <v>0.10819999873638153</v>
      </c>
      <c r="F76" s="158">
        <v>0.10809999704360962</v>
      </c>
      <c r="G76" s="158">
        <v>0.10819999873638153</v>
      </c>
      <c r="H76" s="158">
        <v>0.10809999704360962</v>
      </c>
      <c r="I76" s="158">
        <v>0.1080000028014183</v>
      </c>
      <c r="J76" s="158">
        <v>0.1080000028014183</v>
      </c>
      <c r="K76" s="158">
        <v>0.1080000028014183</v>
      </c>
      <c r="L76" s="158">
        <v>0.1080000028014183</v>
      </c>
      <c r="M76" s="158">
        <v>0.10779999941587448</v>
      </c>
      <c r="N76" s="158">
        <v>0.10769999772310257</v>
      </c>
      <c r="O76" s="158">
        <v>0.10750000178813934</v>
      </c>
      <c r="P76" s="158">
        <v>0.10729999840259552</v>
      </c>
      <c r="Q76" s="158">
        <v>0.10760000348091125</v>
      </c>
      <c r="R76" s="158">
        <v>0.10729999840259552</v>
      </c>
      <c r="S76" s="158">
        <v>0.10760000348091125</v>
      </c>
      <c r="T76" s="158">
        <v>0.10760000348091125</v>
      </c>
      <c r="U76" s="158">
        <v>0.10769999772310257</v>
      </c>
      <c r="V76" s="158">
        <f t="shared" si="1"/>
        <v>0.10799999907612801</v>
      </c>
      <c r="W76" s="158">
        <v>0.10830000042915344</v>
      </c>
      <c r="X76" s="158">
        <v>0.10819999873638153</v>
      </c>
      <c r="Y76" s="158">
        <v>0.10939999669790268</v>
      </c>
      <c r="Z76" s="158">
        <v>0.10899999737739563</v>
      </c>
      <c r="AA76" s="158">
        <v>0.10920000076293945</v>
      </c>
      <c r="AB76" s="158">
        <v>0.10930000245571136</v>
      </c>
      <c r="AC76" s="158">
        <v>0.10890000313520432</v>
      </c>
      <c r="AD76" s="158">
        <v>0.10890000313520432</v>
      </c>
      <c r="AE76" s="158">
        <v>0.1088000014424324</v>
      </c>
      <c r="AF76" s="158">
        <v>0.10830000042915344</v>
      </c>
    </row>
    <row r="77" spans="1:32" x14ac:dyDescent="0.2">
      <c r="A77" s="158" t="s">
        <v>228</v>
      </c>
      <c r="B77" s="158">
        <v>0.10719999670982361</v>
      </c>
      <c r="C77" s="158">
        <v>0.10660000145435333</v>
      </c>
      <c r="D77" s="158">
        <v>0.10660000145435333</v>
      </c>
      <c r="E77" s="158">
        <v>0.10660000145435333</v>
      </c>
      <c r="F77" s="158">
        <v>0.10639999806880951</v>
      </c>
      <c r="G77" s="158">
        <v>0.10649999976158142</v>
      </c>
      <c r="H77" s="158">
        <v>0.10660000145435333</v>
      </c>
      <c r="I77" s="158">
        <v>0.10620000213384628</v>
      </c>
      <c r="J77" s="158">
        <v>0.10620000213384628</v>
      </c>
      <c r="K77" s="158">
        <v>0.10620000213384628</v>
      </c>
      <c r="L77" s="158">
        <v>0.10610000044107437</v>
      </c>
      <c r="M77" s="158">
        <v>0.10589999705553055</v>
      </c>
      <c r="N77" s="158">
        <v>0.10580000281333923</v>
      </c>
      <c r="O77" s="158">
        <v>0.1054999977350235</v>
      </c>
      <c r="P77" s="158">
        <v>0.10530000180006027</v>
      </c>
      <c r="Q77" s="158">
        <v>0.10530000180006027</v>
      </c>
      <c r="R77" s="158">
        <v>0.10530000180006027</v>
      </c>
      <c r="S77" s="158">
        <v>0.10540000349283218</v>
      </c>
      <c r="T77" s="158">
        <v>0.10570000112056732</v>
      </c>
      <c r="U77" s="158">
        <v>0.10570000112056732</v>
      </c>
      <c r="V77" s="158">
        <f t="shared" si="1"/>
        <v>0.10610000044107437</v>
      </c>
      <c r="W77" s="158">
        <v>0.10649999976158142</v>
      </c>
      <c r="X77" s="158">
        <v>0.10639999806880951</v>
      </c>
      <c r="Y77" s="158">
        <v>0.10620000213384628</v>
      </c>
      <c r="Z77" s="158">
        <v>0.10580000281333923</v>
      </c>
      <c r="AA77" s="158">
        <v>0.10570000112056732</v>
      </c>
      <c r="AB77" s="158">
        <v>0.10559999942779541</v>
      </c>
      <c r="AC77" s="158">
        <v>0.10540000349283218</v>
      </c>
      <c r="AD77" s="158">
        <v>0.1054999977350235</v>
      </c>
      <c r="AE77" s="158">
        <v>0.1054999977350235</v>
      </c>
      <c r="AF77" s="158">
        <v>0.10580000281333923</v>
      </c>
    </row>
    <row r="78" spans="1:32" x14ac:dyDescent="0.2">
      <c r="A78" s="158" t="s">
        <v>229</v>
      </c>
      <c r="B78" s="158">
        <v>0.10790000110864639</v>
      </c>
      <c r="C78" s="158">
        <v>0.10760000348091125</v>
      </c>
      <c r="D78" s="158">
        <v>0.10750000178813934</v>
      </c>
      <c r="E78" s="158">
        <v>0.10750000178813934</v>
      </c>
      <c r="F78" s="158">
        <v>0.10750000178813934</v>
      </c>
      <c r="G78" s="158">
        <v>0.10760000348091125</v>
      </c>
      <c r="H78" s="158">
        <v>0.10750000178813934</v>
      </c>
      <c r="I78" s="158">
        <v>0.10750000178813934</v>
      </c>
      <c r="J78" s="158">
        <v>0.10740000009536743</v>
      </c>
      <c r="K78" s="158">
        <v>0.10740000009536743</v>
      </c>
      <c r="L78" s="158">
        <v>0.10740000009536743</v>
      </c>
      <c r="M78" s="158">
        <v>0.10719999670982361</v>
      </c>
      <c r="N78" s="158">
        <v>0.10700000077486038</v>
      </c>
      <c r="O78" s="158">
        <v>0.10670000314712524</v>
      </c>
      <c r="P78" s="158">
        <v>0.10679999738931656</v>
      </c>
      <c r="Q78" s="158">
        <v>0.10649999976158142</v>
      </c>
      <c r="R78" s="158">
        <v>0.10660000145435333</v>
      </c>
      <c r="S78" s="158">
        <v>0.10679999738931656</v>
      </c>
      <c r="T78" s="158">
        <v>0.10700000077486038</v>
      </c>
      <c r="U78" s="158">
        <v>0.10710000246763229</v>
      </c>
      <c r="V78" s="158">
        <f t="shared" si="1"/>
        <v>0.10710000246763229</v>
      </c>
      <c r="W78" s="158">
        <v>0.10710000246763229</v>
      </c>
      <c r="X78" s="158">
        <v>0.10679999738931656</v>
      </c>
      <c r="Y78" s="158">
        <v>0.10660000145435333</v>
      </c>
      <c r="Z78" s="158">
        <v>0.1062999963760376</v>
      </c>
      <c r="AA78" s="158">
        <v>0.10620000213384628</v>
      </c>
      <c r="AB78" s="158">
        <v>0.10599999874830246</v>
      </c>
      <c r="AC78" s="158">
        <v>0.10589999705553055</v>
      </c>
      <c r="AD78" s="158">
        <v>0.10599999874830246</v>
      </c>
      <c r="AE78" s="158">
        <v>0.10599999874830246</v>
      </c>
      <c r="AF78" s="158">
        <v>0.10610000044107437</v>
      </c>
    </row>
    <row r="79" spans="1:32" x14ac:dyDescent="0.2">
      <c r="A79" s="158" t="s">
        <v>230</v>
      </c>
      <c r="B79" s="158">
        <v>0.10639999806880951</v>
      </c>
      <c r="C79" s="158">
        <v>0.10589999705553055</v>
      </c>
      <c r="D79" s="158">
        <v>0.10570000112056732</v>
      </c>
      <c r="E79" s="158">
        <v>0.10570000112056732</v>
      </c>
      <c r="F79" s="158">
        <v>0.1054999977350235</v>
      </c>
      <c r="G79" s="158">
        <v>0.10559999942779541</v>
      </c>
      <c r="H79" s="158">
        <v>0.10540000349283218</v>
      </c>
      <c r="I79" s="158">
        <v>0.10530000180006027</v>
      </c>
      <c r="J79" s="158">
        <v>0.10509999841451645</v>
      </c>
      <c r="K79" s="158">
        <v>0.10520000010728836</v>
      </c>
      <c r="L79" s="158">
        <v>0.10520000010728836</v>
      </c>
      <c r="M79" s="158">
        <v>0.10499999672174454</v>
      </c>
      <c r="N79" s="158">
        <v>0.10480000078678131</v>
      </c>
      <c r="O79" s="158">
        <v>0.10450000315904617</v>
      </c>
      <c r="P79" s="158">
        <v>0.10429999977350235</v>
      </c>
      <c r="Q79" s="158">
        <v>0.10429999977350235</v>
      </c>
      <c r="R79" s="158">
        <v>0.10429999977350235</v>
      </c>
      <c r="S79" s="158">
        <v>0.10440000146627426</v>
      </c>
      <c r="T79" s="158">
        <v>0.10459999740123749</v>
      </c>
      <c r="U79" s="158">
        <v>0.1046999990940094</v>
      </c>
      <c r="V79" s="158">
        <f t="shared" si="1"/>
        <v>0.10520000010728836</v>
      </c>
      <c r="W79" s="158">
        <v>0.10570000112056732</v>
      </c>
      <c r="X79" s="158">
        <v>0.10540000349283218</v>
      </c>
      <c r="Y79" s="158">
        <v>0.10509999841451645</v>
      </c>
      <c r="Z79" s="158">
        <v>0.10499999672174454</v>
      </c>
      <c r="AA79" s="158">
        <v>0.10480000078678131</v>
      </c>
      <c r="AB79" s="158">
        <v>0.1046999990940094</v>
      </c>
      <c r="AC79" s="158">
        <v>0.10459999740123749</v>
      </c>
      <c r="AD79" s="158">
        <v>0.10459999740123749</v>
      </c>
      <c r="AE79" s="158">
        <v>0.1046999990940094</v>
      </c>
      <c r="AF79" s="158">
        <v>0.10400000214576721</v>
      </c>
    </row>
    <row r="80" spans="1:32" x14ac:dyDescent="0.2">
      <c r="A80" s="158" t="s">
        <v>231</v>
      </c>
      <c r="B80" s="158">
        <v>0.10719999670982361</v>
      </c>
      <c r="C80" s="158">
        <v>0.10679999738931656</v>
      </c>
      <c r="D80" s="158">
        <v>0.10670000314712524</v>
      </c>
      <c r="E80" s="158">
        <v>0.10660000145435333</v>
      </c>
      <c r="F80" s="158">
        <v>0.10660000145435333</v>
      </c>
      <c r="G80" s="158">
        <v>0.10679999738931656</v>
      </c>
      <c r="H80" s="158">
        <v>0.10670000314712524</v>
      </c>
      <c r="I80" s="158">
        <v>0.10670000314712524</v>
      </c>
      <c r="J80" s="158">
        <v>0.10660000145435333</v>
      </c>
      <c r="K80" s="158">
        <v>0.10679999738931656</v>
      </c>
      <c r="L80" s="158">
        <v>0.10660000145435333</v>
      </c>
      <c r="M80" s="158">
        <v>0.10639999806880951</v>
      </c>
      <c r="N80" s="158">
        <v>0.10620000213384628</v>
      </c>
      <c r="O80" s="158">
        <v>0.10599999874830246</v>
      </c>
      <c r="P80" s="158">
        <v>0.10580000281333923</v>
      </c>
      <c r="Q80" s="158">
        <v>0.10580000281333923</v>
      </c>
      <c r="R80" s="158">
        <v>0.10580000281333923</v>
      </c>
      <c r="S80" s="158">
        <v>0.10599999874830246</v>
      </c>
      <c r="T80" s="158">
        <v>0.10620000213384628</v>
      </c>
      <c r="U80" s="158">
        <v>0.1062999963760376</v>
      </c>
      <c r="V80" s="158">
        <f t="shared" si="1"/>
        <v>0.1062999963760376</v>
      </c>
      <c r="W80" s="158">
        <v>0.1062999963760376</v>
      </c>
      <c r="X80" s="158">
        <v>0.10610000044107437</v>
      </c>
      <c r="Y80" s="158">
        <v>0.10580000281333923</v>
      </c>
      <c r="Z80" s="158">
        <v>0.10559999942779541</v>
      </c>
      <c r="AA80" s="158">
        <v>0.10540000349283218</v>
      </c>
      <c r="AB80" s="158">
        <v>0.10530000180006027</v>
      </c>
      <c r="AC80" s="158">
        <v>0.10520000010728836</v>
      </c>
      <c r="AD80" s="158">
        <v>0.10520000010728836</v>
      </c>
      <c r="AE80" s="158">
        <v>0.10530000180006027</v>
      </c>
      <c r="AF80" s="158">
        <v>0.10530000180006027</v>
      </c>
    </row>
    <row r="81" spans="1:32" x14ac:dyDescent="0.2">
      <c r="A81" s="158" t="s">
        <v>232</v>
      </c>
      <c r="B81" s="158">
        <v>0.10719999670982361</v>
      </c>
      <c r="C81" s="158">
        <v>0.10660000145435333</v>
      </c>
      <c r="D81" s="158">
        <v>0.1062999963760376</v>
      </c>
      <c r="E81" s="158">
        <v>0.1062999963760376</v>
      </c>
      <c r="F81" s="158">
        <v>0.10620000213384628</v>
      </c>
      <c r="G81" s="158">
        <v>0.1062999963760376</v>
      </c>
      <c r="H81" s="158">
        <v>0.10620000213384628</v>
      </c>
      <c r="I81" s="158">
        <v>0.10610000044107437</v>
      </c>
      <c r="J81" s="158">
        <v>0.10599999874830246</v>
      </c>
      <c r="K81" s="158">
        <v>0.10599999874830246</v>
      </c>
      <c r="L81" s="158">
        <v>0.10599999874830246</v>
      </c>
      <c r="M81" s="158">
        <v>0.10570000112056732</v>
      </c>
      <c r="N81" s="158">
        <v>0.1054999977350235</v>
      </c>
      <c r="O81" s="158">
        <v>0.10520000010728836</v>
      </c>
      <c r="P81" s="158">
        <v>0.10499999672174454</v>
      </c>
      <c r="Q81" s="158">
        <v>0.10499999672174454</v>
      </c>
      <c r="R81" s="158">
        <v>0.10499999672174454</v>
      </c>
      <c r="S81" s="158">
        <v>0.10520000010728836</v>
      </c>
      <c r="T81" s="158">
        <v>0.10540000349283218</v>
      </c>
      <c r="U81" s="158">
        <v>0.1054999977350235</v>
      </c>
      <c r="V81" s="158">
        <f t="shared" si="1"/>
        <v>0.10545000061392784</v>
      </c>
      <c r="W81" s="158">
        <v>0.10540000349283218</v>
      </c>
      <c r="X81" s="158">
        <v>0.10520000010728836</v>
      </c>
      <c r="Y81" s="158">
        <v>0.10490000247955322</v>
      </c>
      <c r="Z81" s="158">
        <v>0.10459999740123749</v>
      </c>
      <c r="AA81" s="158">
        <v>0.10440000146627426</v>
      </c>
      <c r="AB81" s="158">
        <v>0.10429999977350235</v>
      </c>
      <c r="AC81" s="158">
        <v>0.10419999808073044</v>
      </c>
      <c r="AD81" s="158">
        <v>0.10419999808073044</v>
      </c>
      <c r="AE81" s="158">
        <v>0.10419999808073044</v>
      </c>
      <c r="AF81" s="158">
        <v>0.10440000146627426</v>
      </c>
    </row>
    <row r="82" spans="1:32" x14ac:dyDescent="0.2">
      <c r="A82" s="158" t="s">
        <v>233</v>
      </c>
      <c r="B82" s="158">
        <v>0.10769999772310257</v>
      </c>
      <c r="C82" s="158">
        <v>0.10729999840259552</v>
      </c>
      <c r="D82" s="158">
        <v>0.10689999908208847</v>
      </c>
      <c r="E82" s="158">
        <v>0.10689999908208847</v>
      </c>
      <c r="F82" s="158">
        <v>0.10689999908208847</v>
      </c>
      <c r="G82" s="158">
        <v>0.10719999670982361</v>
      </c>
      <c r="H82" s="158">
        <v>0.10710000246763229</v>
      </c>
      <c r="I82" s="158">
        <v>0.10710000246763229</v>
      </c>
      <c r="J82" s="158">
        <v>0.10700000077486038</v>
      </c>
      <c r="K82" s="158">
        <v>0.10700000077486038</v>
      </c>
      <c r="L82" s="158">
        <v>0.10689999908208847</v>
      </c>
      <c r="M82" s="158">
        <v>0.10670000314712524</v>
      </c>
      <c r="N82" s="158">
        <v>0.10639999806880951</v>
      </c>
      <c r="O82" s="158">
        <v>0.10620000213384628</v>
      </c>
      <c r="P82" s="158">
        <v>0.10599999874830246</v>
      </c>
      <c r="Q82" s="158">
        <v>0.10589999705553055</v>
      </c>
      <c r="R82" s="158">
        <v>0.10599999874830246</v>
      </c>
      <c r="S82" s="158">
        <v>0.10620000213384628</v>
      </c>
      <c r="T82" s="158">
        <v>0.10670000314712524</v>
      </c>
      <c r="U82" s="158">
        <v>0.10660000145435333</v>
      </c>
      <c r="V82" s="158">
        <f t="shared" si="1"/>
        <v>0.10660000145435333</v>
      </c>
      <c r="W82" s="158">
        <v>0.10660000145435333</v>
      </c>
      <c r="X82" s="158">
        <v>0.1062999963760376</v>
      </c>
      <c r="Y82" s="158">
        <v>0.10620000213384628</v>
      </c>
      <c r="Z82" s="158">
        <v>0.10559999942779541</v>
      </c>
      <c r="AA82" s="158">
        <v>0.1054999977350235</v>
      </c>
      <c r="AB82" s="158">
        <v>0.10530000180006027</v>
      </c>
      <c r="AC82" s="158">
        <v>0.10509999841451645</v>
      </c>
      <c r="AD82" s="158">
        <v>0.10509999841451645</v>
      </c>
      <c r="AE82" s="158">
        <v>0.10520000010728836</v>
      </c>
      <c r="AF82" s="158">
        <v>0.10530000180006027</v>
      </c>
    </row>
    <row r="83" spans="1:32" x14ac:dyDescent="0.2">
      <c r="A83" s="158" t="s">
        <v>234</v>
      </c>
      <c r="B83" s="158">
        <v>0.10710000246763229</v>
      </c>
      <c r="C83" s="158">
        <v>0.10679999738931656</v>
      </c>
      <c r="D83" s="158">
        <v>0.10639999806880951</v>
      </c>
      <c r="E83" s="158">
        <v>0.10639999806880951</v>
      </c>
      <c r="F83" s="158">
        <v>0.1062999963760376</v>
      </c>
      <c r="G83" s="158">
        <v>0.10649999976158142</v>
      </c>
      <c r="H83" s="158">
        <v>0.10639999806880951</v>
      </c>
      <c r="I83" s="158">
        <v>0.1062999963760376</v>
      </c>
      <c r="J83" s="158">
        <v>0.10639999806880951</v>
      </c>
      <c r="K83" s="158">
        <v>0.10620000213384628</v>
      </c>
      <c r="L83" s="158">
        <v>0.10620000213384628</v>
      </c>
      <c r="M83" s="158">
        <v>0.10599999874830246</v>
      </c>
      <c r="N83" s="158">
        <v>0.10580000281333923</v>
      </c>
      <c r="O83" s="158">
        <v>0.1054999977350235</v>
      </c>
      <c r="P83" s="158">
        <v>0.10530000180006027</v>
      </c>
      <c r="Q83" s="158">
        <v>0.10530000180006027</v>
      </c>
      <c r="R83" s="158">
        <v>0.10540000349283218</v>
      </c>
      <c r="S83" s="158">
        <v>0.10559999942779541</v>
      </c>
      <c r="T83" s="158">
        <v>0.10580000281333923</v>
      </c>
      <c r="U83" s="158">
        <v>0.10589999705553055</v>
      </c>
      <c r="V83" s="158">
        <f t="shared" si="1"/>
        <v>0.10589999705553055</v>
      </c>
      <c r="W83" s="158">
        <v>0.10589999705553055</v>
      </c>
      <c r="X83" s="158">
        <v>0.10570000112056732</v>
      </c>
      <c r="Y83" s="158">
        <v>0.10530000180006027</v>
      </c>
      <c r="Z83" s="158">
        <v>0.10509999841451645</v>
      </c>
      <c r="AA83" s="158">
        <v>0.10520000010728836</v>
      </c>
      <c r="AB83" s="158">
        <v>0.10480000078678131</v>
      </c>
      <c r="AC83" s="158">
        <v>0.10459999740123749</v>
      </c>
      <c r="AD83" s="158">
        <v>0.1046999990940094</v>
      </c>
      <c r="AE83" s="158">
        <v>0.1046999990940094</v>
      </c>
      <c r="AF83" s="158">
        <v>0.10509999841451645</v>
      </c>
    </row>
    <row r="84" spans="1:32" x14ac:dyDescent="0.2">
      <c r="A84" s="158" t="s">
        <v>235</v>
      </c>
      <c r="B84" s="158">
        <v>0.10719999670982361</v>
      </c>
      <c r="C84" s="158">
        <v>0.10679999738931656</v>
      </c>
      <c r="D84" s="158">
        <v>0.10670000314712524</v>
      </c>
      <c r="E84" s="158">
        <v>0.10649999976158142</v>
      </c>
      <c r="F84" s="158">
        <v>0.10639999806880951</v>
      </c>
      <c r="G84" s="158">
        <v>0.10670000314712524</v>
      </c>
      <c r="H84" s="158">
        <v>0.10660000145435333</v>
      </c>
      <c r="I84" s="158">
        <v>0.10639999806880951</v>
      </c>
      <c r="J84" s="158">
        <v>0.10639999806880951</v>
      </c>
      <c r="K84" s="158">
        <v>0.10639999806880951</v>
      </c>
      <c r="L84" s="158">
        <v>0.10639999806880951</v>
      </c>
      <c r="M84" s="158">
        <v>0.10610000044107437</v>
      </c>
      <c r="N84" s="158">
        <v>0.10580000281333923</v>
      </c>
      <c r="O84" s="158">
        <v>0.10559999942779541</v>
      </c>
      <c r="P84" s="158">
        <v>0.10540000349283218</v>
      </c>
      <c r="Q84" s="158">
        <v>0.10540000349283218</v>
      </c>
      <c r="R84" s="158">
        <v>0.1054999977350235</v>
      </c>
      <c r="S84" s="158">
        <v>0.10559999942779541</v>
      </c>
      <c r="T84" s="158">
        <v>0.10589999705553055</v>
      </c>
      <c r="U84" s="158">
        <v>0.10599999874830246</v>
      </c>
      <c r="V84" s="158">
        <f t="shared" si="1"/>
        <v>0.10604999959468842</v>
      </c>
      <c r="W84" s="158">
        <v>0.10610000044107437</v>
      </c>
      <c r="X84" s="158">
        <v>0.10580000281333923</v>
      </c>
      <c r="Y84" s="158">
        <v>0.1054999977350235</v>
      </c>
      <c r="Z84" s="158">
        <v>0.10520000010728836</v>
      </c>
      <c r="AA84" s="158">
        <v>0.10499999672174454</v>
      </c>
      <c r="AB84" s="158">
        <v>0.10490000247955322</v>
      </c>
      <c r="AC84" s="158">
        <v>0.1046999990940094</v>
      </c>
      <c r="AD84" s="158">
        <v>0.10480000078678131</v>
      </c>
      <c r="AE84" s="158">
        <v>0.10480000078678131</v>
      </c>
      <c r="AF84" s="158">
        <v>0.10499999672174454</v>
      </c>
    </row>
    <row r="85" spans="1:32" x14ac:dyDescent="0.2">
      <c r="A85" s="158" t="s">
        <v>236</v>
      </c>
      <c r="B85" s="158">
        <v>0.10639999806880951</v>
      </c>
      <c r="C85" s="158">
        <v>0.10599999874830246</v>
      </c>
      <c r="D85" s="158">
        <v>0.10580000281333923</v>
      </c>
      <c r="E85" s="158">
        <v>0.10580000281333923</v>
      </c>
      <c r="F85" s="158">
        <v>0.10610000044107437</v>
      </c>
      <c r="G85" s="158">
        <v>0.10620000213384628</v>
      </c>
      <c r="H85" s="158">
        <v>0.10610000044107437</v>
      </c>
      <c r="I85" s="158">
        <v>0.10599999874830246</v>
      </c>
      <c r="J85" s="158">
        <v>0.10580000281333923</v>
      </c>
      <c r="K85" s="158">
        <v>0.10580000281333923</v>
      </c>
      <c r="L85" s="158">
        <v>0.10580000281333923</v>
      </c>
      <c r="M85" s="158">
        <v>0.10559999942779541</v>
      </c>
      <c r="N85" s="158">
        <v>0.10530000180006027</v>
      </c>
      <c r="O85" s="158">
        <v>0.10490000247955322</v>
      </c>
      <c r="P85" s="158">
        <v>0.10490000247955322</v>
      </c>
      <c r="Q85" s="158">
        <v>0.10480000078678131</v>
      </c>
      <c r="R85" s="158">
        <v>0.10480000078678131</v>
      </c>
      <c r="S85" s="158">
        <v>0.10509999841451645</v>
      </c>
      <c r="T85" s="158">
        <v>0.10530000180006027</v>
      </c>
      <c r="U85" s="158">
        <v>0.10559999942779541</v>
      </c>
      <c r="V85" s="158">
        <f t="shared" si="1"/>
        <v>0.10619999840855598</v>
      </c>
      <c r="W85" s="158">
        <v>0.10679999738931656</v>
      </c>
      <c r="X85" s="158">
        <v>0.1062999963760376</v>
      </c>
      <c r="Y85" s="158">
        <v>0.10589999705553055</v>
      </c>
      <c r="Z85" s="158">
        <v>0.10580000281333923</v>
      </c>
      <c r="AA85" s="158">
        <v>0.10570000112056732</v>
      </c>
      <c r="AB85" s="158">
        <v>0.10540000349283218</v>
      </c>
      <c r="AC85" s="158">
        <v>0.1054999977350235</v>
      </c>
      <c r="AD85" s="158">
        <v>0.10520000010728836</v>
      </c>
      <c r="AE85" s="158">
        <v>0.10540000349283218</v>
      </c>
      <c r="AF85" s="158">
        <v>0.10480000078678131</v>
      </c>
    </row>
    <row r="86" spans="1:32" x14ac:dyDescent="0.2">
      <c r="A86" s="158" t="s">
        <v>237</v>
      </c>
      <c r="B86" s="158">
        <v>0.10670000314712524</v>
      </c>
      <c r="C86" s="158">
        <v>0.1062999963760376</v>
      </c>
      <c r="D86" s="158">
        <v>0.10620000213384628</v>
      </c>
      <c r="E86" s="158">
        <v>0.10610000044107437</v>
      </c>
      <c r="F86" s="158">
        <v>0.10599999874830246</v>
      </c>
      <c r="G86" s="158">
        <v>0.1062999963760376</v>
      </c>
      <c r="H86" s="158">
        <v>0.10620000213384628</v>
      </c>
      <c r="I86" s="158">
        <v>0.10610000044107437</v>
      </c>
      <c r="J86" s="158">
        <v>0.10649999976158142</v>
      </c>
      <c r="K86" s="158">
        <v>0.10599999874830246</v>
      </c>
      <c r="L86" s="158">
        <v>0.10610000044107437</v>
      </c>
      <c r="M86" s="158">
        <v>0.10589999705553055</v>
      </c>
      <c r="N86" s="158">
        <v>0.1054999977350235</v>
      </c>
      <c r="O86" s="158">
        <v>0.10520000010728836</v>
      </c>
      <c r="P86" s="158">
        <v>0.10499999672174454</v>
      </c>
      <c r="Q86" s="158">
        <v>0.10499999672174454</v>
      </c>
      <c r="R86" s="158">
        <v>0.10509999841451645</v>
      </c>
      <c r="S86" s="158">
        <v>0.10520000010728836</v>
      </c>
      <c r="T86" s="158">
        <v>0.1054999977350235</v>
      </c>
      <c r="U86" s="158">
        <v>0.10559999942779541</v>
      </c>
      <c r="V86" s="158">
        <f t="shared" si="1"/>
        <v>0.10559999942779541</v>
      </c>
      <c r="W86" s="158">
        <v>0.10559999942779541</v>
      </c>
      <c r="X86" s="158">
        <v>0.10540000349283218</v>
      </c>
      <c r="Y86" s="158">
        <v>0.10509999841451645</v>
      </c>
      <c r="Z86" s="158">
        <v>0.10480000078678131</v>
      </c>
      <c r="AA86" s="158">
        <v>0.10459999740123749</v>
      </c>
      <c r="AB86" s="158">
        <v>0.10440000146627426</v>
      </c>
      <c r="AC86" s="158">
        <v>0.10429999977350235</v>
      </c>
      <c r="AD86" s="158">
        <v>0.10429999977350235</v>
      </c>
      <c r="AE86" s="158">
        <v>0.10440000146627426</v>
      </c>
      <c r="AF86" s="158">
        <v>0.10459999740123749</v>
      </c>
    </row>
    <row r="87" spans="1:32" x14ac:dyDescent="0.2">
      <c r="A87" s="158" t="s">
        <v>238</v>
      </c>
      <c r="B87" s="158">
        <v>0.10679999738931656</v>
      </c>
      <c r="C87" s="158">
        <v>0.10649999976158142</v>
      </c>
      <c r="D87" s="158">
        <v>0.10639999806880951</v>
      </c>
      <c r="E87" s="158">
        <v>0.1062999963760376</v>
      </c>
      <c r="F87" s="158">
        <v>0.10620000213384628</v>
      </c>
      <c r="G87" s="158">
        <v>0.10639999806880951</v>
      </c>
      <c r="H87" s="158">
        <v>0.1062999963760376</v>
      </c>
      <c r="I87" s="158">
        <v>0.10620000213384628</v>
      </c>
      <c r="J87" s="158">
        <v>0.10610000044107437</v>
      </c>
      <c r="K87" s="158">
        <v>0.10610000044107437</v>
      </c>
      <c r="L87" s="158">
        <v>0.10610000044107437</v>
      </c>
      <c r="M87" s="158">
        <v>0.10580000281333923</v>
      </c>
      <c r="N87" s="158">
        <v>0.10559999942779541</v>
      </c>
      <c r="O87" s="158">
        <v>0.1054999977350235</v>
      </c>
      <c r="P87" s="158">
        <v>0.10509999841451645</v>
      </c>
      <c r="Q87" s="158">
        <v>0.10509999841451645</v>
      </c>
      <c r="R87" s="158">
        <v>0.10520000010728836</v>
      </c>
      <c r="S87" s="158">
        <v>0.10530000180006027</v>
      </c>
      <c r="T87" s="158">
        <v>0.10559999942779541</v>
      </c>
      <c r="U87" s="158">
        <v>0.10559999942779541</v>
      </c>
      <c r="V87" s="158">
        <f t="shared" si="1"/>
        <v>0.10565000027418137</v>
      </c>
      <c r="W87" s="158">
        <v>0.10570000112056732</v>
      </c>
      <c r="X87" s="158">
        <v>0.10540000349283218</v>
      </c>
      <c r="Y87" s="158">
        <v>0.10509999841451645</v>
      </c>
      <c r="Z87" s="158">
        <v>0.10490000247955322</v>
      </c>
      <c r="AA87" s="158">
        <v>0.10459999740123749</v>
      </c>
      <c r="AB87" s="158">
        <v>0.10450000315904617</v>
      </c>
      <c r="AC87" s="158">
        <v>0.10440000146627426</v>
      </c>
      <c r="AD87" s="158">
        <v>0.10440000146627426</v>
      </c>
      <c r="AE87" s="158">
        <v>0.10440000146627426</v>
      </c>
      <c r="AF87" s="158">
        <v>0.10459999740123749</v>
      </c>
    </row>
    <row r="88" spans="1:32" x14ac:dyDescent="0.2">
      <c r="A88" s="158" t="s">
        <v>239</v>
      </c>
      <c r="B88" s="158">
        <v>0.10679999738931656</v>
      </c>
      <c r="C88" s="158">
        <v>0.1062999963760376</v>
      </c>
      <c r="D88" s="158">
        <v>0.10620000213384628</v>
      </c>
      <c r="E88" s="158">
        <v>0.10610000044107437</v>
      </c>
      <c r="F88" s="158">
        <v>0.10610000044107437</v>
      </c>
      <c r="G88" s="158">
        <v>0.10620000213384628</v>
      </c>
      <c r="H88" s="158">
        <v>0.10620000213384628</v>
      </c>
      <c r="I88" s="158">
        <v>0.10599999874830246</v>
      </c>
      <c r="J88" s="158">
        <v>0.10589999705553055</v>
      </c>
      <c r="K88" s="158">
        <v>0.10589999705553055</v>
      </c>
      <c r="L88" s="158">
        <v>0.10589999705553055</v>
      </c>
      <c r="M88" s="158">
        <v>0.10570000112056732</v>
      </c>
      <c r="N88" s="158">
        <v>0.10540000349283218</v>
      </c>
      <c r="O88" s="158">
        <v>0.10520000010728836</v>
      </c>
      <c r="P88" s="158">
        <v>0.10490000247955322</v>
      </c>
      <c r="Q88" s="158">
        <v>0.10499999672174454</v>
      </c>
      <c r="R88" s="158">
        <v>0.10499999672174454</v>
      </c>
      <c r="S88" s="158">
        <v>0.10520000010728836</v>
      </c>
      <c r="T88" s="158">
        <v>0.1054999977350235</v>
      </c>
      <c r="U88" s="158">
        <v>0.1054999977350235</v>
      </c>
      <c r="V88" s="158">
        <f t="shared" si="1"/>
        <v>0.1054999977350235</v>
      </c>
      <c r="W88" s="158">
        <v>0.1054999977350235</v>
      </c>
      <c r="X88" s="158">
        <v>0.10520000010728836</v>
      </c>
      <c r="Y88" s="158">
        <v>0.10499999672174454</v>
      </c>
      <c r="Z88" s="158">
        <v>0.1046999990940094</v>
      </c>
      <c r="AA88" s="158">
        <v>0.10450000315904617</v>
      </c>
      <c r="AB88" s="158">
        <v>0.10440000146627426</v>
      </c>
      <c r="AC88" s="158">
        <v>0.10429999977350235</v>
      </c>
      <c r="AD88" s="158">
        <v>0.10419999808073044</v>
      </c>
      <c r="AE88" s="158">
        <v>0.10429999977350235</v>
      </c>
      <c r="AF88" s="158">
        <v>0.10450000315904617</v>
      </c>
    </row>
    <row r="89" spans="1:32" x14ac:dyDescent="0.2">
      <c r="A89" s="158" t="s">
        <v>240</v>
      </c>
      <c r="B89" s="158">
        <v>0.10649999976158142</v>
      </c>
      <c r="C89" s="158">
        <v>0.10610000044107437</v>
      </c>
      <c r="D89" s="158">
        <v>0.10589999705553055</v>
      </c>
      <c r="E89" s="158">
        <v>0.10589999705553055</v>
      </c>
      <c r="F89" s="158">
        <v>0.10589999705553055</v>
      </c>
      <c r="G89" s="158">
        <v>0.10599999874830246</v>
      </c>
      <c r="H89" s="158">
        <v>0.10620000213384628</v>
      </c>
      <c r="I89" s="158">
        <v>0.10570000112056732</v>
      </c>
      <c r="J89" s="158">
        <v>0.10570000112056732</v>
      </c>
      <c r="K89" s="158">
        <v>0.10559999942779541</v>
      </c>
      <c r="L89" s="158">
        <v>0.10570000112056732</v>
      </c>
      <c r="M89" s="158">
        <v>0.10540000349283218</v>
      </c>
      <c r="N89" s="158">
        <v>0.10520000010728836</v>
      </c>
      <c r="O89" s="158">
        <v>0.10490000247955322</v>
      </c>
      <c r="P89" s="158">
        <v>0.1046999990940094</v>
      </c>
      <c r="Q89" s="158">
        <v>0.1046999990940094</v>
      </c>
      <c r="R89" s="158">
        <v>0.1046999990940094</v>
      </c>
      <c r="S89" s="158">
        <v>0.10509999841451645</v>
      </c>
      <c r="T89" s="158">
        <v>0.10520000010728836</v>
      </c>
      <c r="U89" s="158">
        <v>0.10530000180006027</v>
      </c>
      <c r="V89" s="158">
        <f t="shared" si="1"/>
        <v>0.10530000180006027</v>
      </c>
      <c r="W89" s="158">
        <v>0.10530000180006027</v>
      </c>
      <c r="X89" s="158">
        <v>0.10499999672174454</v>
      </c>
      <c r="Y89" s="158">
        <v>0.10480000078678131</v>
      </c>
      <c r="Z89" s="158">
        <v>0.10450000315904617</v>
      </c>
      <c r="AA89" s="158">
        <v>0.10419999808073044</v>
      </c>
      <c r="AB89" s="158">
        <v>0.10409999638795853</v>
      </c>
      <c r="AC89" s="158">
        <v>0.10400000214576721</v>
      </c>
      <c r="AD89" s="158">
        <v>0.10400000214576721</v>
      </c>
      <c r="AE89" s="158">
        <v>0.10409999638795853</v>
      </c>
      <c r="AF89" s="158">
        <v>0.10419999808073044</v>
      </c>
    </row>
    <row r="90" spans="1:32" x14ac:dyDescent="0.2">
      <c r="A90" s="158" t="s">
        <v>241</v>
      </c>
      <c r="B90" s="158">
        <v>0.10740000009536743</v>
      </c>
      <c r="C90" s="158">
        <v>0.10700000077486038</v>
      </c>
      <c r="D90" s="158">
        <v>0.10700000077486038</v>
      </c>
      <c r="E90" s="158">
        <v>0.10670000314712524</v>
      </c>
      <c r="F90" s="158">
        <v>0.10660000145435333</v>
      </c>
      <c r="G90" s="158">
        <v>0.10689999908208847</v>
      </c>
      <c r="H90" s="158">
        <v>0.10670000314712524</v>
      </c>
      <c r="I90" s="158">
        <v>0.10660000145435333</v>
      </c>
      <c r="J90" s="158">
        <v>0.10649999976158142</v>
      </c>
      <c r="K90" s="158">
        <v>0.10649999976158142</v>
      </c>
      <c r="L90" s="158">
        <v>0.10679999738931656</v>
      </c>
      <c r="M90" s="158">
        <v>0.1062999963760376</v>
      </c>
      <c r="N90" s="158">
        <v>0.10599999874830246</v>
      </c>
      <c r="O90" s="158">
        <v>0.10580000281333923</v>
      </c>
      <c r="P90" s="158">
        <v>0.1054999977350235</v>
      </c>
      <c r="Q90" s="158">
        <v>0.1054999977350235</v>
      </c>
      <c r="R90" s="158">
        <v>0.10559999942779541</v>
      </c>
      <c r="S90" s="158">
        <v>0.10570000112056732</v>
      </c>
      <c r="T90" s="158">
        <v>0.10599999874830246</v>
      </c>
      <c r="U90" s="158">
        <v>0.10610000044107437</v>
      </c>
      <c r="V90" s="158">
        <f t="shared" si="1"/>
        <v>0.10610000044107437</v>
      </c>
      <c r="W90" s="158">
        <v>0.10610000044107437</v>
      </c>
      <c r="X90" s="158">
        <v>0.10580000281333923</v>
      </c>
      <c r="Y90" s="158">
        <v>0.1054999977350235</v>
      </c>
      <c r="Z90" s="158">
        <v>0.10530000180006027</v>
      </c>
      <c r="AA90" s="158">
        <v>0.10499999672174454</v>
      </c>
      <c r="AB90" s="158">
        <v>0.10490000247955322</v>
      </c>
      <c r="AC90" s="158">
        <v>0.10480000078678131</v>
      </c>
      <c r="AD90" s="158">
        <v>0.10490000247955322</v>
      </c>
      <c r="AE90" s="158">
        <v>0.10480000078678131</v>
      </c>
      <c r="AF90" s="158">
        <v>0.10499999672174454</v>
      </c>
    </row>
    <row r="91" spans="1:32" x14ac:dyDescent="0.2">
      <c r="A91" s="158" t="s">
        <v>242</v>
      </c>
      <c r="B91" s="158">
        <v>0.10719999670982361</v>
      </c>
      <c r="C91" s="158">
        <v>0.10660000145435333</v>
      </c>
      <c r="D91" s="158">
        <v>0.10639999806880951</v>
      </c>
      <c r="E91" s="158">
        <v>0.10639999806880951</v>
      </c>
      <c r="F91" s="158">
        <v>0.10620000213384628</v>
      </c>
      <c r="G91" s="158">
        <v>0.10639999806880951</v>
      </c>
      <c r="H91" s="158">
        <v>0.10620000213384628</v>
      </c>
      <c r="I91" s="158">
        <v>0.10610000044107437</v>
      </c>
      <c r="J91" s="158">
        <v>0.10599999874830246</v>
      </c>
      <c r="K91" s="158">
        <v>0.10610000044107437</v>
      </c>
      <c r="L91" s="158">
        <v>0.10599999874830246</v>
      </c>
      <c r="M91" s="158">
        <v>0.10580000281333923</v>
      </c>
      <c r="N91" s="158">
        <v>0.1054999977350235</v>
      </c>
      <c r="O91" s="158">
        <v>0.10540000349283218</v>
      </c>
      <c r="P91" s="158">
        <v>0.10499999672174454</v>
      </c>
      <c r="Q91" s="158">
        <v>0.10509999841451645</v>
      </c>
      <c r="R91" s="158">
        <v>0.10509999841451645</v>
      </c>
      <c r="S91" s="158">
        <v>0.10520000010728836</v>
      </c>
      <c r="T91" s="158">
        <v>0.1054999977350235</v>
      </c>
      <c r="U91" s="158">
        <v>0.10559999942779541</v>
      </c>
      <c r="V91" s="158">
        <f t="shared" si="1"/>
        <v>0.10559999942779541</v>
      </c>
      <c r="W91" s="158">
        <v>0.10559999942779541</v>
      </c>
      <c r="X91" s="158">
        <v>0.10540000349283218</v>
      </c>
      <c r="Y91" s="158">
        <v>0.10509999841451645</v>
      </c>
      <c r="Z91" s="158">
        <v>0.10490000247955322</v>
      </c>
      <c r="AA91" s="158">
        <v>0.10459999740123749</v>
      </c>
      <c r="AB91" s="158">
        <v>0.10440000146627426</v>
      </c>
      <c r="AC91" s="158">
        <v>0.10440000146627426</v>
      </c>
      <c r="AD91" s="158">
        <v>0.10440000146627426</v>
      </c>
      <c r="AE91" s="158">
        <v>0.10440000146627426</v>
      </c>
      <c r="AF91" s="158">
        <v>0.10459999740123749</v>
      </c>
    </row>
    <row r="92" spans="1:32" x14ac:dyDescent="0.2">
      <c r="A92" s="158" t="s">
        <v>243</v>
      </c>
      <c r="B92" s="158">
        <v>0.10740000009536743</v>
      </c>
      <c r="C92" s="158">
        <v>0.10679999738931656</v>
      </c>
      <c r="D92" s="158">
        <v>0.10660000145435333</v>
      </c>
      <c r="E92" s="158">
        <v>0.10639999806880951</v>
      </c>
      <c r="F92" s="158">
        <v>0.1062999963760376</v>
      </c>
      <c r="G92" s="158">
        <v>0.10649999976158142</v>
      </c>
      <c r="H92" s="158">
        <v>0.1062999963760376</v>
      </c>
      <c r="I92" s="158">
        <v>0.10620000213384628</v>
      </c>
      <c r="J92" s="158">
        <v>0.10610000044107437</v>
      </c>
      <c r="K92" s="158">
        <v>0.10610000044107437</v>
      </c>
      <c r="L92" s="158">
        <v>0.10599999874830246</v>
      </c>
      <c r="M92" s="158">
        <v>0.10580000281333923</v>
      </c>
      <c r="N92" s="158">
        <v>0.1054999977350235</v>
      </c>
      <c r="O92" s="158">
        <v>0.10530000180006027</v>
      </c>
      <c r="P92" s="158">
        <v>0.10499999672174454</v>
      </c>
      <c r="Q92" s="158">
        <v>0.10499999672174454</v>
      </c>
      <c r="R92" s="158">
        <v>0.10509999841451645</v>
      </c>
      <c r="S92" s="158">
        <v>0.10520000010728836</v>
      </c>
      <c r="T92" s="158">
        <v>0.1054999977350235</v>
      </c>
      <c r="U92" s="158">
        <v>0.10559999942779541</v>
      </c>
      <c r="V92" s="158">
        <f t="shared" si="1"/>
        <v>0.10559999942779541</v>
      </c>
      <c r="W92" s="158">
        <v>0.10559999942779541</v>
      </c>
      <c r="X92" s="158">
        <v>0.10530000180006027</v>
      </c>
      <c r="Y92" s="158">
        <v>0.10509999841451645</v>
      </c>
      <c r="Z92" s="158">
        <v>0.10480000078678131</v>
      </c>
      <c r="AA92" s="158">
        <v>0.10450000315904617</v>
      </c>
      <c r="AB92" s="158">
        <v>0.10440000146627426</v>
      </c>
      <c r="AC92" s="158">
        <v>0.10429999977350235</v>
      </c>
      <c r="AD92" s="158">
        <v>0.10429999977350235</v>
      </c>
      <c r="AE92" s="158">
        <v>0.10429999977350235</v>
      </c>
      <c r="AF92" s="158">
        <v>0.10450000315904617</v>
      </c>
    </row>
    <row r="93" spans="1:32" x14ac:dyDescent="0.2">
      <c r="A93" s="158" t="s">
        <v>244</v>
      </c>
      <c r="B93" s="158">
        <v>0.10750000178813934</v>
      </c>
      <c r="C93" s="158">
        <v>0.10639999806880951</v>
      </c>
      <c r="D93" s="158">
        <v>0.10639999806880951</v>
      </c>
      <c r="E93" s="158">
        <v>0.10670000314712524</v>
      </c>
      <c r="F93" s="158">
        <v>0.10639999806880951</v>
      </c>
      <c r="G93" s="158">
        <v>0.10660000145435333</v>
      </c>
      <c r="H93" s="158">
        <v>0.1062999963760376</v>
      </c>
      <c r="I93" s="158">
        <v>0.10620000213384628</v>
      </c>
      <c r="J93" s="158">
        <v>0.10599999874830246</v>
      </c>
      <c r="K93" s="158">
        <v>0.10599999874830246</v>
      </c>
      <c r="L93" s="158">
        <v>0.10599999874830246</v>
      </c>
      <c r="M93" s="158">
        <v>0.10570000112056732</v>
      </c>
      <c r="N93" s="158">
        <v>0.1054999977350235</v>
      </c>
      <c r="O93" s="158">
        <v>0.10530000180006027</v>
      </c>
      <c r="P93" s="158">
        <v>0.10490000247955322</v>
      </c>
      <c r="Q93" s="158">
        <v>0.10490000247955322</v>
      </c>
      <c r="R93" s="158">
        <v>0.10499999672174454</v>
      </c>
      <c r="S93" s="158">
        <v>0.10509999841451645</v>
      </c>
      <c r="T93" s="158">
        <v>0.10530000180006027</v>
      </c>
      <c r="U93" s="158">
        <v>0.10530000180006027</v>
      </c>
      <c r="V93" s="158">
        <f t="shared" si="1"/>
        <v>0.10530000180006027</v>
      </c>
      <c r="W93" s="158">
        <v>0.10530000180006027</v>
      </c>
      <c r="X93" s="158">
        <v>0.10499999672174454</v>
      </c>
      <c r="Y93" s="158">
        <v>0.1046999990940094</v>
      </c>
      <c r="Z93" s="158">
        <v>0.10450000315904617</v>
      </c>
      <c r="AA93" s="158">
        <v>0.10419999808073044</v>
      </c>
      <c r="AB93" s="158">
        <v>0.10400000214576721</v>
      </c>
      <c r="AC93" s="158">
        <v>0.10400000214576721</v>
      </c>
      <c r="AD93" s="158">
        <v>0.10409999638795853</v>
      </c>
      <c r="AE93" s="158">
        <v>0.1039000004529953</v>
      </c>
      <c r="AF93" s="158">
        <v>0.10350000113248825</v>
      </c>
    </row>
    <row r="94" spans="1:32" x14ac:dyDescent="0.2">
      <c r="A94" s="156" t="s">
        <v>320</v>
      </c>
      <c r="B94" s="156">
        <f>$B$55-AVERAGE($B$58,$B$59,$B$60,$B$61,$B$62,$B$63,$B$65,$B$66,$B$68,$B$69,$B$70,$B$71,$B$72,$B$73,$B$74,$B$75,$B$77,$B$78,$B$79,$B$80,$B$81,$B$82,$B$83,$B$84,$B$85,$B$86,$B$87,$B$88,$B$89,$B$90,$B$91,$B$92,$B$93)</f>
        <v>1.351514323191208E-3</v>
      </c>
      <c r="C94" s="156">
        <f>$C$55-AVERAGE($C$58,$C$59,$C$60,$C$61,$C$62,$C$63,$C$65,$C$66,$C$68,$C$69,$C$70,$C$71,$C$72,$C$73,$C$74,$C$75,$C$77,$C$78,$C$79,$C$80,$C$81,$C$82,$C$83,$C$84,$C$85,$C$86,$C$87,$C$88,$C$89,$C$90,$C$91,$C$92,$C$93)</f>
        <v>1.4878822998567048E-3</v>
      </c>
      <c r="D94" s="156">
        <f>$D$55-AVERAGE($D$58,$D$59,$D$60,$D$61,$D$62,$D$63,$D$65,$D$66,$D$68,$D$69,$D$70,$D$71,$D$72,$D$73,$D$74,$D$75,$D$77,$D$78,$D$79,$D$80,$D$81,$D$82,$D$83,$D$84,$D$85,$D$86,$D$87,$D$88,$D$89,$D$90,$D$91,$D$92,$D$93)</f>
        <v>1.9969721183632355E-3</v>
      </c>
      <c r="E94" s="156">
        <f>$E$55-AVERAGE($E$58,$E$59,$E$60,$E$61,$E$62,$E$63,$E$65,$E$66,$E$68,$E$69,$E$70,$E$71,$E$72,$E$73,$E$74,$E$75,$E$77,$E$78,$E$79,$E$80,$E$81,$E$82,$E$83,$E$84,$E$85,$E$86,$E$87,$E$88,$E$89,$E$90,$E$91,$E$92,$E$93)</f>
        <v>2.7212130300926507E-3</v>
      </c>
      <c r="F94" s="156">
        <f>$F$55-AVERAGE($F$58,$F$59,$F$60,$F$61,$F$62,$F$63,$F$65,$F$66,$F$68,$F$69,$F$70,$F$71,$F$72,$F$73,$F$74,$F$75,$F$77,$F$78,$F$79,$F$80,$F$81,$F$82,$F$83,$F$84,$F$85,$F$86,$F$87,$F$88,$F$89,$F$90,$F$91,$F$92,$F$93)</f>
        <v>3.5121194792516325E-3</v>
      </c>
      <c r="G94" s="156">
        <f>$G$55-AVERAGE($G$58,$G$59,$G$60,$G$61,$G$62,$G$63,$G$65,$G$66,$G$68,$G$69,$G$70,$G$71,$G$72,$G$73,$G$74,$G$75,$G$77,$G$78,$G$79,$G$80,$G$81,$G$82,$G$83,$G$84,$G$85,$G$86,$G$87,$G$88,$G$89,$G$90,$G$91,$G$92,$G$93)</f>
        <v>5.2333318374373633E-3</v>
      </c>
      <c r="H94" s="156">
        <f>$H$55-AVERAGE($H$58,$H$59,$H$60,$H$61,$H$62,$H$63,$H$65,$H$66,$H$68,$H$69,$H$70,$H$71,$H$72,$H$73,$H$74,$H$75,$H$77,$H$78,$H$79,$H$80,$H$81,$H$82,$H$83,$H$84,$H$85,$H$86,$H$87,$H$88,$H$89,$H$90,$H$91,$H$92,$H$93)</f>
        <v>8.2454568508899539E-3</v>
      </c>
      <c r="I94" s="156">
        <f>$I$55-AVERAGE($I$58,$I$59,$I$60,$I$61,$I$62,$I$63,$I$65,$I$66,$I$68,$I$69,$I$70,$I$71,$I$72,$I$73,$I$74,$I$75,$I$77,$I$78,$I$79,$I$80,$I$81,$I$82,$I$83,$I$84,$I$85,$I$86,$I$87,$I$88,$I$89,$I$90,$I$91,$I$92,$I$93)</f>
        <v>1.3578789026448226E-2</v>
      </c>
      <c r="J94" s="156">
        <f>$J$55-AVERAGE($J$58,$J$59,$J$60,$J$61,$J$62,$J$63,$J$65,$J$66,$J$68,$J$69,$J$70,$J$71,$J$72,$J$73,$J$74,$J$75,$J$77,$J$78,$J$79,$J$80,$J$81,$J$82,$J$83,$J$84,$J$85,$J$86,$J$87,$J$88,$J$89,$J$90,$J$91,$J$92,$J$93)</f>
        <v>2.1936357021331787E-2</v>
      </c>
      <c r="K94" s="156">
        <f>$K$55-AVERAGE($K$58,$K$59,$K$60,$K$61,$K$62,$K$63,$K$65,$K$66,$K$68,$K$69,$K$70,$K$71,$K$72,$K$73,$K$74,$K$75,$K$77,$K$78,$K$79,$K$80,$K$81,$K$82,$K$83,$K$84,$K$85,$K$86,$K$87,$K$88,$K$89,$K$90,$K$91,$K$92,$K$93)</f>
        <v>3.5351511655431808E-2</v>
      </c>
      <c r="L94" s="156">
        <f>$L$55-AVERAGE($L$58,$L$59,$L$60,$L$61,$L$62,$L$63,$L$65,$L$66,$L$68,$L$69,$L$70,$L$71,$L$72,$L$73,$L$74,$L$75,$L$77,$L$78,$L$79,$L$80,$L$81,$L$82,$L$83,$L$84,$L$85,$L$86,$L$87,$L$88,$L$89,$L$90,$L$91,$L$92,$L$93)</f>
        <v>5.4845453663305802E-2</v>
      </c>
      <c r="M94" s="156">
        <f>$M$55-AVERAGE($M$58,$M$59,$M$60,$M$61,$M$62,$M$63,$M$65,$M$66,$M$68,$M$69,$M$70,$M$71,$M$72,$M$73,$M$74,$M$75,$M$77,$M$78,$M$79,$M$80,$M$81,$M$82,$M$83,$M$84,$M$85,$M$86,$M$87,$M$88,$M$89,$M$90,$M$91,$M$92,$M$93)</f>
        <v>8.1027279071735611E-2</v>
      </c>
      <c r="N94" s="156">
        <f>$N$55-AVERAGE($N$58,$N$59,$N$60,$N$61,$N$62,$N$63,$N$65,$N$66,$N$68,$N$69,$N$70,$N$71,$N$72,$N$73,$N$74,$N$75,$N$77,$N$78,$N$79,$N$80,$N$81,$N$82,$N$83,$N$84,$N$85,$N$86,$N$87,$N$88,$N$89,$N$90,$N$91,$N$92,$N$93)</f>
        <v>0.11349091091842363</v>
      </c>
      <c r="O94" s="156">
        <f>$O$55-AVERAGE($O$58,$O$59,$O$60,$O$61,$O$62,$O$63,$O$65,$O$66,$O$68,$O$69,$O$70,$O$71,$O$72,$O$73,$O$74,$O$75,$O$77,$O$78,$O$79,$O$80,$O$81,$O$82,$O$83,$O$84,$O$85,$O$86,$O$87,$O$88,$O$89,$O$90,$O$91,$O$92,$O$93)</f>
        <v>0.15197273614731702</v>
      </c>
      <c r="P94" s="156">
        <f>$P$55-AVERAGE($P$58,$P$59,$P$60,$P$61,$P$62,$P$63,$P$65,$P$66,$P$68,$P$69,$P$70,$P$71,$P$72,$P$73,$P$74,$P$75,$P$77,$P$78,$P$79,$P$80,$P$81,$P$82,$P$83,$P$84,$P$85,$P$86,$P$87,$P$88,$P$89,$P$90,$P$91,$P$92,$P$93)</f>
        <v>0.19638183080788815</v>
      </c>
      <c r="Q94" s="156">
        <f>$Q$55-AVERAGE($Q$58,$Q$59,$Q$60,$Q$61,$Q$62,$Q$63,$Q$65,$Q$66,$Q$68,$Q$69,$Q$70,$Q$71,$Q$72,$Q$73,$Q$74,$Q$75,$Q$77,$Q$78,$Q$79,$Q$80,$Q$81,$Q$82,$Q$83,$Q$84,$Q$85,$Q$86,$Q$87,$Q$88,$Q$89,$Q$90,$Q$91,$Q$92,$Q$93)</f>
        <v>0.24218486181714316</v>
      </c>
      <c r="R94" s="156">
        <f>$R$55-AVERAGE($R$58,$R$59,$R$60,$R$61,$R$62,$R$63,$R$65,$R$66,$R$68,$R$69,$R$70,$R$71,$R$72,$R$73,$R$74,$R$75,$R$77,$R$78,$R$79,$R$80,$R$81,$R$82,$R$83,$R$84,$R$85,$R$86,$R$87,$R$88,$R$89,$R$90,$R$91,$R$92,$R$93)</f>
        <v>0.28686667662678345</v>
      </c>
      <c r="S94" s="156">
        <f>$S$55-AVERAGE($S$58,$S$59,$S$60,$S$61,$S$62,$S$63,$S$65,$S$66,$S$68,$S$69,$S$70,$S$71,$S$72,$S$73,$S$74,$S$75,$S$77,$S$78,$S$79,$S$80,$S$81,$S$82,$S$83,$S$84,$S$85,$S$86,$S$87,$S$88,$S$89,$S$90,$S$91,$S$92,$S$93)</f>
        <v>0.31990301879969507</v>
      </c>
      <c r="T94" s="156">
        <f>$T$55-AVERAGE($T$58,$T$59,$T$60,$T$61,$T$62,$T$63,$T$65,$T$66,$T$68,$T$69,$T$70,$T$71,$T$72,$T$73,$T$74,$T$75,$T$77,$T$78,$T$79,$T$80,$T$81,$T$82,$T$83,$T$84,$T$85,$T$86,$T$87,$T$88,$T$89,$T$90,$T$91,$T$92,$T$93)</f>
        <v>0.35027274037852429</v>
      </c>
      <c r="U94" s="156">
        <f>$U$55-AVERAGE($U$58,$U$59,$U$60,$U$61,$U$62,$U$63,$U$65,$U$66,$U$68,$U$69,$U$70,$U$71,$U$72,$U$73,$U$74,$U$75,$U$77,$U$78,$U$79,$U$80,$U$81,$U$82,$U$83,$U$84,$U$85,$U$86,$U$87,$U$88,$U$89,$U$90,$U$91,$U$92,$U$93)</f>
        <v>0.35821515118533914</v>
      </c>
      <c r="V94" s="156">
        <f>$V$55-AVERAGE($V$58,$V$59,$V$60,$V$61,$V$62,$V$63,$V$65,$V$66,$V$68,$V$69,$V$70,$V$71,$V$72,$V$73,$V$74,$V$75,$V$77,$V$78,$V$79,$V$80,$V$81,$V$82,$V$83,$V$84,$V$85,$V$86,$V$87,$V$88,$V$89,$V$90,$V$91,$V$92,$V$93)</f>
        <v>0.36079848388379271</v>
      </c>
      <c r="W94" s="156">
        <f>$W$55-AVERAGE($W$58,$W$59,$W$60,$W$61,$W$62,$W$63,$W$65,$W$66,$W$68,$W$69,$W$70,$W$71,$W$72,$W$73,$W$74,$W$75,$W$77,$W$78,$W$79,$W$80,$W$81,$W$82,$W$83,$W$84,$W$85,$W$86,$W$87,$W$88,$W$89,$W$90,$W$91,$W$92,$W$93)</f>
        <v>0.36338181658224628</v>
      </c>
      <c r="X94" s="156">
        <f>$X$55-AVERAGE($X$58,$X$59,$X$60,$X$61,$X$62,$X$63,$X$65,$X$66,$X$68,$X$69,$X$70,$X$71,$X$72,$X$73,$X$74,$X$75,$X$77,$X$78,$X$79,$X$80,$X$81,$X$82,$X$83,$X$84,$X$85,$X$86,$X$87,$X$88,$X$89,$X$90,$X$91,$X$92,$X$93)</f>
        <v>0.36463939624302316</v>
      </c>
      <c r="Y94" s="156">
        <f>$Y$55-AVERAGE($Y$58,$Y$59,$Y$60,$Y$61,$Y$62,$Y$63,$Y$65,$Y$66,$Y$68,$Y$69,$Y$70,$Y$71,$Y$72,$Y$73,$Y$74,$Y$75,$Y$77,$Y$78,$Y$79,$Y$80,$Y$81,$Y$82,$Y$83,$Y$84,$Y$85,$Y$86,$Y$87,$Y$88,$Y$89,$Y$90,$Y$91,$Y$92,$Y$93)</f>
        <v>0.36404847376274341</v>
      </c>
      <c r="Z94" s="156">
        <f>$Z$55-AVERAGE($Z$58,$Z$59,$Z$60,$Z$61,$Z$62,$Z$63,$Z$65,$Z$66,$Z$68,$Z$69,$Z$70,$Z$71,$Z$72,$Z$73,$Z$74,$Z$75,$Z$77,$Z$78,$Z$79,$Z$80,$Z$81,$Z$82,$Z$83,$Z$84,$Z$85,$Z$86,$Z$87,$Z$88,$Z$89,$Z$90,$Z$91,$Z$92,$Z$93)</f>
        <v>0.3653121130032973</v>
      </c>
      <c r="AA94" s="156">
        <f>$AA$55-AVERAGE($AA$58,$AA$59,$AA$60,$AA$61,$AA$62,$AA$63,$AA$65,$AA$66,$AA$68,$AA$69,$AA$70,$AA$71,$AA$72,$AA$73,$AA$74,$AA$75,$AA$77,$AA$78,$AA$79,$AA$80,$AA$81,$AA$82,$AA$83,$AA$84,$AA$85,$AA$86,$AA$87,$AA$88,$AA$89,$AA$90,$AA$91,$AA$92,$AA$93)</f>
        <v>0.36900605396790936</v>
      </c>
      <c r="AB94" s="156">
        <f>$AB$55-AVERAGE($AB$58,$AB$59,$AB$60,$AB$61,$AB$62,$AB$63,$AB$65,$AB$66,$AB$68,$AB$69,$AB$70,$AB$71,$AB$72,$AB$73,$AB$74,$AB$75,$AB$77,$AB$78,$AB$79,$AB$80,$AB$81,$AB$82,$AB$83,$AB$84,$AB$85,$AB$86,$AB$87,$AB$88,$AB$89,$AB$90,$AB$91,$AB$92,$AB$93)</f>
        <v>0.37493333491412073</v>
      </c>
      <c r="AC94" s="156">
        <f>$AC$55-AVERAGE($AC$58,$AC$59,$AC$60,$AC$61,$AC$62,$AC$63,$AC$65,$AC$66,$AC$68,$AC$69,$AC$70,$AC$71,$AC$72,$AC$73,$AC$74,$AC$75,$AC$77,$AC$78,$AC$79,$AC$80,$AC$81,$AC$82,$AC$83,$AC$84,$AC$85,$AC$86,$AC$87,$AC$88,$AC$89,$AC$90,$AC$91,$AC$92,$AC$93)</f>
        <v>0.38726362337668735</v>
      </c>
      <c r="AD94" s="156">
        <f>$AD$55-AVERAGE($AD$58,$AD$59,$AD$60,$AD$61,$AD$62,$AD$63,$AD$65,$AD$66,$AD$68,$AD$69,$AD$70,$AD$71,$AD$72,$AD$73,$AD$74,$AD$75,$AD$77,$AD$78,$AD$79,$AD$80,$AD$81,$AD$82,$AD$83,$AD$84,$AD$85,$AD$86,$AD$87,$AD$88,$AD$89,$AD$90,$AD$91,$AD$92,$AD$93)</f>
        <v>0.39950607536417065</v>
      </c>
      <c r="AE94" s="156">
        <f>$AE$55-AVERAGE($AE$58,$AE$59,$AE$60,$AE$61,$AE$62,$AE$63,$AE$65,$AE$66,$AE$68,$AE$69,$AE$70,$AE$71,$AE$72,$AE$73,$AE$74,$AE$75,$AE$77,$AE$78,$AE$79,$AE$80,$AE$81,$AE$82,$AE$83,$AE$84,$AE$85,$AE$86,$AE$87,$AE$88,$AE$89,$AE$90,$AE$91,$AE$92,$AE$93)</f>
        <v>0.41383636720252759</v>
      </c>
      <c r="AF94" s="156">
        <f>$AF$55-AVERAGE($AF$58,$AF$59,$AF$60,$AF$61,$AF$62,$AF$63,$AF$65,$AF$66,$AF$68,$AF$69,$AF$70,$AF$71,$AF$72,$AF$73,$AF$74,$AF$75,$AF$77,$AF$78,$AF$79,$AF$80,$AF$81,$AF$82,$AF$83,$AF$84,$AF$85,$AF$86,$AF$87,$AF$88,$AF$89,$AF$90,$AF$91,$AF$92,$AF$93)</f>
        <v>0.42425456281864282</v>
      </c>
    </row>
    <row r="95" spans="1:32" x14ac:dyDescent="0.2">
      <c r="A95" s="157" t="s">
        <v>321</v>
      </c>
      <c r="B95" s="157">
        <f>$B$56-AVERAGE($B$58,$B$59,$B$61,$B$62,$B$63,$B$66,$B$68,$B$69,$B$70,$B$71,$B$72,$B$73,$B$79,$B$83,$B$85,$B$86,$B$87,$B$88,$B$89)</f>
        <v>6.8947006213038176E-4</v>
      </c>
      <c r="C95" s="157">
        <f>$C$56-AVERAGE($C$58,$C$59,$C$61,$C$62,$C$63,$C$66,$C$68,$C$69,$C$70,$C$71,$C$72,$C$73,$C$79,$C$83,$C$85,$C$86,$C$87,$C$88,$C$89)</f>
        <v>9.5262927444357548E-4</v>
      </c>
      <c r="D95" s="157">
        <f>$D$56-AVERAGE($D$58,$D$59,$D$61,$D$62,$D$63,$D$66,$D$68,$D$69,$D$70,$D$71,$D$72,$D$73,$D$79,$D$83,$D$85,$D$86,$D$87,$D$88,$D$89)</f>
        <v>1.2578952469323862E-3</v>
      </c>
      <c r="E95" s="157">
        <f>$E$56-AVERAGE($E$58,$E$59,$E$61,$E$62,$E$63,$E$66,$E$68,$E$69,$E$70,$E$71,$E$72,$E$73,$E$79,$E$83,$E$85,$E$86,$E$87,$E$88,$E$89)</f>
        <v>1.9315763523704149E-3</v>
      </c>
      <c r="F95" s="157">
        <f>$F$56-AVERAGE($F$58,$F$59,$F$61,$F$62,$F$63,$F$66,$F$68,$F$69,$F$70,$F$71,$F$72,$F$73,$F$79,$F$83,$F$85,$F$86,$F$87,$F$88,$F$89)</f>
        <v>2.8368458151817322E-3</v>
      </c>
      <c r="G95" s="157">
        <f>$G$56-AVERAGE($G$58,$G$59,$G$61,$G$62,$G$63,$G$66,$G$68,$G$69,$G$70,$G$71,$G$72,$G$73,$G$79,$G$83,$G$85,$G$86,$G$87,$G$88,$G$89)</f>
        <v>4.5000016689300537E-3</v>
      </c>
      <c r="H95" s="157">
        <f>$H$56-AVERAGE($H$58,$H$59,$H$61,$H$62,$H$63,$H$66,$H$68,$H$69,$H$70,$H$71,$H$72,$H$73,$H$79,$H$83,$H$85,$H$86,$H$87,$H$88,$H$89)</f>
        <v>7.4947354824919515E-3</v>
      </c>
      <c r="I95" s="157">
        <f>$I$56-AVERAGE($I$58,$I$59,$I$61,$I$62,$I$63,$I$66,$I$68,$I$69,$I$70,$I$71,$I$72,$I$73,$I$79,$I$83,$I$85,$I$86,$I$87,$I$88,$I$89)</f>
        <v>1.2742109204593455E-2</v>
      </c>
      <c r="J95" s="157">
        <f>$J$56-AVERAGE($J$58,$J$59,$J$61,$J$62,$J$63,$J$66,$J$68,$J$69,$J$70,$J$71,$J$72,$J$73,$J$79,$J$83,$J$85,$J$86,$J$87,$J$88,$J$89)</f>
        <v>2.1378955558726667E-2</v>
      </c>
      <c r="K95" s="157">
        <f>$K$56-AVERAGE($K$58,$K$59,$K$61,$K$62,$K$63,$K$66,$K$68,$K$69,$K$70,$K$71,$K$72,$K$73,$K$79,$K$83,$K$85,$K$86,$K$87,$K$88,$K$89)</f>
        <v>3.4342108196333834E-2</v>
      </c>
      <c r="L95" s="157">
        <f>$L$56-AVERAGE($L$58,$L$59,$L$61,$L$62,$L$63,$L$66,$L$68,$L$69,$L$70,$L$71,$L$72,$L$73,$L$79,$L$83,$L$85,$L$86,$L$87,$L$88,$L$89)</f>
        <v>5.3215784461874707E-2</v>
      </c>
      <c r="M95" s="157">
        <f>$M$56-AVERAGE($M$58,$M$59,$M$61,$M$62,$M$63,$M$66,$M$68,$M$69,$M$70,$M$71,$M$72,$M$73,$M$79,$M$83,$M$85,$M$86,$M$87,$M$88,$M$89)</f>
        <v>7.9668413651616948E-2</v>
      </c>
      <c r="N95" s="157">
        <f>$N$56-AVERAGE($N$58,$N$59,$N$61,$N$62,$N$63,$N$66,$N$68,$N$69,$N$70,$N$71,$N$72,$N$73,$N$79,$N$83,$N$85,$N$86,$N$87,$N$88,$N$89)</f>
        <v>0.11110526362532064</v>
      </c>
      <c r="O95" s="157">
        <f>$O$56-AVERAGE($O$58,$O$59,$O$61,$O$62,$O$63,$O$66,$O$68,$O$69,$O$70,$O$71,$O$72,$O$73,$O$79,$O$83,$O$85,$O$86,$O$87,$O$88,$O$89)</f>
        <v>0.15086840642125982</v>
      </c>
      <c r="P95" s="157">
        <f>$P$56-AVERAGE($P$58,$P$59,$P$61,$P$62,$P$63,$P$66,$P$68,$P$69,$P$70,$P$71,$P$72,$P$73,$P$79,$P$83,$P$85,$P$86,$P$87,$P$88,$P$89)</f>
        <v>0.19696316044581563</v>
      </c>
      <c r="Q95" s="157">
        <f>$Q$56-AVERAGE($Q$58,$Q$59,$Q$61,$Q$62,$Q$63,$Q$66,$Q$68,$Q$69,$Q$70,$Q$71,$Q$72,$Q$73,$Q$79,$Q$83,$Q$85,$Q$86,$Q$87,$Q$88,$Q$89)</f>
        <v>0.24346315860748291</v>
      </c>
      <c r="R95" s="157">
        <f>$R$56-AVERAGE($R$58,$R$59,$R$61,$R$62,$R$63,$R$66,$R$68,$R$69,$R$70,$R$71,$R$72,$R$73,$R$79,$R$83,$R$85,$R$86,$R$87,$R$88,$R$89)</f>
        <v>0.28685788457330907</v>
      </c>
      <c r="S95" s="157">
        <f>$S$56-AVERAGE($S$58,$S$59,$S$61,$S$62,$S$63,$S$66,$S$68,$S$69,$S$70,$S$71,$S$72,$S$73,$S$79,$S$83,$S$85,$S$86,$S$87,$S$88,$S$89)</f>
        <v>0.32064210035299001</v>
      </c>
      <c r="T95" s="157">
        <f>$T$56-AVERAGE($T$58,$T$59,$T$61,$T$62,$T$63,$T$66,$T$68,$T$69,$T$70,$T$71,$T$72,$T$73,$T$79,$T$83,$T$85,$T$86,$T$87,$T$88,$T$89)</f>
        <v>0.34994735451121078</v>
      </c>
      <c r="U95" s="157">
        <f>$U$56-AVERAGE($U$58,$U$59,$U$61,$U$62,$U$63,$U$66,$U$68,$U$69,$U$70,$U$71,$U$72,$U$73,$U$79,$U$83,$U$85,$U$86,$U$87,$U$88,$U$89)</f>
        <v>0.35798946297482442</v>
      </c>
      <c r="V95" s="157">
        <f>$V$56-AVERAGE($V$58,$V$59,$V$61,$V$62,$V$63,$V$66,$V$68,$V$69,$V$70,$V$71,$V$72,$V$73,$V$79,$V$83,$V$85,$V$86,$V$87,$V$88,$V$89)</f>
        <v>0.36047631796253354</v>
      </c>
      <c r="W95" s="157">
        <f>$W$56-AVERAGE($W$58,$W$59,$W$61,$W$62,$W$63,$W$66,$W$68,$W$69,$W$70,$W$71,$W$72,$W$73,$W$79,$W$83,$W$85,$W$86,$W$87,$W$88,$W$89)</f>
        <v>0.36296317295024272</v>
      </c>
      <c r="X95" s="157">
        <f>$X$56-AVERAGE($X$58,$X$59,$X$61,$X$62,$X$63,$X$66,$X$68,$X$69,$X$70,$X$71,$X$72,$X$73,$X$79,$X$83,$X$85,$X$86,$X$87,$X$88,$X$89)</f>
        <v>0.36360527143666621</v>
      </c>
      <c r="Y95" s="157">
        <f>$Y$56-AVERAGE($Y$58,$Y$59,$Y$61,$Y$62,$Y$63,$Y$66,$Y$68,$Y$69,$Y$70,$Y$71,$Y$72,$Y$73,$Y$79,$Y$83,$Y$85,$Y$86,$Y$87,$Y$88,$Y$89)</f>
        <v>0.3634841995019662</v>
      </c>
      <c r="Z95" s="157">
        <f>$Z$56-AVERAGE($Z$58,$Z$59,$Z$61,$Z$62,$Z$63,$Z$66,$Z$68,$Z$69,$Z$70,$Z$71,$Z$72,$Z$73,$Z$79,$Z$83,$Z$85,$Z$86,$Z$87,$Z$88,$Z$89)</f>
        <v>0.36488946801737737</v>
      </c>
      <c r="AA95" s="157">
        <f>$AA$56-AVERAGE($AA$58,$AA$59,$AA$61,$AA$62,$AA$63,$AA$66,$AA$68,$AA$69,$AA$70,$AA$71,$AA$72,$AA$73,$AA$79,$AA$83,$AA$85,$AA$86,$AA$87,$AA$88,$AA$89)</f>
        <v>0.3693157826599322</v>
      </c>
      <c r="AB95" s="157">
        <f>$AB$56-AVERAGE($AB$58,$AB$59,$AB$61,$AB$62,$AB$63,$AB$66,$AB$68,$AB$69,$AB$70,$AB$71,$AB$72,$AB$73,$AB$79,$AB$83,$AB$85,$AB$86,$AB$87,$AB$88,$AB$89)</f>
        <v>0.3761105282526267</v>
      </c>
      <c r="AC95" s="157">
        <f>$AC$56-AVERAGE($AC$58,$AC$59,$AC$61,$AC$62,$AC$63,$AC$66,$AC$68,$AC$69,$AC$70,$AC$71,$AC$72,$AC$73,$AC$79,$AC$83,$AC$85,$AC$86,$AC$87,$AC$88,$AC$89)</f>
        <v>0.38634736483034338</v>
      </c>
      <c r="AD95" s="157">
        <f>$AD$56-AVERAGE($AD$58,$AD$59,$AD$61,$AD$62,$AD$63,$AD$66,$AD$68,$AD$69,$AD$70,$AD$71,$AD$72,$AD$73,$AD$79,$AD$83,$AD$85,$AD$86,$AD$87,$AD$88,$AD$89)</f>
        <v>0.40009474166129766</v>
      </c>
      <c r="AE95" s="157">
        <f>$AE$56-AVERAGE($AE$58,$AE$59,$AE$61,$AE$62,$AE$63,$AE$66,$AE$68,$AE$69,$AE$70,$AE$71,$AE$72,$AE$73,$AE$79,$AE$83,$AE$85,$AE$86,$AE$87,$AE$88,$AE$89)</f>
        <v>0.41549473451940638</v>
      </c>
      <c r="AF95" s="157">
        <f>$AF$56-AVERAGE($AF$58,$AF$59,$AF$61,$AF$62,$AF$63,$AF$66,$AF$68,$AF$69,$AF$70,$AF$71,$AF$72,$AF$73,$AF$79,$AF$83,$AF$85,$AF$86,$AF$87,$AF$88,$AF$89)</f>
        <v>0.42448421136329051</v>
      </c>
    </row>
    <row r="96" spans="1:32" x14ac:dyDescent="0.2">
      <c r="A96" s="168" t="s">
        <v>322</v>
      </c>
      <c r="B96" s="168">
        <f>$B$57-AVERAGE($B$58)</f>
        <v>9.0000033378601074E-4</v>
      </c>
      <c r="C96" s="168">
        <f>$C$57-AVERAGE($C$58)</f>
        <v>7.9999864101409912E-4</v>
      </c>
      <c r="D96" s="168">
        <f>$D$57-AVERAGE($D$58)</f>
        <v>1.0000020265579224E-3</v>
      </c>
      <c r="E96" s="168">
        <f>$E$57-AVERAGE($E$58)</f>
        <v>1.1999979615211487E-3</v>
      </c>
      <c r="F96" s="168">
        <f>$F$57-AVERAGE($F$58)</f>
        <v>2.0000040531158447E-3</v>
      </c>
      <c r="G96" s="168">
        <f>$G$57-AVERAGE($G$58)</f>
        <v>3.1000003218650818E-3</v>
      </c>
      <c r="H96" s="168">
        <f>$H$57-AVERAGE($H$58)</f>
        <v>4.9000009894371033E-3</v>
      </c>
      <c r="I96" s="168">
        <f>$I$57-AVERAGE($I$58)</f>
        <v>7.7999979257583618E-3</v>
      </c>
      <c r="J96" s="168">
        <f>$J$57-AVERAGE($J$58)</f>
        <v>1.30000039935112E-2</v>
      </c>
      <c r="K96" s="168">
        <f>$K$57-AVERAGE($K$58)</f>
        <v>2.1399997174739838E-2</v>
      </c>
      <c r="L96" s="168">
        <f>$L$57-AVERAGE($L$58)</f>
        <v>3.4300006926059723E-2</v>
      </c>
      <c r="M96" s="168">
        <f>$M$57-AVERAGE($M$58)</f>
        <v>5.2900008857250214E-2</v>
      </c>
      <c r="N96" s="168">
        <f>$N$57-AVERAGE($N$58)</f>
        <v>7.7799990773200989E-2</v>
      </c>
      <c r="O96" s="168">
        <f>$O$57-AVERAGE($O$58)</f>
        <v>0.1086999922990799</v>
      </c>
      <c r="P96" s="168">
        <f>$P$57-AVERAGE($P$58)</f>
        <v>0.1468999981880188</v>
      </c>
      <c r="Q96" s="168">
        <f>$Q$57-AVERAGE($Q$58)</f>
        <v>0.19280001521110535</v>
      </c>
      <c r="R96" s="168">
        <f>$R$57-AVERAGE($R$58)</f>
        <v>0.23920001089572906</v>
      </c>
      <c r="S96" s="168">
        <f>$S$57-AVERAGE($S$58)</f>
        <v>0.28629999607801437</v>
      </c>
      <c r="T96" s="168">
        <f>$T$57-AVERAGE($T$58)</f>
        <v>0.31969999521970749</v>
      </c>
      <c r="U96" s="168">
        <f>$U$57-AVERAGE($U$58)</f>
        <v>0.34889999032020569</v>
      </c>
      <c r="V96" s="168">
        <f>$V$57-AVERAGE($V$58)</f>
        <v>0.35864999517798424</v>
      </c>
      <c r="W96" s="168">
        <f>$W$57-AVERAGE($W$58)</f>
        <v>0.36840000003576279</v>
      </c>
      <c r="X96" s="168">
        <f>$X$57-AVERAGE($X$58)</f>
        <v>0.37120000272989273</v>
      </c>
      <c r="Y96" s="168">
        <f>$Y$57-AVERAGE($Y$58)</f>
        <v>0.37069998681545258</v>
      </c>
      <c r="Z96" s="168">
        <f>$Z$57-AVERAGE($Z$58)</f>
        <v>0.36949999630451202</v>
      </c>
      <c r="AA96" s="168">
        <f>$AA$57-AVERAGE($AA$58)</f>
        <v>0.37259998917579651</v>
      </c>
      <c r="AB96" s="168">
        <f>$AB$57-AVERAGE($AB$58)</f>
        <v>0.37430000305175781</v>
      </c>
      <c r="AC96" s="168">
        <f>$AC$57-AVERAGE($AC$58)</f>
        <v>0.38030000030994415</v>
      </c>
      <c r="AD96" s="168">
        <f>$AD$57-AVERAGE($AD$58)</f>
        <v>0.38900001347064972</v>
      </c>
      <c r="AE96" s="168">
        <f>$AE$57-AVERAGE($AE$58)</f>
        <v>0.40339997410774231</v>
      </c>
      <c r="AF96" s="168">
        <f>$AF$57-AVERAGE($AF$58)</f>
        <v>0.41550001502037048</v>
      </c>
    </row>
    <row r="97" spans="1:32" x14ac:dyDescent="0.2">
      <c r="A97" t="s">
        <v>323</v>
      </c>
      <c r="H97">
        <f>INDEX(LOGEST($B$94:$H$94,$B$54:$H$54,TRUE,TRUE), 3)</f>
        <v>0.97553048217040539</v>
      </c>
      <c r="I97">
        <f>INDEX(LOGEST($B$94:$I$94,$B$54:$I$54,TRUE,TRUE), 3)</f>
        <v>0.97260681743503941</v>
      </c>
      <c r="J97">
        <f>INDEX(LOGEST($B$94:$J$94,$B$54:$J$54,TRUE,TRUE), 3)</f>
        <v>0.97373860904540888</v>
      </c>
      <c r="K97">
        <f>INDEX(LOGEST($B$94:$K$94,$B$54:$K$54,TRUE,TRUE), 3)</f>
        <v>0.97638806387647559</v>
      </c>
      <c r="L97">
        <f>INDEX(LOGEST($B$94:$L$94,$B$54:$L$54,TRUE,TRUE), 3)</f>
        <v>0.98005761584013473</v>
      </c>
      <c r="M97">
        <f>INDEX(LOGEST($B$94:$M$94,$B$54:$M$54,TRUE,TRUE), 3)</f>
        <v>0.9839453584906267</v>
      </c>
      <c r="N97">
        <f>INDEX(LOGEST($B$94:$N$94,$B$54:$N$54,TRUE,TRUE), 3)</f>
        <v>0.98734128305983582</v>
      </c>
      <c r="O97">
        <f>INDEX(LOGEST($B$94:$O$94,$B$54:$O$54,TRUE,TRUE), 3)</f>
        <v>0.98974583944490635</v>
      </c>
      <c r="P97" s="155">
        <f>INDEX(LOGEST($B$94:$P$94,$B$54:$P$54,TRUE,TRUE), 3)</f>
        <v>0.9909616389958259</v>
      </c>
      <c r="Q97">
        <f>INDEX(LOGEST($B$94:$Q$94,$B$54:$Q$54,TRUE,TRUE), 3)</f>
        <v>0.99081562902426712</v>
      </c>
      <c r="R97">
        <f>INDEX(LOGEST($B$94:$R$94,$B$54:$R$54,TRUE,TRUE), 3)</f>
        <v>0.98919769746667874</v>
      </c>
      <c r="S97">
        <f>INDEX(LOGEST($B$94:$S$94,$B$54:$S$54,TRUE,TRUE), 3)</f>
        <v>0.98565387521138093</v>
      </c>
      <c r="T97">
        <f>INDEX(LOGEST($B$94:$T$94,$B$54:$T$54,TRUE,TRUE), 3)</f>
        <v>0.9804159139944435</v>
      </c>
      <c r="U97">
        <f>INDEX(LOGEST($B$94:$U$94,$B$54:$U$54,TRUE,TRUE), 3)</f>
        <v>0.9726327053893743</v>
      </c>
      <c r="V97">
        <f>INDEX(LOGEST($B$94:$V$94,$B$54:$V$54,TRUE,TRUE), 3)</f>
        <v>0.96257331555219294</v>
      </c>
      <c r="W97">
        <f>INDEX(LOGEST($B$94:$W$94,$B$54:$W$54,TRUE,TRUE), 3)</f>
        <v>0.95081829220791336</v>
      </c>
      <c r="X97">
        <f>INDEX(LOGEST($B$94:$X$94,$B$54:$X$54,TRUE,TRUE), 3)</f>
        <v>0.93775383238145904</v>
      </c>
      <c r="Y97">
        <f>INDEX(LOGEST($B$94:$Y$94,$B$54:$Y$54,TRUE,TRUE), 3)</f>
        <v>0.9236405421475069</v>
      </c>
      <c r="Z97">
        <f>INDEX(LOGEST($B$94:$Z$94,$B$54:$Z$54,TRUE,TRUE), 3)</f>
        <v>0.9089518497312713</v>
      </c>
      <c r="AA97">
        <f>INDEX(LOGEST($B$94:$AA$94,$B$54:$AA$54,TRUE,TRUE), 3)</f>
        <v>0.8941131166408588</v>
      </c>
      <c r="AB97">
        <f>INDEX(LOGEST($B$94:$AB$94,$B$54:$AB$54,TRUE,TRUE), 3)</f>
        <v>0.8794474402119139</v>
      </c>
      <c r="AC97">
        <f>INDEX(LOGEST($B$94:$AC$94,$B$54:$AC$54,TRUE,TRUE), 3)</f>
        <v>0.86550338018328765</v>
      </c>
      <c r="AD97">
        <f>INDEX(LOGEST($B$94:$AD$94,$B$54:$AD$54,TRUE,TRUE), 3)</f>
        <v>0.85224407506114352</v>
      </c>
      <c r="AE97">
        <f>INDEX(LOGEST($B$94:$AE$94,$B$54:$AE$54,TRUE,TRUE), 3)</f>
        <v>0.83977302357255412</v>
      </c>
      <c r="AF97">
        <f>INDEX(LOGEST($B$94:$AF$94,$B$54:$AF$54,TRUE,TRUE), 3)</f>
        <v>0.82778845458006711</v>
      </c>
    </row>
    <row r="98" spans="1:32" x14ac:dyDescent="0.2">
      <c r="A98" t="s">
        <v>324</v>
      </c>
      <c r="H98">
        <f>INDEX(LOGEST($B$95:$H$95,$B$54:$H$54,TRUE,TRUE), 3)</f>
        <v>0.99112547637094695</v>
      </c>
      <c r="I98">
        <f>INDEX(LOGEST($B$95:$I$95,$B$54:$I$54,TRUE,TRUE), 3)</f>
        <v>0.98991571233828402</v>
      </c>
      <c r="J98">
        <f>INDEX(LOGEST($B$95:$J$95,$B$54:$J$54,TRUE,TRUE), 3)</f>
        <v>0.99018773046309805</v>
      </c>
      <c r="K98">
        <f>INDEX(LOGEST($B$95:$K$95,$B$54:$K$54,TRUE,TRUE), 3)</f>
        <v>0.99168586066740849</v>
      </c>
      <c r="L98">
        <f>INDEX(LOGEST($B$95:$L$95,$B$54:$L$54,TRUE,TRUE), 3)</f>
        <v>0.99345133695628285</v>
      </c>
      <c r="M98">
        <f>INDEX(LOGEST($B$95:$M$95,$B$54:$M$54,TRUE,TRUE), 3)</f>
        <v>0.99495233707010167</v>
      </c>
      <c r="N98">
        <f>INDEX(LOGEST($B$95:$N$95,$B$54:$N$54,TRUE,TRUE), 3)</f>
        <v>0.99581602367576671</v>
      </c>
      <c r="O98" s="155">
        <f>INDEX(LOGEST($B$95:$O$95,$B$54:$O$54,TRUE,TRUE), 3)</f>
        <v>0.9958510063901872</v>
      </c>
      <c r="P98">
        <f>INDEX(LOGEST($B$95:$P$95,$B$54:$P$54,TRUE,TRUE), 3)</f>
        <v>0.99495950154406265</v>
      </c>
      <c r="Q98">
        <f>INDEX(LOGEST($B$95:$Q$95,$B$54:$Q$54,TRUE,TRUE), 3)</f>
        <v>0.99287059833535385</v>
      </c>
      <c r="R98">
        <f>INDEX(LOGEST($B$95:$R$95,$B$54:$R$54,TRUE,TRUE), 3)</f>
        <v>0.98937055650830763</v>
      </c>
      <c r="S98">
        <f>INDEX(LOGEST($B$95:$S$95,$B$54:$S$54,TRUE,TRUE), 3)</f>
        <v>0.98412237605369757</v>
      </c>
      <c r="T98">
        <f>INDEX(LOGEST($B$95:$T$95,$B$54:$T$54,TRUE,TRUE), 3)</f>
        <v>0.97727906242473173</v>
      </c>
      <c r="U98">
        <f>INDEX(LOGEST($B$95:$U$95,$B$54:$U$54,TRUE,TRUE), 3)</f>
        <v>0.96806663267793869</v>
      </c>
      <c r="V98">
        <f>INDEX(LOGEST($B$95:$V$95,$B$54:$V$54,TRUE,TRUE), 3)</f>
        <v>0.9567592766258225</v>
      </c>
      <c r="W98">
        <f>INDEX(LOGEST($B$95:$W$95,$B$54:$W$54,TRUE,TRUE), 3)</f>
        <v>0.94393098212127391</v>
      </c>
      <c r="X98">
        <f>INDEX(LOGEST($B$95:$X$95,$B$54:$X$54,TRUE,TRUE), 3)</f>
        <v>0.92991660247178876</v>
      </c>
      <c r="Y98">
        <f>INDEX(LOGEST($B$95:$Y$95,$B$54:$Y$54,TRUE,TRUE), 3)</f>
        <v>0.91504427007745093</v>
      </c>
      <c r="Z98">
        <f>INDEX(LOGEST($B$95:$Z$95,$B$54:$Z$54,TRUE,TRUE), 3)</f>
        <v>0.89973124643490987</v>
      </c>
      <c r="AA98">
        <f>INDEX(LOGEST($B$95:$AA$95,$B$54:$AA$54,TRUE,TRUE), 3)</f>
        <v>0.88441694041873375</v>
      </c>
      <c r="AB98">
        <f>INDEX(LOGEST($B$95:$AB$95,$B$54:$AB$54,TRUE,TRUE), 3)</f>
        <v>0.86940106270661388</v>
      </c>
      <c r="AC98">
        <f>INDEX(LOGEST($B$95:$AC$95,$B$54:$AC$54,TRUE,TRUE), 3)</f>
        <v>0.85498499999761013</v>
      </c>
      <c r="AD98">
        <f>INDEX(LOGEST($B$95:$AD$95,$B$54:$AD$54,TRUE,TRUE), 3)</f>
        <v>0.84139416638064601</v>
      </c>
      <c r="AE98">
        <f>INDEX(LOGEST($B$95:$AE$95,$B$54:$AE$54,TRUE,TRUE), 3)</f>
        <v>0.82867032123107587</v>
      </c>
      <c r="AF98">
        <f>INDEX(LOGEST($B$95:$AF$95,$B$54:$AF$54,TRUE,TRUE), 3)</f>
        <v>0.81636423269586222</v>
      </c>
    </row>
    <row r="99" spans="1:32" x14ac:dyDescent="0.2">
      <c r="A99" t="s">
        <v>325</v>
      </c>
      <c r="H99">
        <f>INDEX(LOGEST($B$96:$H$96,$B$54:$H$54,TRUE,TRUE), 3)</f>
        <v>0.90083030079188597</v>
      </c>
      <c r="I99">
        <f>INDEX(LOGEST($B$96:$I$96,$B$54:$I$54,TRUE,TRUE), 3)</f>
        <v>0.92782584837435622</v>
      </c>
      <c r="J99">
        <f>INDEX(LOGEST($B$96:$J$96,$B$54:$J$54,TRUE,TRUE), 3)</f>
        <v>0.94407216311218134</v>
      </c>
      <c r="K99">
        <f>INDEX(LOGEST($B$96:$K$96,$B$54:$K$54,TRUE,TRUE), 3)</f>
        <v>0.95555740641994558</v>
      </c>
      <c r="L99">
        <f>INDEX(LOGEST($B$96:$L$96,$B$54:$L$54,TRUE,TRUE), 3)</f>
        <v>0.96451691262634598</v>
      </c>
      <c r="M99">
        <f>INDEX(LOGEST($B$96:$M$96,$B$54:$M$54,TRUE,TRUE), 3)</f>
        <v>0.97179139893957889</v>
      </c>
      <c r="N99">
        <f>INDEX(LOGEST($B$96:$N$96,$B$54:$N$54,TRUE,TRUE), 3)</f>
        <v>0.97765240725749214</v>
      </c>
      <c r="O99">
        <f>INDEX(LOGEST($B$96:$O$96,$B$54:$O$54,TRUE,TRUE), 3)</f>
        <v>0.98211235197125446</v>
      </c>
      <c r="P99">
        <f>INDEX(LOGEST($B$96:$P$96,$B$54:$P$54,TRUE,TRUE), 3)</f>
        <v>0.98517442776442843</v>
      </c>
      <c r="Q99">
        <f>INDEX(LOGEST($B$96:$Q$96,$B$54:$Q$54,TRUE,TRUE), 3)</f>
        <v>0.9869518243624642</v>
      </c>
      <c r="R99" s="155">
        <f>INDEX(LOGEST($B$96:$R$96,$B$54:$R$54,TRUE,TRUE), 3)</f>
        <v>0.98732064107281048</v>
      </c>
      <c r="S99">
        <f>INDEX(LOGEST($B$96:$S$96,$B$54:$S$54,TRUE,TRUE), 3)</f>
        <v>0.98628945919421396</v>
      </c>
      <c r="T99">
        <f>INDEX(LOGEST($B$96:$T$96,$B$54:$T$54,TRUE,TRUE), 3)</f>
        <v>0.98337824116234829</v>
      </c>
      <c r="U99">
        <f>INDEX(LOGEST($B$96:$U$96,$B$54:$U$54,TRUE,TRUE), 3)</f>
        <v>0.97873341206388509</v>
      </c>
      <c r="V99">
        <f>INDEX(LOGEST($B$96:$V$96,$B$54:$V$54,TRUE,TRUE), 3)</f>
        <v>0.97180219783756849</v>
      </c>
      <c r="W99">
        <f>INDEX(LOGEST($B$96:$W$96,$B$54:$W$54,TRUE,TRUE), 3)</f>
        <v>0.96311485121694662</v>
      </c>
      <c r="X99">
        <f>INDEX(LOGEST($B$96:$X$96,$B$54:$X$54,TRUE,TRUE), 3)</f>
        <v>0.95274358137489024</v>
      </c>
      <c r="Y99">
        <f>INDEX(LOGEST($B$96:$Y$96,$B$54:$Y$54,TRUE,TRUE), 3)</f>
        <v>0.94092927779567381</v>
      </c>
      <c r="Z99">
        <f>INDEX(LOGEST($B$96:$Z$96,$B$54:$Z$54,TRUE,TRUE), 3)</f>
        <v>0.92800907634496443</v>
      </c>
      <c r="AA99">
        <f>INDEX(LOGEST($B$96:$AA$96,$B$54:$AA$54,TRUE,TRUE), 3)</f>
        <v>0.91456877674991899</v>
      </c>
      <c r="AB99">
        <f>INDEX(LOGEST($B$96:$AB$96,$B$54:$AB$54,TRUE,TRUE), 3)</f>
        <v>0.90073181960705972</v>
      </c>
      <c r="AC99">
        <f>INDEX(LOGEST($B$96:$AC$96,$B$54:$AC$54,TRUE,TRUE), 3)</f>
        <v>0.88694811617324909</v>
      </c>
      <c r="AD99">
        <f>INDEX(LOGEST($B$96:$AD$96,$B$54:$AD$54,TRUE,TRUE), 3)</f>
        <v>0.87347846861430478</v>
      </c>
      <c r="AE99">
        <f>INDEX(LOGEST($B$96:$AE$96,$B$54:$AE$54,TRUE,TRUE), 3)</f>
        <v>0.86069665276613405</v>
      </c>
      <c r="AF99">
        <f>INDEX(LOGEST($B$96:$AF$96,$B$54:$AF$54,TRUE,TRUE), 3)</f>
        <v>0.84843375679396205</v>
      </c>
    </row>
    <row r="100" spans="1:32" s="160" customFormat="1" x14ac:dyDescent="0.2">
      <c r="A100" s="160" t="s">
        <v>326</v>
      </c>
      <c r="B100" s="160">
        <f>$K$43*EXP($J$49*$B$54)</f>
        <v>9.4007470774915144E-4</v>
      </c>
      <c r="C100" s="160">
        <f>$K$43*EXP($J$49*$C$54)</f>
        <v>1.3896092372231827E-3</v>
      </c>
      <c r="D100" s="160">
        <f>$K$43*EXP($J$49*$D$54)</f>
        <v>2.054106781363663E-3</v>
      </c>
      <c r="E100" s="160">
        <f>$K$43*EXP($J$49*$E$54)</f>
        <v>3.0363605510248378E-3</v>
      </c>
      <c r="F100" s="160">
        <f>$K$43*EXP($J$49*$F$54)</f>
        <v>4.4883184649725473E-3</v>
      </c>
      <c r="G100" s="160">
        <f>$K$43*EXP($J$49*$G$54)</f>
        <v>6.6345884503782471E-3</v>
      </c>
      <c r="H100" s="160">
        <f>$K$43*EXP($J$49*$H$54)</f>
        <v>9.8071837480814064E-3</v>
      </c>
      <c r="I100" s="160">
        <f>$K$43*EXP($J$49*$I$54)</f>
        <v>1.4496883082951226E-2</v>
      </c>
      <c r="J100" s="160">
        <f>$K$43*EXP($J$49*$J$54)</f>
        <v>2.142915076531236E-2</v>
      </c>
      <c r="K100" s="160">
        <f>$K$43*EXP($J$49*$K$54)</f>
        <v>3.1676361042225015E-2</v>
      </c>
      <c r="L100" s="160">
        <f>$K$43*EXP($J$49*$L$54)</f>
        <v>4.6823687035773422E-2</v>
      </c>
      <c r="M100" s="160">
        <f>$K$43*EXP($J$49*$M$54)</f>
        <v>6.9214316148925134E-2</v>
      </c>
      <c r="N100" s="160">
        <f>$K$43*EXP($J$49*$N$54)</f>
        <v>0.10231192507978512</v>
      </c>
      <c r="O100" s="160">
        <f>$K$43*EXP($J$49*$O$54)</f>
        <v>0.1512364868419511</v>
      </c>
      <c r="P100" s="160">
        <f>$K$43*EXP($J$49*$P$54)</f>
        <v>0.22355629546076056</v>
      </c>
    </row>
    <row r="101" spans="1:32" s="161" customFormat="1" x14ac:dyDescent="0.2">
      <c r="A101" s="161" t="s">
        <v>327</v>
      </c>
      <c r="B101" s="161">
        <f>$Q$43*EXP($P$49*$B$54)</f>
        <v>5.698856487189785E-4</v>
      </c>
      <c r="C101" s="161">
        <f>$Q$43*EXP($P$49*$C$54)</f>
        <v>8.8567948405759631E-4</v>
      </c>
      <c r="D101" s="161">
        <f>$Q$43*EXP($P$49*$D$54)</f>
        <v>1.3764658756433199E-3</v>
      </c>
      <c r="E101" s="161">
        <f>$Q$43*EXP($P$49*$E$54)</f>
        <v>2.1392144008241698E-3</v>
      </c>
      <c r="F101" s="161">
        <f>$Q$43*EXP($P$49*$F$54)</f>
        <v>3.3246289164667541E-3</v>
      </c>
      <c r="G101" s="161">
        <f>$Q$43*EXP($P$49*$G$54)</f>
        <v>5.1669236276403524E-3</v>
      </c>
      <c r="H101" s="161">
        <f>$Q$43*EXP($P$49*$H$54)</f>
        <v>8.0300991312559668E-3</v>
      </c>
      <c r="I101" s="161">
        <f>$Q$43*EXP($P$49*$I$54)</f>
        <v>1.2479861655560386E-2</v>
      </c>
      <c r="J101" s="161">
        <f>$Q$43*EXP($P$49*$J$54)</f>
        <v>1.9395395299132073E-2</v>
      </c>
      <c r="K101" s="161">
        <f>$Q$43*EXP($P$49*$K$54)</f>
        <v>3.014307122883747E-2</v>
      </c>
      <c r="L101" s="161">
        <f>$Q$43*EXP($P$49*$L$54)</f>
        <v>4.6846415300822897E-2</v>
      </c>
      <c r="M101" s="161">
        <f>$Q$43*EXP($P$49*$M$54)</f>
        <v>7.2805674308251758E-2</v>
      </c>
      <c r="N101" s="161">
        <f>$Q$43*EXP($P$49*$N$54)</f>
        <v>0.11314987875680896</v>
      </c>
      <c r="O101" s="161">
        <f>$Q$43*EXP($P$49*$O$54)</f>
        <v>0.17585023673394479</v>
      </c>
    </row>
    <row r="102" spans="1:32" s="169" customFormat="1" x14ac:dyDescent="0.2">
      <c r="A102" s="169" t="s">
        <v>328</v>
      </c>
      <c r="B102" s="169">
        <f>$W$43*EXP($V$49*$B$54)</f>
        <v>5.1436804811182655E-4</v>
      </c>
      <c r="C102" s="169">
        <f>$W$43*EXP($V$49*$C$54)</f>
        <v>7.68063467957627E-4</v>
      </c>
      <c r="D102" s="169">
        <f>$W$43*EXP($V$49*$D$54)</f>
        <v>1.1468859564209254E-3</v>
      </c>
      <c r="E102" s="169">
        <f>$W$43*EXP($V$49*$E$54)</f>
        <v>1.7125503970826881E-3</v>
      </c>
      <c r="F102" s="169">
        <f>$W$43*EXP($V$49*$F$54)</f>
        <v>2.5572105457638702E-3</v>
      </c>
      <c r="G102" s="169">
        <f>$W$43*EXP($V$49*$G$54)</f>
        <v>3.8184720207391407E-3</v>
      </c>
      <c r="H102" s="169">
        <f>$W$43*EXP($V$49*$H$54)</f>
        <v>5.7018099652847397E-3</v>
      </c>
      <c r="I102" s="169">
        <f>$W$43*EXP($V$49*$I$54)</f>
        <v>8.5140434979348815E-3</v>
      </c>
      <c r="J102" s="169">
        <f>$W$43*EXP($V$49*$J$54)</f>
        <v>1.2713320353725131E-2</v>
      </c>
      <c r="K102" s="169">
        <f>$W$43*EXP($V$49*$K$54)</f>
        <v>1.8983754834661734E-2</v>
      </c>
      <c r="L102" s="169">
        <f>$W$43*EXP($V$49*$L$54)</f>
        <v>2.8346878517612983E-2</v>
      </c>
      <c r="M102" s="169">
        <f>$W$43*EXP($V$49*$M$54)</f>
        <v>4.2328060422753937E-2</v>
      </c>
      <c r="N102" s="169">
        <f>$W$43*EXP($V$49*$N$54)</f>
        <v>6.3205008552849232E-2</v>
      </c>
      <c r="O102" s="169">
        <f>$W$43*EXP($V$49*$O$54)</f>
        <v>9.4378836787386899E-2</v>
      </c>
      <c r="P102" s="169">
        <f>$W$43*EXP($V$49*$P$54)</f>
        <v>0.14092814853260036</v>
      </c>
      <c r="Q102" s="169">
        <f>$W$43*EXP($V$49*$Q$54)</f>
        <v>0.21043640422871737</v>
      </c>
      <c r="R102" s="169">
        <f>$W$43*EXP($V$49*$R$54)</f>
        <v>0.3142273611468625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BD783-D680-EC4B-B5D6-9AFAE3491421}">
  <sheetPr codeName="Sheet44"/>
  <dimension ref="A42:AF102"/>
  <sheetViews>
    <sheetView workbookViewId="0"/>
  </sheetViews>
  <sheetFormatPr baseColWidth="10" defaultRowHeight="15" x14ac:dyDescent="0.2"/>
  <sheetData>
    <row r="42" spans="9:24" x14ac:dyDescent="0.2">
      <c r="I42" t="s">
        <v>249</v>
      </c>
      <c r="O42" t="s">
        <v>249</v>
      </c>
      <c r="U42" t="s">
        <v>249</v>
      </c>
    </row>
    <row r="43" spans="9:24" x14ac:dyDescent="0.2">
      <c r="I43" t="s">
        <v>250</v>
      </c>
      <c r="J43" s="159">
        <f t="array" ref="J43:K47">LOGEST($B$94:$O$94,$B$54:$O$54,TRUE,TRUE)</f>
        <v>1.0004567117686776</v>
      </c>
      <c r="K43" s="159">
        <v>6.6484929116166652E-4</v>
      </c>
      <c r="L43" t="s">
        <v>255</v>
      </c>
      <c r="O43" t="s">
        <v>250</v>
      </c>
      <c r="P43" s="159">
        <f t="array" ref="P43:Q47">LOGEST($B$95:$P$95,$B$54:$P$54,TRUE,TRUE)</f>
        <v>1.0004697612037732</v>
      </c>
      <c r="Q43" s="159">
        <v>4.6886622413779173E-4</v>
      </c>
      <c r="R43" t="s">
        <v>255</v>
      </c>
      <c r="U43" t="s">
        <v>250</v>
      </c>
      <c r="V43" s="159">
        <f t="array" ref="V43:W47">LOGEST($B$96:$Q$96,$B$54:$Q$54,TRUE,TRUE)</f>
        <v>1.0004551120945928</v>
      </c>
      <c r="W43" s="159">
        <v>4.9776685274552823E-4</v>
      </c>
      <c r="X43" t="s">
        <v>255</v>
      </c>
    </row>
    <row r="44" spans="9:24" x14ac:dyDescent="0.2">
      <c r="I44" t="s">
        <v>251</v>
      </c>
      <c r="J44" s="159">
        <v>7.5976214331713887E-6</v>
      </c>
      <c r="K44" s="159">
        <v>5.2305377988244472E-2</v>
      </c>
      <c r="L44" t="s">
        <v>256</v>
      </c>
      <c r="O44" t="s">
        <v>251</v>
      </c>
      <c r="P44" s="159">
        <v>1.0366977099283596E-5</v>
      </c>
      <c r="Q44" s="159">
        <v>7.6759173964407207E-2</v>
      </c>
      <c r="R44" t="s">
        <v>256</v>
      </c>
      <c r="U44" t="s">
        <v>251</v>
      </c>
      <c r="V44" s="159">
        <v>1.1883865594853381E-5</v>
      </c>
      <c r="W44" s="159">
        <v>9.4167132163976097E-2</v>
      </c>
      <c r="X44" t="s">
        <v>256</v>
      </c>
    </row>
    <row r="45" spans="9:24" x14ac:dyDescent="0.2">
      <c r="I45" t="s">
        <v>252</v>
      </c>
      <c r="J45" s="159">
        <v>0.99668861294260525</v>
      </c>
      <c r="K45" s="159">
        <v>0.10314759642121227</v>
      </c>
      <c r="L45" t="s">
        <v>257</v>
      </c>
      <c r="O45" t="s">
        <v>252</v>
      </c>
      <c r="P45" s="159">
        <v>0.9937055897614876</v>
      </c>
      <c r="Q45" s="159">
        <v>0.15614278330003575</v>
      </c>
      <c r="R45" t="s">
        <v>257</v>
      </c>
      <c r="U45" t="s">
        <v>252</v>
      </c>
      <c r="V45" s="159">
        <v>0.99054031844024959</v>
      </c>
      <c r="W45" s="159">
        <v>0.19723680168267466</v>
      </c>
      <c r="X45" t="s">
        <v>257</v>
      </c>
    </row>
    <row r="46" spans="9:24" x14ac:dyDescent="0.2">
      <c r="I46" t="s">
        <v>253</v>
      </c>
      <c r="J46" s="159">
        <v>3611.8590632897071</v>
      </c>
      <c r="K46" s="159">
        <v>12</v>
      </c>
      <c r="L46" t="s">
        <v>258</v>
      </c>
      <c r="O46" t="s">
        <v>253</v>
      </c>
      <c r="P46" s="159">
        <v>2052.324551053146</v>
      </c>
      <c r="Q46" s="159">
        <v>13</v>
      </c>
      <c r="R46" t="s">
        <v>258</v>
      </c>
      <c r="U46" t="s">
        <v>253</v>
      </c>
      <c r="V46" s="159">
        <v>1465.9652516389269</v>
      </c>
      <c r="W46" s="159">
        <v>14</v>
      </c>
      <c r="X46" t="s">
        <v>258</v>
      </c>
    </row>
    <row r="47" spans="9:24" x14ac:dyDescent="0.2">
      <c r="I47" t="s">
        <v>254</v>
      </c>
      <c r="J47" s="159">
        <v>38.428109564882398</v>
      </c>
      <c r="K47" s="159">
        <v>0.12767311976967938</v>
      </c>
      <c r="L47" t="s">
        <v>259</v>
      </c>
      <c r="O47" t="s">
        <v>254</v>
      </c>
      <c r="P47" s="159">
        <v>50.036839869024078</v>
      </c>
      <c r="Q47" s="159">
        <v>0.31694739409686501</v>
      </c>
      <c r="R47" t="s">
        <v>259</v>
      </c>
      <c r="U47" t="s">
        <v>254</v>
      </c>
      <c r="V47" s="159">
        <v>57.029502012013005</v>
      </c>
      <c r="W47" s="159">
        <v>0.54463298313215025</v>
      </c>
      <c r="X47" t="s">
        <v>259</v>
      </c>
    </row>
    <row r="49" spans="1:32" x14ac:dyDescent="0.2">
      <c r="I49" t="s">
        <v>260</v>
      </c>
      <c r="J49">
        <f>LN($J$43)</f>
        <v>4.5660750760137271E-4</v>
      </c>
      <c r="O49" t="s">
        <v>260</v>
      </c>
      <c r="P49">
        <f>LN($P$43)</f>
        <v>4.696509005216663E-4</v>
      </c>
      <c r="U49" t="s">
        <v>260</v>
      </c>
      <c r="V49">
        <f>LN($V$43)</f>
        <v>4.5500856249477327E-4</v>
      </c>
    </row>
    <row r="50" spans="1:32" x14ac:dyDescent="0.2">
      <c r="I50" t="s">
        <v>261</v>
      </c>
      <c r="J50">
        <f>ROUND(LN(2)/$J$49, 1)</f>
        <v>1518</v>
      </c>
      <c r="O50" t="s">
        <v>261</v>
      </c>
      <c r="P50">
        <f>ROUND(LN(2)/$P$49, 1)</f>
        <v>1475.9</v>
      </c>
      <c r="U50" t="s">
        <v>261</v>
      </c>
      <c r="V50">
        <f>ROUND(LN(2)/$V$49, 1)</f>
        <v>1523.4</v>
      </c>
    </row>
    <row r="51" spans="1:32" x14ac:dyDescent="0.2">
      <c r="I51" t="s">
        <v>204</v>
      </c>
      <c r="J51" s="155">
        <f>ROUND($J$50/60, 1)</f>
        <v>25.3</v>
      </c>
      <c r="O51" t="s">
        <v>204</v>
      </c>
      <c r="P51" s="155">
        <f>ROUND($P$50/60, 1)</f>
        <v>24.6</v>
      </c>
      <c r="U51" t="s">
        <v>204</v>
      </c>
      <c r="V51" s="155">
        <f>ROUND($V$50/60, 1)</f>
        <v>25.4</v>
      </c>
    </row>
    <row r="54" spans="1:32" x14ac:dyDescent="0.2">
      <c r="A54" t="s">
        <v>206</v>
      </c>
      <c r="B54" s="166">
        <v>0</v>
      </c>
      <c r="C54" s="166">
        <v>900.1</v>
      </c>
      <c r="D54" s="166">
        <v>1800.2</v>
      </c>
      <c r="E54" s="166">
        <v>2700.3</v>
      </c>
      <c r="F54" s="166">
        <v>3600.4</v>
      </c>
      <c r="G54" s="166">
        <v>4500.5</v>
      </c>
      <c r="H54" s="166">
        <v>5400.6</v>
      </c>
      <c r="I54" s="166">
        <v>6300.7</v>
      </c>
      <c r="J54" s="166">
        <v>7200.8</v>
      </c>
      <c r="K54" s="166">
        <v>8100.9</v>
      </c>
      <c r="L54" s="166">
        <v>9001</v>
      </c>
      <c r="M54" s="166">
        <v>9901.1</v>
      </c>
      <c r="N54" s="166">
        <v>10801.2</v>
      </c>
      <c r="O54" s="166">
        <v>11701.3</v>
      </c>
      <c r="P54" s="166">
        <v>12601.4</v>
      </c>
      <c r="Q54" s="166">
        <v>13501.5</v>
      </c>
      <c r="R54" s="166">
        <v>14401.6</v>
      </c>
      <c r="S54" s="166">
        <v>15301.7</v>
      </c>
      <c r="T54" s="166">
        <v>16201.8</v>
      </c>
      <c r="U54" s="166">
        <v>17101.900000000001</v>
      </c>
      <c r="V54" s="166">
        <v>18002</v>
      </c>
      <c r="W54" s="166">
        <v>18902.099999999999</v>
      </c>
      <c r="X54" s="166">
        <v>19802.2</v>
      </c>
      <c r="Y54" s="166">
        <v>20702.3</v>
      </c>
      <c r="Z54" s="166">
        <v>21602.400000000001</v>
      </c>
      <c r="AA54" s="166">
        <v>22502.5</v>
      </c>
      <c r="AB54" s="166">
        <v>23402.6</v>
      </c>
      <c r="AC54" s="166">
        <v>24302.7</v>
      </c>
      <c r="AD54" s="166">
        <v>25202.799999999999</v>
      </c>
      <c r="AE54" s="166">
        <v>26102.9</v>
      </c>
      <c r="AF54" s="166">
        <v>27003</v>
      </c>
    </row>
    <row r="55" spans="1:32" x14ac:dyDescent="0.2">
      <c r="A55" s="156" t="s">
        <v>329</v>
      </c>
      <c r="B55" s="156">
        <v>0.10740000009536743</v>
      </c>
      <c r="C55" s="156">
        <v>0.10750000178813934</v>
      </c>
      <c r="D55" s="156">
        <v>0.10779999941587448</v>
      </c>
      <c r="E55" s="156">
        <v>0.10849999636411667</v>
      </c>
      <c r="F55" s="156">
        <v>0.10930000245571136</v>
      </c>
      <c r="G55" s="156">
        <v>0.11069999635219574</v>
      </c>
      <c r="H55" s="156">
        <v>0.11320000141859055</v>
      </c>
      <c r="I55" s="156">
        <v>0.11749999970197678</v>
      </c>
      <c r="J55" s="156">
        <v>0.1242000013589859</v>
      </c>
      <c r="K55" s="156">
        <v>0.13539999723434448</v>
      </c>
      <c r="L55" s="156">
        <v>0.15129999816417694</v>
      </c>
      <c r="M55" s="156">
        <v>0.17280000448226929</v>
      </c>
      <c r="N55" s="156">
        <v>0.20029999315738678</v>
      </c>
      <c r="O55" s="156">
        <v>0.23319999873638153</v>
      </c>
      <c r="P55" s="156">
        <v>0.27129998803138733</v>
      </c>
      <c r="Q55" s="156">
        <v>0.31540000438690186</v>
      </c>
      <c r="R55" s="156">
        <v>0.36079999804496765</v>
      </c>
      <c r="S55" s="156">
        <v>0.40049999952316284</v>
      </c>
      <c r="T55" s="156">
        <v>0.4359000027179718</v>
      </c>
      <c r="U55" s="156">
        <v>0.45390000939369202</v>
      </c>
      <c r="V55" s="156">
        <f t="shared" ref="V55:V57" si="0">AVERAGE(U55,W55)</f>
        <v>0.46090000867843628</v>
      </c>
      <c r="W55" s="156">
        <v>0.46790000796318054</v>
      </c>
      <c r="X55" s="156">
        <v>0.46939998865127563</v>
      </c>
      <c r="Y55" s="156">
        <v>0.47189998626708984</v>
      </c>
      <c r="Z55" s="156">
        <v>0.47540000081062317</v>
      </c>
      <c r="AA55" s="156">
        <v>0.48219999670982361</v>
      </c>
      <c r="AB55" s="156">
        <v>0.48879998922348022</v>
      </c>
      <c r="AC55" s="156">
        <v>0.49930000305175781</v>
      </c>
      <c r="AD55" s="156">
        <v>0.51319998502731323</v>
      </c>
      <c r="AE55" s="156">
        <v>0.52740001678466797</v>
      </c>
      <c r="AF55" s="156">
        <v>0.54339998960494995</v>
      </c>
    </row>
    <row r="56" spans="1:32" x14ac:dyDescent="0.2">
      <c r="A56" s="157" t="s">
        <v>330</v>
      </c>
      <c r="B56" s="157">
        <v>0.1062999963760376</v>
      </c>
      <c r="C56" s="157">
        <v>0.10620000213384628</v>
      </c>
      <c r="D56" s="157">
        <v>0.10639999806880951</v>
      </c>
      <c r="E56" s="157">
        <v>0.10710000246763229</v>
      </c>
      <c r="F56" s="157">
        <v>0.10750000178813934</v>
      </c>
      <c r="G56" s="157">
        <v>0.10869999974966049</v>
      </c>
      <c r="H56" s="157">
        <v>0.11060000211000443</v>
      </c>
      <c r="I56" s="157">
        <v>0.11389999836683273</v>
      </c>
      <c r="J56" s="157">
        <v>0.11949999630451202</v>
      </c>
      <c r="K56" s="157">
        <v>0.12849999964237213</v>
      </c>
      <c r="L56" s="157">
        <v>0.14219999313354492</v>
      </c>
      <c r="M56" s="157">
        <v>0.16140000522136688</v>
      </c>
      <c r="N56" s="157">
        <v>0.18649999797344208</v>
      </c>
      <c r="O56" s="157">
        <v>0.21649999916553497</v>
      </c>
      <c r="P56" s="157">
        <v>0.25229999423027039</v>
      </c>
      <c r="Q56" s="157">
        <v>0.29289999604225159</v>
      </c>
      <c r="R56" s="157">
        <v>0.33700001239776611</v>
      </c>
      <c r="S56" s="157">
        <v>0.38199999928474426</v>
      </c>
      <c r="T56" s="157">
        <v>0.41789999604225159</v>
      </c>
      <c r="U56" s="157">
        <v>0.4496999979019165</v>
      </c>
      <c r="V56" s="157">
        <f t="shared" si="0"/>
        <v>0.45835000276565552</v>
      </c>
      <c r="W56" s="157">
        <v>0.46700000762939453</v>
      </c>
      <c r="X56" s="157">
        <v>0.47229999303817749</v>
      </c>
      <c r="Y56" s="157">
        <v>0.47130000591278076</v>
      </c>
      <c r="Z56" s="157">
        <v>0.47580000758171082</v>
      </c>
      <c r="AA56" s="157">
        <v>0.4779999852180481</v>
      </c>
      <c r="AB56" s="157">
        <v>0.48449999094009399</v>
      </c>
      <c r="AC56" s="157">
        <v>0.49059998989105225</v>
      </c>
      <c r="AD56" s="157">
        <v>0.50160002708435059</v>
      </c>
      <c r="AE56" s="157">
        <v>0.51490002870559692</v>
      </c>
      <c r="AF56" s="157">
        <v>0.53070002794265747</v>
      </c>
    </row>
    <row r="57" spans="1:32" x14ac:dyDescent="0.2">
      <c r="A57" s="168" t="s">
        <v>331</v>
      </c>
      <c r="B57" s="168">
        <v>0.10620000213384628</v>
      </c>
      <c r="C57" s="168">
        <v>0.10610000044107437</v>
      </c>
      <c r="D57" s="168">
        <v>0.10620000213384628</v>
      </c>
      <c r="E57" s="168">
        <v>0.10670000314712524</v>
      </c>
      <c r="F57" s="168">
        <v>0.10729999840259552</v>
      </c>
      <c r="G57" s="168">
        <v>0.10840000212192535</v>
      </c>
      <c r="H57" s="168">
        <v>0.11029999703168869</v>
      </c>
      <c r="I57" s="168">
        <v>0.11339999735355377</v>
      </c>
      <c r="J57" s="168">
        <v>0.11869999766349792</v>
      </c>
      <c r="K57" s="168">
        <v>0.12720000743865967</v>
      </c>
      <c r="L57" s="168">
        <v>0.14049999415874481</v>
      </c>
      <c r="M57" s="168">
        <v>0.1590999960899353</v>
      </c>
      <c r="N57" s="168">
        <v>0.18379999697208405</v>
      </c>
      <c r="O57" s="168">
        <v>0.21310000121593475</v>
      </c>
      <c r="P57" s="168">
        <v>0.24770000576972961</v>
      </c>
      <c r="Q57" s="168">
        <v>0.28749999403953552</v>
      </c>
      <c r="R57" s="168">
        <v>0.33270001411437988</v>
      </c>
      <c r="S57" s="168">
        <v>0.37680000066757202</v>
      </c>
      <c r="T57" s="168">
        <v>0.41200000047683716</v>
      </c>
      <c r="U57" s="168">
        <v>0.44409999251365662</v>
      </c>
      <c r="V57" s="168">
        <f t="shared" si="0"/>
        <v>0.45329999923706055</v>
      </c>
      <c r="W57" s="168">
        <v>0.46250000596046448</v>
      </c>
      <c r="X57" s="168">
        <v>0.46639999747276306</v>
      </c>
      <c r="Y57" s="168">
        <v>0.46770000457763672</v>
      </c>
      <c r="Z57" s="168">
        <v>0.4708000123500824</v>
      </c>
      <c r="AA57" s="168">
        <v>0.47429999709129333</v>
      </c>
      <c r="AB57" s="168">
        <v>0.48050001263618469</v>
      </c>
      <c r="AC57" s="168">
        <v>0.48640000820159912</v>
      </c>
      <c r="AD57" s="168">
        <v>0.49819999933242798</v>
      </c>
      <c r="AE57" s="168">
        <v>0.51020002365112305</v>
      </c>
      <c r="AF57" s="168">
        <v>0.52619999647140503</v>
      </c>
    </row>
    <row r="58" spans="1:32" x14ac:dyDescent="0.2">
      <c r="A58" s="158" t="s">
        <v>209</v>
      </c>
      <c r="B58" s="158">
        <v>0.10480000078678131</v>
      </c>
      <c r="C58" s="158">
        <v>0.1046999990940094</v>
      </c>
      <c r="D58" s="158">
        <v>0.1046999990940094</v>
      </c>
      <c r="E58" s="158">
        <v>0.10480000078678131</v>
      </c>
      <c r="F58" s="158">
        <v>0.10459999740123749</v>
      </c>
      <c r="G58" s="158">
        <v>0.10450000315904617</v>
      </c>
      <c r="H58" s="158">
        <v>0.10440000146627426</v>
      </c>
      <c r="I58" s="158">
        <v>0.10429999977350235</v>
      </c>
      <c r="J58" s="158">
        <v>0.10419999808073044</v>
      </c>
      <c r="K58" s="158">
        <v>0.10419999808073044</v>
      </c>
      <c r="L58" s="158">
        <v>0.10419999808073044</v>
      </c>
      <c r="M58" s="158">
        <v>0.10409999638795853</v>
      </c>
      <c r="N58" s="158">
        <v>0.10400000214576721</v>
      </c>
      <c r="O58" s="158">
        <v>0.1039000004529953</v>
      </c>
      <c r="P58" s="158">
        <v>0.10379999876022339</v>
      </c>
      <c r="Q58" s="158">
        <v>0.10379999876022339</v>
      </c>
      <c r="R58" s="158">
        <v>0.1039000004529953</v>
      </c>
      <c r="S58" s="158">
        <v>0.10360000282526016</v>
      </c>
      <c r="T58" s="158">
        <v>0.10360000282526016</v>
      </c>
      <c r="U58" s="158">
        <v>0.10379999876022339</v>
      </c>
      <c r="V58" s="158">
        <f>AVERAGE(U58,W58)</f>
        <v>0.10359999909996986</v>
      </c>
      <c r="W58" s="158">
        <v>0.10339999943971634</v>
      </c>
      <c r="X58" s="158">
        <v>0.10329999774694443</v>
      </c>
      <c r="Y58" s="158">
        <v>0.10320000350475311</v>
      </c>
      <c r="Z58" s="158">
        <v>0.10320000350475311</v>
      </c>
      <c r="AA58" s="158">
        <v>0.1031000018119812</v>
      </c>
      <c r="AB58" s="158">
        <v>0.1031000018119812</v>
      </c>
      <c r="AC58" s="158">
        <v>0.10300000011920929</v>
      </c>
      <c r="AD58" s="158">
        <v>0.10300000011920929</v>
      </c>
      <c r="AE58" s="158">
        <v>0.10289999842643738</v>
      </c>
      <c r="AF58" s="158">
        <v>0.10289999842643738</v>
      </c>
    </row>
    <row r="59" spans="1:32" x14ac:dyDescent="0.2">
      <c r="A59" s="158" t="s">
        <v>210</v>
      </c>
      <c r="B59" s="158">
        <v>0.10660000145435333</v>
      </c>
      <c r="C59" s="158">
        <v>0.10649999976158142</v>
      </c>
      <c r="D59" s="158">
        <v>0.10649999976158142</v>
      </c>
      <c r="E59" s="158">
        <v>0.10649999976158142</v>
      </c>
      <c r="F59" s="158">
        <v>0.10639999806880951</v>
      </c>
      <c r="G59" s="158">
        <v>0.1062999963760376</v>
      </c>
      <c r="H59" s="158">
        <v>0.1062999963760376</v>
      </c>
      <c r="I59" s="158">
        <v>0.10610000044107437</v>
      </c>
      <c r="J59" s="158">
        <v>0.10610000044107437</v>
      </c>
      <c r="K59" s="158">
        <v>0.10610000044107437</v>
      </c>
      <c r="L59" s="158">
        <v>0.10610000044107437</v>
      </c>
      <c r="M59" s="158">
        <v>0.10599999874830246</v>
      </c>
      <c r="N59" s="158">
        <v>0.10589999705553055</v>
      </c>
      <c r="O59" s="158">
        <v>0.10589999705553055</v>
      </c>
      <c r="P59" s="158">
        <v>0.10570000112056732</v>
      </c>
      <c r="Q59" s="158">
        <v>0.10570000112056732</v>
      </c>
      <c r="R59" s="158">
        <v>0.10570000112056732</v>
      </c>
      <c r="S59" s="158">
        <v>0.10559999942779541</v>
      </c>
      <c r="T59" s="158">
        <v>0.10559999942779541</v>
      </c>
      <c r="U59" s="158">
        <v>0.10559999942779541</v>
      </c>
      <c r="V59" s="158">
        <f t="shared" ref="V59:V93" si="1">AVERAGE(U59,W59)</f>
        <v>0.1055000014603138</v>
      </c>
      <c r="W59" s="158">
        <v>0.10540000349283218</v>
      </c>
      <c r="X59" s="158">
        <v>0.10540000349283218</v>
      </c>
      <c r="Y59" s="158">
        <v>0.10530000180006027</v>
      </c>
      <c r="Z59" s="158">
        <v>0.10530000180006027</v>
      </c>
      <c r="AA59" s="158">
        <v>0.10520000010728836</v>
      </c>
      <c r="AB59" s="158">
        <v>0.10520000010728836</v>
      </c>
      <c r="AC59" s="158">
        <v>0.10520000010728836</v>
      </c>
      <c r="AD59" s="158">
        <v>0.10509999841451645</v>
      </c>
      <c r="AE59" s="158">
        <v>0.10509999841451645</v>
      </c>
      <c r="AF59" s="158">
        <v>0.10509999841451645</v>
      </c>
    </row>
    <row r="60" spans="1:32" x14ac:dyDescent="0.2">
      <c r="A60" s="158" t="s">
        <v>211</v>
      </c>
      <c r="B60" s="158">
        <v>0.10740000009536743</v>
      </c>
      <c r="C60" s="158">
        <v>0.10740000009536743</v>
      </c>
      <c r="D60" s="158">
        <v>0.10729999840259552</v>
      </c>
      <c r="E60" s="158">
        <v>0.10729999840259552</v>
      </c>
      <c r="F60" s="158">
        <v>0.10719999670982361</v>
      </c>
      <c r="G60" s="158">
        <v>0.10719999670982361</v>
      </c>
      <c r="H60" s="158">
        <v>0.10710000246763229</v>
      </c>
      <c r="I60" s="158">
        <v>0.10689999908208847</v>
      </c>
      <c r="J60" s="158">
        <v>0.10689999908208847</v>
      </c>
      <c r="K60" s="158">
        <v>0.10710000246763229</v>
      </c>
      <c r="L60" s="158">
        <v>0.10679999738931656</v>
      </c>
      <c r="M60" s="158">
        <v>0.10670000314712524</v>
      </c>
      <c r="N60" s="158">
        <v>0.10670000314712524</v>
      </c>
      <c r="O60" s="158">
        <v>0.10660000145435333</v>
      </c>
      <c r="P60" s="158">
        <v>0.10649999976158142</v>
      </c>
      <c r="Q60" s="158">
        <v>0.10649999976158142</v>
      </c>
      <c r="R60" s="158">
        <v>0.10639999806880951</v>
      </c>
      <c r="S60" s="158">
        <v>0.1062999963760376</v>
      </c>
      <c r="T60" s="158">
        <v>0.1062999963760376</v>
      </c>
      <c r="U60" s="158">
        <v>0.1062999963760376</v>
      </c>
      <c r="V60" s="158">
        <f t="shared" si="1"/>
        <v>0.10624999925494194</v>
      </c>
      <c r="W60" s="158">
        <v>0.10620000213384628</v>
      </c>
      <c r="X60" s="158">
        <v>0.10610000044107437</v>
      </c>
      <c r="Y60" s="158">
        <v>0.10610000044107437</v>
      </c>
      <c r="Z60" s="158">
        <v>0.10599999874830246</v>
      </c>
      <c r="AA60" s="158">
        <v>0.10589999705553055</v>
      </c>
      <c r="AB60" s="158">
        <v>0.10589999705553055</v>
      </c>
      <c r="AC60" s="158">
        <v>0.10599999874830246</v>
      </c>
      <c r="AD60" s="158">
        <v>0.10580000281333923</v>
      </c>
      <c r="AE60" s="158">
        <v>0.10580000281333923</v>
      </c>
      <c r="AF60" s="158">
        <v>0.10580000281333923</v>
      </c>
    </row>
    <row r="61" spans="1:32" x14ac:dyDescent="0.2">
      <c r="A61" s="158" t="s">
        <v>212</v>
      </c>
      <c r="B61" s="158">
        <v>0.10700000077486038</v>
      </c>
      <c r="C61" s="158">
        <v>0.10689999908208847</v>
      </c>
      <c r="D61" s="158">
        <v>0.10679999738931656</v>
      </c>
      <c r="E61" s="158">
        <v>0.10689999908208847</v>
      </c>
      <c r="F61" s="158">
        <v>0.10670000314712524</v>
      </c>
      <c r="G61" s="158">
        <v>0.10689999908208847</v>
      </c>
      <c r="H61" s="158">
        <v>0.10660000145435333</v>
      </c>
      <c r="I61" s="158">
        <v>0.10639999806880951</v>
      </c>
      <c r="J61" s="158">
        <v>0.10639999806880951</v>
      </c>
      <c r="K61" s="158">
        <v>0.1062999963760376</v>
      </c>
      <c r="L61" s="158">
        <v>0.1062999963760376</v>
      </c>
      <c r="M61" s="158">
        <v>0.1062999963760376</v>
      </c>
      <c r="N61" s="158">
        <v>0.10620000213384628</v>
      </c>
      <c r="O61" s="158">
        <v>0.10610000044107437</v>
      </c>
      <c r="P61" s="158">
        <v>0.10599999874830246</v>
      </c>
      <c r="Q61" s="158">
        <v>0.10599999874830246</v>
      </c>
      <c r="R61" s="158">
        <v>0.10599999874830246</v>
      </c>
      <c r="S61" s="158">
        <v>0.10580000281333923</v>
      </c>
      <c r="T61" s="158">
        <v>0.10580000281333923</v>
      </c>
      <c r="U61" s="158">
        <v>0.10580000281333923</v>
      </c>
      <c r="V61" s="158">
        <f t="shared" si="1"/>
        <v>0.10575000196695328</v>
      </c>
      <c r="W61" s="158">
        <v>0.10570000112056732</v>
      </c>
      <c r="X61" s="158">
        <v>0.10559999942779541</v>
      </c>
      <c r="Y61" s="158">
        <v>0.10559999942779541</v>
      </c>
      <c r="Z61" s="158">
        <v>0.10559999942779541</v>
      </c>
      <c r="AA61" s="158">
        <v>0.10540000349283218</v>
      </c>
      <c r="AB61" s="158">
        <v>0.10540000349283218</v>
      </c>
      <c r="AC61" s="158">
        <v>0.10540000349283218</v>
      </c>
      <c r="AD61" s="158">
        <v>0.10540000349283218</v>
      </c>
      <c r="AE61" s="158">
        <v>0.10530000180006027</v>
      </c>
      <c r="AF61" s="158">
        <v>0.10530000180006027</v>
      </c>
    </row>
    <row r="62" spans="1:32" x14ac:dyDescent="0.2">
      <c r="A62" s="158" t="s">
        <v>213</v>
      </c>
      <c r="B62" s="158">
        <v>0.10570000112056732</v>
      </c>
      <c r="C62" s="158">
        <v>0.1054999977350235</v>
      </c>
      <c r="D62" s="158">
        <v>0.1054999977350235</v>
      </c>
      <c r="E62" s="158">
        <v>0.1054999977350235</v>
      </c>
      <c r="F62" s="158">
        <v>0.10540000349283218</v>
      </c>
      <c r="G62" s="158">
        <v>0.10530000180006027</v>
      </c>
      <c r="H62" s="158">
        <v>0.10520000010728836</v>
      </c>
      <c r="I62" s="158">
        <v>0.10520000010728836</v>
      </c>
      <c r="J62" s="158">
        <v>0.10499999672174454</v>
      </c>
      <c r="K62" s="158">
        <v>0.10499999672174454</v>
      </c>
      <c r="L62" s="158">
        <v>0.10499999672174454</v>
      </c>
      <c r="M62" s="158">
        <v>0.10490000247955322</v>
      </c>
      <c r="N62" s="158">
        <v>0.10490000247955322</v>
      </c>
      <c r="O62" s="158">
        <v>0.10480000078678131</v>
      </c>
      <c r="P62" s="158">
        <v>0.10459999740123749</v>
      </c>
      <c r="Q62" s="158">
        <v>0.10459999740123749</v>
      </c>
      <c r="R62" s="158">
        <v>0.10459999740123749</v>
      </c>
      <c r="S62" s="158">
        <v>0.10440000146627426</v>
      </c>
      <c r="T62" s="158">
        <v>0.10450000315904617</v>
      </c>
      <c r="U62" s="158">
        <v>0.10450000315904617</v>
      </c>
      <c r="V62" s="158">
        <f t="shared" si="1"/>
        <v>0.10445000231266022</v>
      </c>
      <c r="W62" s="158">
        <v>0.10440000146627426</v>
      </c>
      <c r="X62" s="158">
        <v>0.10440000146627426</v>
      </c>
      <c r="Y62" s="158">
        <v>0.10429999977350235</v>
      </c>
      <c r="Z62" s="158">
        <v>0.10419999808073044</v>
      </c>
      <c r="AA62" s="158">
        <v>0.10419999808073044</v>
      </c>
      <c r="AB62" s="158">
        <v>0.10419999808073044</v>
      </c>
      <c r="AC62" s="158">
        <v>0.10440000146627426</v>
      </c>
      <c r="AD62" s="158">
        <v>0.10409999638795853</v>
      </c>
      <c r="AE62" s="158">
        <v>0.10400000214576721</v>
      </c>
      <c r="AF62" s="158">
        <v>0.10400000214576721</v>
      </c>
    </row>
    <row r="63" spans="1:32" x14ac:dyDescent="0.2">
      <c r="A63" s="158" t="s">
        <v>214</v>
      </c>
      <c r="B63" s="158">
        <v>0.10689999908208847</v>
      </c>
      <c r="C63" s="158">
        <v>0.10679999738931656</v>
      </c>
      <c r="D63" s="158">
        <v>0.10679999738931656</v>
      </c>
      <c r="E63" s="158">
        <v>0.10679999738931656</v>
      </c>
      <c r="F63" s="158">
        <v>0.10670000314712524</v>
      </c>
      <c r="G63" s="158">
        <v>0.10660000145435333</v>
      </c>
      <c r="H63" s="158">
        <v>0.10649999976158142</v>
      </c>
      <c r="I63" s="158">
        <v>0.1062999963760376</v>
      </c>
      <c r="J63" s="158">
        <v>0.1062999963760376</v>
      </c>
      <c r="K63" s="158">
        <v>0.10620000213384628</v>
      </c>
      <c r="L63" s="158">
        <v>0.1062999963760376</v>
      </c>
      <c r="M63" s="158">
        <v>0.10620000213384628</v>
      </c>
      <c r="N63" s="158">
        <v>0.10610000044107437</v>
      </c>
      <c r="O63" s="158">
        <v>0.10610000044107437</v>
      </c>
      <c r="P63" s="158">
        <v>0.10580000281333923</v>
      </c>
      <c r="Q63" s="158">
        <v>0.10589999705553055</v>
      </c>
      <c r="R63" s="158">
        <v>0.10580000281333923</v>
      </c>
      <c r="S63" s="158">
        <v>0.10570000112056732</v>
      </c>
      <c r="T63" s="158">
        <v>0.10570000112056732</v>
      </c>
      <c r="U63" s="158">
        <v>0.10570000112056732</v>
      </c>
      <c r="V63" s="158">
        <f t="shared" si="1"/>
        <v>0.10565000027418137</v>
      </c>
      <c r="W63" s="158">
        <v>0.10559999942779541</v>
      </c>
      <c r="X63" s="158">
        <v>0.1054999977350235</v>
      </c>
      <c r="Y63" s="158">
        <v>0.1054999977350235</v>
      </c>
      <c r="Z63" s="158">
        <v>0.10540000349283218</v>
      </c>
      <c r="AA63" s="158">
        <v>0.10540000349283218</v>
      </c>
      <c r="AB63" s="158">
        <v>0.10540000349283218</v>
      </c>
      <c r="AC63" s="158">
        <v>0.10540000349283218</v>
      </c>
      <c r="AD63" s="158">
        <v>0.10530000180006027</v>
      </c>
      <c r="AE63" s="158">
        <v>0.10520000010728836</v>
      </c>
      <c r="AF63" s="158">
        <v>0.10530000180006027</v>
      </c>
    </row>
    <row r="64" spans="1:32" x14ac:dyDescent="0.2">
      <c r="A64" s="158" t="s">
        <v>215</v>
      </c>
      <c r="B64" s="158">
        <v>0.10819999873638153</v>
      </c>
      <c r="C64" s="158">
        <v>0.10790000110864639</v>
      </c>
      <c r="D64" s="158">
        <v>0.10779999941587448</v>
      </c>
      <c r="E64" s="158">
        <v>0.1080000028014183</v>
      </c>
      <c r="F64" s="158">
        <v>0.10760000348091125</v>
      </c>
      <c r="G64" s="158">
        <v>0.10750000178813934</v>
      </c>
      <c r="H64" s="158">
        <v>0.10740000009536743</v>
      </c>
      <c r="I64" s="158">
        <v>0.10719999670982361</v>
      </c>
      <c r="J64" s="158">
        <v>0.10719999670982361</v>
      </c>
      <c r="K64" s="158">
        <v>0.10710000246763229</v>
      </c>
      <c r="L64" s="158">
        <v>0.10719999670982361</v>
      </c>
      <c r="M64" s="158">
        <v>0.10700000077486038</v>
      </c>
      <c r="N64" s="158">
        <v>0.10700000077486038</v>
      </c>
      <c r="O64" s="158">
        <v>0.10700000077486038</v>
      </c>
      <c r="P64" s="158">
        <v>0.10679999738931656</v>
      </c>
      <c r="Q64" s="158">
        <v>0.10679999738931656</v>
      </c>
      <c r="R64" s="158">
        <v>0.10670000314712524</v>
      </c>
      <c r="S64" s="158">
        <v>0.10660000145435333</v>
      </c>
      <c r="T64" s="158">
        <v>0.10660000145435333</v>
      </c>
      <c r="U64" s="158">
        <v>0.10660000145435333</v>
      </c>
      <c r="V64" s="158">
        <f t="shared" si="1"/>
        <v>0.10655000060796738</v>
      </c>
      <c r="W64" s="158">
        <v>0.10649999976158142</v>
      </c>
      <c r="X64" s="158">
        <v>0.10649999976158142</v>
      </c>
      <c r="Y64" s="158">
        <v>0.1062999963760376</v>
      </c>
      <c r="Z64" s="158">
        <v>0.1062999963760376</v>
      </c>
      <c r="AA64" s="158">
        <v>0.1062999963760376</v>
      </c>
      <c r="AB64" s="158">
        <v>0.1062999963760376</v>
      </c>
      <c r="AC64" s="158">
        <v>0.1062999963760376</v>
      </c>
      <c r="AD64" s="158">
        <v>0.10620000213384628</v>
      </c>
      <c r="AE64" s="158">
        <v>0.10610000044107437</v>
      </c>
      <c r="AF64" s="158">
        <v>0.10610000044107437</v>
      </c>
    </row>
    <row r="65" spans="1:32" x14ac:dyDescent="0.2">
      <c r="A65" s="158" t="s">
        <v>216</v>
      </c>
      <c r="B65" s="158">
        <v>0.10639999806880951</v>
      </c>
      <c r="C65" s="158">
        <v>0.10599999874830246</v>
      </c>
      <c r="D65" s="158">
        <v>0.10589999705553055</v>
      </c>
      <c r="E65" s="158">
        <v>0.10840000212192535</v>
      </c>
      <c r="F65" s="158">
        <v>0.10869999974966049</v>
      </c>
      <c r="G65" s="158">
        <v>0.10819999873638153</v>
      </c>
      <c r="H65" s="158">
        <v>0.10819999873638153</v>
      </c>
      <c r="I65" s="158">
        <v>0.1080000028014183</v>
      </c>
      <c r="J65" s="158">
        <v>0.10779999941587448</v>
      </c>
      <c r="K65" s="158">
        <v>0.1080000028014183</v>
      </c>
      <c r="L65" s="158">
        <v>0.10830000042915344</v>
      </c>
      <c r="M65" s="158">
        <v>0.1080000028014183</v>
      </c>
      <c r="N65" s="158">
        <v>0.10809999704360962</v>
      </c>
      <c r="O65" s="158">
        <v>0.10779999941587448</v>
      </c>
      <c r="P65" s="158">
        <v>0.10740000009536743</v>
      </c>
      <c r="Q65" s="158">
        <v>0.10760000348091125</v>
      </c>
      <c r="R65" s="158">
        <v>0.10760000348091125</v>
      </c>
      <c r="S65" s="158">
        <v>0.1080000028014183</v>
      </c>
      <c r="T65" s="158">
        <v>0.10750000178813934</v>
      </c>
      <c r="U65" s="158">
        <v>0.10750000178813934</v>
      </c>
      <c r="V65" s="158">
        <f t="shared" si="1"/>
        <v>0.1075500026345253</v>
      </c>
      <c r="W65" s="158">
        <v>0.10760000348091125</v>
      </c>
      <c r="X65" s="158">
        <v>0.10779999941587448</v>
      </c>
      <c r="Y65" s="158">
        <v>0.10740000009536743</v>
      </c>
      <c r="Z65" s="158">
        <v>0.10750000178813934</v>
      </c>
      <c r="AA65" s="158">
        <v>0.10920000076293945</v>
      </c>
      <c r="AB65" s="158">
        <v>0.10830000042915344</v>
      </c>
      <c r="AC65" s="158">
        <v>0.10909999907016754</v>
      </c>
      <c r="AD65" s="158">
        <v>0.10819999873638153</v>
      </c>
      <c r="AE65" s="158">
        <v>0.10740000009536743</v>
      </c>
      <c r="AF65" s="158">
        <v>0.10849999636411667</v>
      </c>
    </row>
    <row r="66" spans="1:32" x14ac:dyDescent="0.2">
      <c r="A66" s="158" t="s">
        <v>217</v>
      </c>
      <c r="B66" s="158">
        <v>0.10580000281333923</v>
      </c>
      <c r="C66" s="158">
        <v>0.10570000112056732</v>
      </c>
      <c r="D66" s="158">
        <v>0.10570000112056732</v>
      </c>
      <c r="E66" s="158">
        <v>0.10580000281333923</v>
      </c>
      <c r="F66" s="158">
        <v>0.1054999977350235</v>
      </c>
      <c r="G66" s="158">
        <v>0.10559999942779541</v>
      </c>
      <c r="H66" s="158">
        <v>0.10540000349283218</v>
      </c>
      <c r="I66" s="158">
        <v>0.10530000180006027</v>
      </c>
      <c r="J66" s="158">
        <v>0.10520000010728836</v>
      </c>
      <c r="K66" s="158">
        <v>0.10520000010728836</v>
      </c>
      <c r="L66" s="158">
        <v>0.10520000010728836</v>
      </c>
      <c r="M66" s="158">
        <v>0.10509999841451645</v>
      </c>
      <c r="N66" s="158">
        <v>0.10509999841451645</v>
      </c>
      <c r="O66" s="158">
        <v>0.10499999672174454</v>
      </c>
      <c r="P66" s="158">
        <v>0.10480000078678131</v>
      </c>
      <c r="Q66" s="158">
        <v>0.10480000078678131</v>
      </c>
      <c r="R66" s="158">
        <v>0.10480000078678131</v>
      </c>
      <c r="S66" s="158">
        <v>0.1046999990940094</v>
      </c>
      <c r="T66" s="158">
        <v>0.1046999990940094</v>
      </c>
      <c r="U66" s="158">
        <v>0.1046999990940094</v>
      </c>
      <c r="V66" s="158">
        <f t="shared" si="1"/>
        <v>0.10464999824762344</v>
      </c>
      <c r="W66" s="158">
        <v>0.10459999740123749</v>
      </c>
      <c r="X66" s="158">
        <v>0.10459999740123749</v>
      </c>
      <c r="Y66" s="158">
        <v>0.10450000315904617</v>
      </c>
      <c r="Z66" s="158">
        <v>0.10450000315904617</v>
      </c>
      <c r="AA66" s="158">
        <v>0.10429999977350235</v>
      </c>
      <c r="AB66" s="158">
        <v>0.10429999977350235</v>
      </c>
      <c r="AC66" s="158">
        <v>0.10429999977350235</v>
      </c>
      <c r="AD66" s="158">
        <v>0.10429999977350235</v>
      </c>
      <c r="AE66" s="158">
        <v>0.10419999808073044</v>
      </c>
      <c r="AF66" s="158">
        <v>0.10419999808073044</v>
      </c>
    </row>
    <row r="67" spans="1:32" x14ac:dyDescent="0.2">
      <c r="A67" s="158" t="s">
        <v>218</v>
      </c>
      <c r="B67" s="158">
        <v>0.10999999940395355</v>
      </c>
      <c r="C67" s="158">
        <v>0.10859999805688858</v>
      </c>
      <c r="D67" s="158">
        <v>0.1088000014424324</v>
      </c>
      <c r="E67" s="158">
        <v>0.10869999974966049</v>
      </c>
      <c r="F67" s="158">
        <v>0.10859999805688858</v>
      </c>
      <c r="G67" s="158">
        <v>0.10890000313520432</v>
      </c>
      <c r="H67" s="158">
        <v>0.10849999636411667</v>
      </c>
      <c r="I67" s="158">
        <v>0.10830000042915344</v>
      </c>
      <c r="J67" s="158">
        <v>0.10840000212192535</v>
      </c>
      <c r="K67" s="158">
        <v>0.10809999704360962</v>
      </c>
      <c r="L67" s="158">
        <v>0.10869999974966049</v>
      </c>
      <c r="M67" s="158">
        <v>0.10849999636411667</v>
      </c>
      <c r="N67" s="158">
        <v>0.10859999805688858</v>
      </c>
      <c r="O67" s="158">
        <v>0.10849999636411667</v>
      </c>
      <c r="P67" s="158">
        <v>0.1080000028014183</v>
      </c>
      <c r="Q67" s="158">
        <v>0.10769999772310257</v>
      </c>
      <c r="R67" s="158">
        <v>0.10769999772310257</v>
      </c>
      <c r="S67" s="158">
        <v>0.1080000028014183</v>
      </c>
      <c r="T67" s="158">
        <v>0.10769999772310257</v>
      </c>
      <c r="U67" s="158">
        <v>0.10809999704360962</v>
      </c>
      <c r="V67" s="158">
        <f t="shared" si="1"/>
        <v>0.10794999822974205</v>
      </c>
      <c r="W67" s="158">
        <v>0.10779999941587448</v>
      </c>
      <c r="X67" s="158">
        <v>0.10740000009536743</v>
      </c>
      <c r="Y67" s="158">
        <v>0.10750000178813934</v>
      </c>
      <c r="Z67" s="158">
        <v>0.10750000178813934</v>
      </c>
      <c r="AA67" s="158">
        <v>0.10620000213384628</v>
      </c>
      <c r="AB67" s="158">
        <v>0.10670000314712524</v>
      </c>
      <c r="AC67" s="158">
        <v>0.10620000213384628</v>
      </c>
      <c r="AD67" s="158">
        <v>0.10700000077486038</v>
      </c>
      <c r="AE67" s="158">
        <v>0.10679999738931656</v>
      </c>
      <c r="AF67" s="158">
        <v>0.10639999806880951</v>
      </c>
    </row>
    <row r="68" spans="1:32" x14ac:dyDescent="0.2">
      <c r="A68" s="158" t="s">
        <v>219</v>
      </c>
      <c r="B68" s="158">
        <v>0.10649999976158142</v>
      </c>
      <c r="C68" s="158">
        <v>0.10620000213384628</v>
      </c>
      <c r="D68" s="158">
        <v>0.10610000044107437</v>
      </c>
      <c r="E68" s="158">
        <v>0.10639999806880951</v>
      </c>
      <c r="F68" s="158">
        <v>0.10620000213384628</v>
      </c>
      <c r="G68" s="158">
        <v>0.10620000213384628</v>
      </c>
      <c r="H68" s="158">
        <v>0.10610000044107437</v>
      </c>
      <c r="I68" s="158">
        <v>0.10589999705553055</v>
      </c>
      <c r="J68" s="158">
        <v>0.10610000044107437</v>
      </c>
      <c r="K68" s="158">
        <v>0.10589999705553055</v>
      </c>
      <c r="L68" s="158">
        <v>0.10589999705553055</v>
      </c>
      <c r="M68" s="158">
        <v>0.10570000112056732</v>
      </c>
      <c r="N68" s="158">
        <v>0.10570000112056732</v>
      </c>
      <c r="O68" s="158">
        <v>0.10559999942779541</v>
      </c>
      <c r="P68" s="158">
        <v>0.10540000349283218</v>
      </c>
      <c r="Q68" s="158">
        <v>0.10540000349283218</v>
      </c>
      <c r="R68" s="158">
        <v>0.10540000349283218</v>
      </c>
      <c r="S68" s="158">
        <v>0.10530000180006027</v>
      </c>
      <c r="T68" s="158">
        <v>0.10530000180006027</v>
      </c>
      <c r="U68" s="158">
        <v>0.10530000180006027</v>
      </c>
      <c r="V68" s="158">
        <f t="shared" si="1"/>
        <v>0.10525000095367432</v>
      </c>
      <c r="W68" s="158">
        <v>0.10520000010728836</v>
      </c>
      <c r="X68" s="158">
        <v>0.10509999841451645</v>
      </c>
      <c r="Y68" s="158">
        <v>0.10499999672174454</v>
      </c>
      <c r="Z68" s="158">
        <v>0.10520000010728836</v>
      </c>
      <c r="AA68" s="158">
        <v>0.10490000247955322</v>
      </c>
      <c r="AB68" s="158">
        <v>0.10490000247955322</v>
      </c>
      <c r="AC68" s="158">
        <v>0.10490000247955322</v>
      </c>
      <c r="AD68" s="158">
        <v>0.10480000078678131</v>
      </c>
      <c r="AE68" s="158">
        <v>0.10499999672174454</v>
      </c>
      <c r="AF68" s="158">
        <v>0.10480000078678131</v>
      </c>
    </row>
    <row r="69" spans="1:32" x14ac:dyDescent="0.2">
      <c r="A69" s="158" t="s">
        <v>220</v>
      </c>
      <c r="B69" s="158">
        <v>0.10679999738931656</v>
      </c>
      <c r="C69" s="158">
        <v>0.10660000145435333</v>
      </c>
      <c r="D69" s="158">
        <v>0.10649999976158142</v>
      </c>
      <c r="E69" s="158">
        <v>0.10649999976158142</v>
      </c>
      <c r="F69" s="158">
        <v>0.1062999963760376</v>
      </c>
      <c r="G69" s="158">
        <v>0.10620000213384628</v>
      </c>
      <c r="H69" s="158">
        <v>0.10610000044107437</v>
      </c>
      <c r="I69" s="158">
        <v>0.10599999874830246</v>
      </c>
      <c r="J69" s="158">
        <v>0.10589999705553055</v>
      </c>
      <c r="K69" s="158">
        <v>0.10589999705553055</v>
      </c>
      <c r="L69" s="158">
        <v>0.10589999705553055</v>
      </c>
      <c r="M69" s="158">
        <v>0.10580000281333923</v>
      </c>
      <c r="N69" s="158">
        <v>0.10570000112056732</v>
      </c>
      <c r="O69" s="158">
        <v>0.10559999942779541</v>
      </c>
      <c r="P69" s="158">
        <v>0.10540000349283218</v>
      </c>
      <c r="Q69" s="158">
        <v>0.10540000349283218</v>
      </c>
      <c r="R69" s="158">
        <v>0.10530000180006027</v>
      </c>
      <c r="S69" s="158">
        <v>0.10520000010728836</v>
      </c>
      <c r="T69" s="158">
        <v>0.10520000010728836</v>
      </c>
      <c r="U69" s="158">
        <v>0.10520000010728836</v>
      </c>
      <c r="V69" s="158">
        <f t="shared" si="1"/>
        <v>0.10509999841451645</v>
      </c>
      <c r="W69" s="158">
        <v>0.10499999672174454</v>
      </c>
      <c r="X69" s="158">
        <v>0.10499999672174454</v>
      </c>
      <c r="Y69" s="158">
        <v>0.10480000078678131</v>
      </c>
      <c r="Z69" s="158">
        <v>0.10480000078678131</v>
      </c>
      <c r="AA69" s="158">
        <v>0.10459999740123749</v>
      </c>
      <c r="AB69" s="158">
        <v>0.10459999740123749</v>
      </c>
      <c r="AC69" s="158">
        <v>0.10459999740123749</v>
      </c>
      <c r="AD69" s="158">
        <v>0.10450000315904617</v>
      </c>
      <c r="AE69" s="158">
        <v>0.10440000146627426</v>
      </c>
      <c r="AF69" s="158">
        <v>0.10440000146627426</v>
      </c>
    </row>
    <row r="70" spans="1:32" x14ac:dyDescent="0.2">
      <c r="A70" s="158" t="s">
        <v>221</v>
      </c>
      <c r="B70" s="158">
        <v>0.10620000213384628</v>
      </c>
      <c r="C70" s="158">
        <v>0.10610000044107437</v>
      </c>
      <c r="D70" s="158">
        <v>0.10599999874830246</v>
      </c>
      <c r="E70" s="158">
        <v>0.10610000044107437</v>
      </c>
      <c r="F70" s="158">
        <v>0.10589999705553055</v>
      </c>
      <c r="G70" s="158">
        <v>0.10599999874830246</v>
      </c>
      <c r="H70" s="158">
        <v>0.10589999705553055</v>
      </c>
      <c r="I70" s="158">
        <v>0.10580000281333923</v>
      </c>
      <c r="J70" s="158">
        <v>0.10570000112056732</v>
      </c>
      <c r="K70" s="158">
        <v>0.10570000112056732</v>
      </c>
      <c r="L70" s="158">
        <v>0.10580000281333923</v>
      </c>
      <c r="M70" s="158">
        <v>0.10570000112056732</v>
      </c>
      <c r="N70" s="158">
        <v>0.10559999942779541</v>
      </c>
      <c r="O70" s="158">
        <v>0.10540000349283218</v>
      </c>
      <c r="P70" s="158">
        <v>0.10530000180006027</v>
      </c>
      <c r="Q70" s="158">
        <v>0.10530000180006027</v>
      </c>
      <c r="R70" s="158">
        <v>0.10520000010728836</v>
      </c>
      <c r="S70" s="158">
        <v>0.10530000180006027</v>
      </c>
      <c r="T70" s="158">
        <v>0.10530000180006027</v>
      </c>
      <c r="U70" s="158">
        <v>0.10540000349283218</v>
      </c>
      <c r="V70" s="158">
        <f t="shared" si="1"/>
        <v>0.10530000180006027</v>
      </c>
      <c r="W70" s="158">
        <v>0.10520000010728836</v>
      </c>
      <c r="X70" s="158">
        <v>0.10520000010728836</v>
      </c>
      <c r="Y70" s="158">
        <v>0.10499999672174454</v>
      </c>
      <c r="Z70" s="158">
        <v>0.10490000247955322</v>
      </c>
      <c r="AA70" s="158">
        <v>0.10490000247955322</v>
      </c>
      <c r="AB70" s="158">
        <v>0.10480000078678131</v>
      </c>
      <c r="AC70" s="158">
        <v>0.1046999990940094</v>
      </c>
      <c r="AD70" s="158">
        <v>0.10480000078678131</v>
      </c>
      <c r="AE70" s="158">
        <v>0.1046999990940094</v>
      </c>
      <c r="AF70" s="158">
        <v>0.10480000078678131</v>
      </c>
    </row>
    <row r="71" spans="1:32" x14ac:dyDescent="0.2">
      <c r="A71" s="158" t="s">
        <v>222</v>
      </c>
      <c r="B71" s="158">
        <v>0.10649999976158142</v>
      </c>
      <c r="C71" s="158">
        <v>0.10610000044107437</v>
      </c>
      <c r="D71" s="158">
        <v>0.10599999874830246</v>
      </c>
      <c r="E71" s="158">
        <v>0.10610000044107437</v>
      </c>
      <c r="F71" s="158">
        <v>0.10589999705553055</v>
      </c>
      <c r="G71" s="158">
        <v>0.10580000281333923</v>
      </c>
      <c r="H71" s="158">
        <v>0.10570000112056732</v>
      </c>
      <c r="I71" s="158">
        <v>0.10559999942779541</v>
      </c>
      <c r="J71" s="158">
        <v>0.1054999977350235</v>
      </c>
      <c r="K71" s="158">
        <v>0.1054999977350235</v>
      </c>
      <c r="L71" s="158">
        <v>0.1054999977350235</v>
      </c>
      <c r="M71" s="158">
        <v>0.10540000349283218</v>
      </c>
      <c r="N71" s="158">
        <v>0.10540000349283218</v>
      </c>
      <c r="O71" s="158">
        <v>0.10530000180006027</v>
      </c>
      <c r="P71" s="158">
        <v>0.10499999672174454</v>
      </c>
      <c r="Q71" s="158">
        <v>0.10499999672174454</v>
      </c>
      <c r="R71" s="158">
        <v>0.10499999672174454</v>
      </c>
      <c r="S71" s="158">
        <v>0.10490000247955322</v>
      </c>
      <c r="T71" s="158">
        <v>0.10490000247955322</v>
      </c>
      <c r="U71" s="158">
        <v>0.10490000247955322</v>
      </c>
      <c r="V71" s="158">
        <f t="shared" si="1"/>
        <v>0.10485000163316727</v>
      </c>
      <c r="W71" s="158">
        <v>0.10480000078678131</v>
      </c>
      <c r="X71" s="158">
        <v>0.10480000078678131</v>
      </c>
      <c r="Y71" s="158">
        <v>0.1046999990940094</v>
      </c>
      <c r="Z71" s="158">
        <v>0.10450000315904617</v>
      </c>
      <c r="AA71" s="158">
        <v>0.10450000315904617</v>
      </c>
      <c r="AB71" s="158">
        <v>0.10450000315904617</v>
      </c>
      <c r="AC71" s="158">
        <v>0.10440000146627426</v>
      </c>
      <c r="AD71" s="158">
        <v>0.10440000146627426</v>
      </c>
      <c r="AE71" s="158">
        <v>0.10440000146627426</v>
      </c>
      <c r="AF71" s="158">
        <v>0.10429999977350235</v>
      </c>
    </row>
    <row r="72" spans="1:32" x14ac:dyDescent="0.2">
      <c r="A72" s="158" t="s">
        <v>223</v>
      </c>
      <c r="B72" s="158">
        <v>0.10710000246763229</v>
      </c>
      <c r="C72" s="158">
        <v>0.10689999908208847</v>
      </c>
      <c r="D72" s="158">
        <v>0.10679999738931656</v>
      </c>
      <c r="E72" s="158">
        <v>0.10679999738931656</v>
      </c>
      <c r="F72" s="158">
        <v>0.10689999908208847</v>
      </c>
      <c r="G72" s="158">
        <v>0.10670000314712524</v>
      </c>
      <c r="H72" s="158">
        <v>0.10670000314712524</v>
      </c>
      <c r="I72" s="158">
        <v>0.10649999976158142</v>
      </c>
      <c r="J72" s="158">
        <v>0.10649999976158142</v>
      </c>
      <c r="K72" s="158">
        <v>0.10639999806880951</v>
      </c>
      <c r="L72" s="158">
        <v>0.10649999976158142</v>
      </c>
      <c r="M72" s="158">
        <v>0.10639999806880951</v>
      </c>
      <c r="N72" s="158">
        <v>0.1062999963760376</v>
      </c>
      <c r="O72" s="158">
        <v>0.10620000213384628</v>
      </c>
      <c r="P72" s="158">
        <v>0.10610000044107437</v>
      </c>
      <c r="Q72" s="158">
        <v>0.10599999874830246</v>
      </c>
      <c r="R72" s="158">
        <v>0.10599999874830246</v>
      </c>
      <c r="S72" s="158">
        <v>0.10610000044107437</v>
      </c>
      <c r="T72" s="158">
        <v>0.10610000044107437</v>
      </c>
      <c r="U72" s="158">
        <v>0.10610000044107437</v>
      </c>
      <c r="V72" s="158">
        <f t="shared" si="1"/>
        <v>0.10610000044107437</v>
      </c>
      <c r="W72" s="158">
        <v>0.10610000044107437</v>
      </c>
      <c r="X72" s="158">
        <v>0.10599999874830246</v>
      </c>
      <c r="Y72" s="158">
        <v>0.10589999705553055</v>
      </c>
      <c r="Z72" s="158">
        <v>0.10580000281333923</v>
      </c>
      <c r="AA72" s="158">
        <v>0.10589999705553055</v>
      </c>
      <c r="AB72" s="158">
        <v>0.10559999942779541</v>
      </c>
      <c r="AC72" s="158">
        <v>0.10559999942779541</v>
      </c>
      <c r="AD72" s="158">
        <v>0.10559999942779541</v>
      </c>
      <c r="AE72" s="158">
        <v>0.10559999942779541</v>
      </c>
      <c r="AF72" s="158">
        <v>0.10589999705553055</v>
      </c>
    </row>
    <row r="73" spans="1:32" x14ac:dyDescent="0.2">
      <c r="A73" s="158" t="s">
        <v>224</v>
      </c>
      <c r="B73" s="158">
        <v>0.10710000246763229</v>
      </c>
      <c r="C73" s="158">
        <v>0.10679999738931656</v>
      </c>
      <c r="D73" s="158">
        <v>0.10670000314712524</v>
      </c>
      <c r="E73" s="158">
        <v>0.10670000314712524</v>
      </c>
      <c r="F73" s="158">
        <v>0.10660000145435333</v>
      </c>
      <c r="G73" s="158">
        <v>0.10660000145435333</v>
      </c>
      <c r="H73" s="158">
        <v>0.10639999806880951</v>
      </c>
      <c r="I73" s="158">
        <v>0.1062999963760376</v>
      </c>
      <c r="J73" s="158">
        <v>0.10620000213384628</v>
      </c>
      <c r="K73" s="158">
        <v>0.10620000213384628</v>
      </c>
      <c r="L73" s="158">
        <v>0.10620000213384628</v>
      </c>
      <c r="M73" s="158">
        <v>0.10599999874830246</v>
      </c>
      <c r="N73" s="158">
        <v>0.10589999705553055</v>
      </c>
      <c r="O73" s="158">
        <v>0.10570000112056732</v>
      </c>
      <c r="P73" s="158">
        <v>0.1054999977350235</v>
      </c>
      <c r="Q73" s="158">
        <v>0.1054999977350235</v>
      </c>
      <c r="R73" s="158">
        <v>0.1054999977350235</v>
      </c>
      <c r="S73" s="158">
        <v>0.1054999977350235</v>
      </c>
      <c r="T73" s="158">
        <v>0.10559999942779541</v>
      </c>
      <c r="U73" s="158">
        <v>0.10570000112056732</v>
      </c>
      <c r="V73" s="158">
        <f t="shared" si="1"/>
        <v>0.10559999942779541</v>
      </c>
      <c r="W73" s="158">
        <v>0.1054999977350235</v>
      </c>
      <c r="X73" s="158">
        <v>0.10540000349283218</v>
      </c>
      <c r="Y73" s="158">
        <v>0.10520000010728836</v>
      </c>
      <c r="Z73" s="158">
        <v>0.10509999841451645</v>
      </c>
      <c r="AA73" s="158">
        <v>0.10490000247955322</v>
      </c>
      <c r="AB73" s="158">
        <v>0.10480000078678131</v>
      </c>
      <c r="AC73" s="158">
        <v>0.10480000078678131</v>
      </c>
      <c r="AD73" s="158">
        <v>0.10480000078678131</v>
      </c>
      <c r="AE73" s="158">
        <v>0.1046999990940094</v>
      </c>
      <c r="AF73" s="158">
        <v>0.10490000247955322</v>
      </c>
    </row>
    <row r="74" spans="1:32" x14ac:dyDescent="0.2">
      <c r="A74" s="158" t="s">
        <v>225</v>
      </c>
      <c r="B74" s="158">
        <v>0.10719999670982361</v>
      </c>
      <c r="C74" s="158">
        <v>0.10719999670982361</v>
      </c>
      <c r="D74" s="158">
        <v>0.10719999670982361</v>
      </c>
      <c r="E74" s="158">
        <v>0.10729999840259552</v>
      </c>
      <c r="F74" s="158">
        <v>0.10729999840259552</v>
      </c>
      <c r="G74" s="158">
        <v>0.10740000009536743</v>
      </c>
      <c r="H74" s="158">
        <v>0.10729999840259552</v>
      </c>
      <c r="I74" s="158">
        <v>0.10729999840259552</v>
      </c>
      <c r="J74" s="158">
        <v>0.10719999670982361</v>
      </c>
      <c r="K74" s="158">
        <v>0.10719999670982361</v>
      </c>
      <c r="L74" s="158">
        <v>0.10719999670982361</v>
      </c>
      <c r="M74" s="158">
        <v>0.10729999840259552</v>
      </c>
      <c r="N74" s="158">
        <v>0.10689999908208847</v>
      </c>
      <c r="O74" s="158">
        <v>0.10679999738931656</v>
      </c>
      <c r="P74" s="158">
        <v>0.10660000145435333</v>
      </c>
      <c r="Q74" s="158">
        <v>0.10660000145435333</v>
      </c>
      <c r="R74" s="158">
        <v>0.10660000145435333</v>
      </c>
      <c r="S74" s="158">
        <v>0.10670000314712524</v>
      </c>
      <c r="T74" s="158">
        <v>0.10679999738931656</v>
      </c>
      <c r="U74" s="158">
        <v>0.10689999908208847</v>
      </c>
      <c r="V74" s="158">
        <f t="shared" si="1"/>
        <v>0.10684999823570251</v>
      </c>
      <c r="W74" s="158">
        <v>0.10679999738931656</v>
      </c>
      <c r="X74" s="158">
        <v>0.10679999738931656</v>
      </c>
      <c r="Y74" s="158">
        <v>0.10649999976158142</v>
      </c>
      <c r="Z74" s="158">
        <v>0.1062999963760376</v>
      </c>
      <c r="AA74" s="158">
        <v>0.10620000213384628</v>
      </c>
      <c r="AB74" s="158">
        <v>0.10610000044107437</v>
      </c>
      <c r="AC74" s="158">
        <v>0.10610000044107437</v>
      </c>
      <c r="AD74" s="158">
        <v>0.10610000044107437</v>
      </c>
      <c r="AE74" s="158">
        <v>0.10610000044107437</v>
      </c>
      <c r="AF74" s="158">
        <v>0.10620000213384628</v>
      </c>
    </row>
    <row r="75" spans="1:32" x14ac:dyDescent="0.2">
      <c r="A75" s="158" t="s">
        <v>226</v>
      </c>
      <c r="B75" s="158">
        <v>0.10740000009536743</v>
      </c>
      <c r="C75" s="158">
        <v>0.10710000246763229</v>
      </c>
      <c r="D75" s="158">
        <v>0.10710000246763229</v>
      </c>
      <c r="E75" s="158">
        <v>0.10700000077486038</v>
      </c>
      <c r="F75" s="158">
        <v>0.10689999908208847</v>
      </c>
      <c r="G75" s="158">
        <v>0.10719999670982361</v>
      </c>
      <c r="H75" s="158">
        <v>0.10679999738931656</v>
      </c>
      <c r="I75" s="158">
        <v>0.10670000314712524</v>
      </c>
      <c r="J75" s="158">
        <v>0.10670000314712524</v>
      </c>
      <c r="K75" s="158">
        <v>0.10670000314712524</v>
      </c>
      <c r="L75" s="158">
        <v>0.10670000314712524</v>
      </c>
      <c r="M75" s="158">
        <v>0.10649999976158142</v>
      </c>
      <c r="N75" s="158">
        <v>0.10639999806880951</v>
      </c>
      <c r="O75" s="158">
        <v>0.10620000213384628</v>
      </c>
      <c r="P75" s="158">
        <v>0.10599999874830246</v>
      </c>
      <c r="Q75" s="158">
        <v>0.10599999874830246</v>
      </c>
      <c r="R75" s="158">
        <v>0.10599999874830246</v>
      </c>
      <c r="S75" s="158">
        <v>0.10599999874830246</v>
      </c>
      <c r="T75" s="158">
        <v>0.10610000044107437</v>
      </c>
      <c r="U75" s="158">
        <v>0.10620000213384628</v>
      </c>
      <c r="V75" s="158">
        <f t="shared" si="1"/>
        <v>0.10615000128746033</v>
      </c>
      <c r="W75" s="158">
        <v>0.10610000044107437</v>
      </c>
      <c r="X75" s="158">
        <v>0.10599999874830246</v>
      </c>
      <c r="Y75" s="158">
        <v>0.10570000112056732</v>
      </c>
      <c r="Z75" s="158">
        <v>0.1054999977350235</v>
      </c>
      <c r="AA75" s="158">
        <v>0.10540000349283218</v>
      </c>
      <c r="AB75" s="158">
        <v>0.10540000349283218</v>
      </c>
      <c r="AC75" s="158">
        <v>0.10530000180006027</v>
      </c>
      <c r="AD75" s="158">
        <v>0.10540000349283218</v>
      </c>
      <c r="AE75" s="158">
        <v>0.10530000180006027</v>
      </c>
      <c r="AF75" s="158">
        <v>0.1054999977350235</v>
      </c>
    </row>
    <row r="76" spans="1:32" x14ac:dyDescent="0.2">
      <c r="A76" s="158" t="s">
        <v>227</v>
      </c>
      <c r="B76" s="158">
        <v>0.10859999805688858</v>
      </c>
      <c r="C76" s="158">
        <v>0.10819999873638153</v>
      </c>
      <c r="D76" s="158">
        <v>0.10809999704360962</v>
      </c>
      <c r="E76" s="158">
        <v>0.10819999873638153</v>
      </c>
      <c r="F76" s="158">
        <v>0.10809999704360962</v>
      </c>
      <c r="G76" s="158">
        <v>0.10819999873638153</v>
      </c>
      <c r="H76" s="158">
        <v>0.10809999704360962</v>
      </c>
      <c r="I76" s="158">
        <v>0.1080000028014183</v>
      </c>
      <c r="J76" s="158">
        <v>0.1080000028014183</v>
      </c>
      <c r="K76" s="158">
        <v>0.1080000028014183</v>
      </c>
      <c r="L76" s="158">
        <v>0.1080000028014183</v>
      </c>
      <c r="M76" s="158">
        <v>0.10779999941587448</v>
      </c>
      <c r="N76" s="158">
        <v>0.10769999772310257</v>
      </c>
      <c r="O76" s="158">
        <v>0.10750000178813934</v>
      </c>
      <c r="P76" s="158">
        <v>0.10729999840259552</v>
      </c>
      <c r="Q76" s="158">
        <v>0.10760000348091125</v>
      </c>
      <c r="R76" s="158">
        <v>0.10729999840259552</v>
      </c>
      <c r="S76" s="158">
        <v>0.10760000348091125</v>
      </c>
      <c r="T76" s="158">
        <v>0.10760000348091125</v>
      </c>
      <c r="U76" s="158">
        <v>0.10769999772310257</v>
      </c>
      <c r="V76" s="158">
        <f t="shared" si="1"/>
        <v>0.10799999907612801</v>
      </c>
      <c r="W76" s="158">
        <v>0.10830000042915344</v>
      </c>
      <c r="X76" s="158">
        <v>0.10819999873638153</v>
      </c>
      <c r="Y76" s="158">
        <v>0.10939999669790268</v>
      </c>
      <c r="Z76" s="158">
        <v>0.10899999737739563</v>
      </c>
      <c r="AA76" s="158">
        <v>0.10920000076293945</v>
      </c>
      <c r="AB76" s="158">
        <v>0.10930000245571136</v>
      </c>
      <c r="AC76" s="158">
        <v>0.10890000313520432</v>
      </c>
      <c r="AD76" s="158">
        <v>0.10890000313520432</v>
      </c>
      <c r="AE76" s="158">
        <v>0.1088000014424324</v>
      </c>
      <c r="AF76" s="158">
        <v>0.10830000042915344</v>
      </c>
    </row>
    <row r="77" spans="1:32" x14ac:dyDescent="0.2">
      <c r="A77" s="158" t="s">
        <v>228</v>
      </c>
      <c r="B77" s="158">
        <v>0.10719999670982361</v>
      </c>
      <c r="C77" s="158">
        <v>0.10660000145435333</v>
      </c>
      <c r="D77" s="158">
        <v>0.10660000145435333</v>
      </c>
      <c r="E77" s="158">
        <v>0.10660000145435333</v>
      </c>
      <c r="F77" s="158">
        <v>0.10639999806880951</v>
      </c>
      <c r="G77" s="158">
        <v>0.10649999976158142</v>
      </c>
      <c r="H77" s="158">
        <v>0.10660000145435333</v>
      </c>
      <c r="I77" s="158">
        <v>0.10620000213384628</v>
      </c>
      <c r="J77" s="158">
        <v>0.10620000213384628</v>
      </c>
      <c r="K77" s="158">
        <v>0.10620000213384628</v>
      </c>
      <c r="L77" s="158">
        <v>0.10610000044107437</v>
      </c>
      <c r="M77" s="158">
        <v>0.10589999705553055</v>
      </c>
      <c r="N77" s="158">
        <v>0.10580000281333923</v>
      </c>
      <c r="O77" s="158">
        <v>0.1054999977350235</v>
      </c>
      <c r="P77" s="158">
        <v>0.10530000180006027</v>
      </c>
      <c r="Q77" s="158">
        <v>0.10530000180006027</v>
      </c>
      <c r="R77" s="158">
        <v>0.10530000180006027</v>
      </c>
      <c r="S77" s="158">
        <v>0.10540000349283218</v>
      </c>
      <c r="T77" s="158">
        <v>0.10570000112056732</v>
      </c>
      <c r="U77" s="158">
        <v>0.10570000112056732</v>
      </c>
      <c r="V77" s="158">
        <f t="shared" si="1"/>
        <v>0.10610000044107437</v>
      </c>
      <c r="W77" s="158">
        <v>0.10649999976158142</v>
      </c>
      <c r="X77" s="158">
        <v>0.10639999806880951</v>
      </c>
      <c r="Y77" s="158">
        <v>0.10620000213384628</v>
      </c>
      <c r="Z77" s="158">
        <v>0.10580000281333923</v>
      </c>
      <c r="AA77" s="158">
        <v>0.10570000112056732</v>
      </c>
      <c r="AB77" s="158">
        <v>0.10559999942779541</v>
      </c>
      <c r="AC77" s="158">
        <v>0.10540000349283218</v>
      </c>
      <c r="AD77" s="158">
        <v>0.1054999977350235</v>
      </c>
      <c r="AE77" s="158">
        <v>0.1054999977350235</v>
      </c>
      <c r="AF77" s="158">
        <v>0.10580000281333923</v>
      </c>
    </row>
    <row r="78" spans="1:32" x14ac:dyDescent="0.2">
      <c r="A78" s="158" t="s">
        <v>229</v>
      </c>
      <c r="B78" s="158">
        <v>0.10790000110864639</v>
      </c>
      <c r="C78" s="158">
        <v>0.10760000348091125</v>
      </c>
      <c r="D78" s="158">
        <v>0.10750000178813934</v>
      </c>
      <c r="E78" s="158">
        <v>0.10750000178813934</v>
      </c>
      <c r="F78" s="158">
        <v>0.10750000178813934</v>
      </c>
      <c r="G78" s="158">
        <v>0.10760000348091125</v>
      </c>
      <c r="H78" s="158">
        <v>0.10750000178813934</v>
      </c>
      <c r="I78" s="158">
        <v>0.10750000178813934</v>
      </c>
      <c r="J78" s="158">
        <v>0.10740000009536743</v>
      </c>
      <c r="K78" s="158">
        <v>0.10740000009536743</v>
      </c>
      <c r="L78" s="158">
        <v>0.10740000009536743</v>
      </c>
      <c r="M78" s="158">
        <v>0.10719999670982361</v>
      </c>
      <c r="N78" s="158">
        <v>0.10700000077486038</v>
      </c>
      <c r="O78" s="158">
        <v>0.10670000314712524</v>
      </c>
      <c r="P78" s="158">
        <v>0.10679999738931656</v>
      </c>
      <c r="Q78" s="158">
        <v>0.10649999976158142</v>
      </c>
      <c r="R78" s="158">
        <v>0.10660000145435333</v>
      </c>
      <c r="S78" s="158">
        <v>0.10679999738931656</v>
      </c>
      <c r="T78" s="158">
        <v>0.10700000077486038</v>
      </c>
      <c r="U78" s="158">
        <v>0.10710000246763229</v>
      </c>
      <c r="V78" s="158">
        <f t="shared" si="1"/>
        <v>0.10710000246763229</v>
      </c>
      <c r="W78" s="158">
        <v>0.10710000246763229</v>
      </c>
      <c r="X78" s="158">
        <v>0.10679999738931656</v>
      </c>
      <c r="Y78" s="158">
        <v>0.10660000145435333</v>
      </c>
      <c r="Z78" s="158">
        <v>0.1062999963760376</v>
      </c>
      <c r="AA78" s="158">
        <v>0.10620000213384628</v>
      </c>
      <c r="AB78" s="158">
        <v>0.10599999874830246</v>
      </c>
      <c r="AC78" s="158">
        <v>0.10589999705553055</v>
      </c>
      <c r="AD78" s="158">
        <v>0.10599999874830246</v>
      </c>
      <c r="AE78" s="158">
        <v>0.10599999874830246</v>
      </c>
      <c r="AF78" s="158">
        <v>0.10610000044107437</v>
      </c>
    </row>
    <row r="79" spans="1:32" x14ac:dyDescent="0.2">
      <c r="A79" s="158" t="s">
        <v>230</v>
      </c>
      <c r="B79" s="158">
        <v>0.10639999806880951</v>
      </c>
      <c r="C79" s="158">
        <v>0.10589999705553055</v>
      </c>
      <c r="D79" s="158">
        <v>0.10570000112056732</v>
      </c>
      <c r="E79" s="158">
        <v>0.10570000112056732</v>
      </c>
      <c r="F79" s="158">
        <v>0.1054999977350235</v>
      </c>
      <c r="G79" s="158">
        <v>0.10559999942779541</v>
      </c>
      <c r="H79" s="158">
        <v>0.10540000349283218</v>
      </c>
      <c r="I79" s="158">
        <v>0.10530000180006027</v>
      </c>
      <c r="J79" s="158">
        <v>0.10509999841451645</v>
      </c>
      <c r="K79" s="158">
        <v>0.10520000010728836</v>
      </c>
      <c r="L79" s="158">
        <v>0.10520000010728836</v>
      </c>
      <c r="M79" s="158">
        <v>0.10499999672174454</v>
      </c>
      <c r="N79" s="158">
        <v>0.10480000078678131</v>
      </c>
      <c r="O79" s="158">
        <v>0.10450000315904617</v>
      </c>
      <c r="P79" s="158">
        <v>0.10429999977350235</v>
      </c>
      <c r="Q79" s="158">
        <v>0.10429999977350235</v>
      </c>
      <c r="R79" s="158">
        <v>0.10429999977350235</v>
      </c>
      <c r="S79" s="158">
        <v>0.10440000146627426</v>
      </c>
      <c r="T79" s="158">
        <v>0.10459999740123749</v>
      </c>
      <c r="U79" s="158">
        <v>0.1046999990940094</v>
      </c>
      <c r="V79" s="158">
        <f t="shared" si="1"/>
        <v>0.10520000010728836</v>
      </c>
      <c r="W79" s="158">
        <v>0.10570000112056732</v>
      </c>
      <c r="X79" s="158">
        <v>0.10540000349283218</v>
      </c>
      <c r="Y79" s="158">
        <v>0.10509999841451645</v>
      </c>
      <c r="Z79" s="158">
        <v>0.10499999672174454</v>
      </c>
      <c r="AA79" s="158">
        <v>0.10480000078678131</v>
      </c>
      <c r="AB79" s="158">
        <v>0.1046999990940094</v>
      </c>
      <c r="AC79" s="158">
        <v>0.10459999740123749</v>
      </c>
      <c r="AD79" s="158">
        <v>0.10459999740123749</v>
      </c>
      <c r="AE79" s="158">
        <v>0.1046999990940094</v>
      </c>
      <c r="AF79" s="158">
        <v>0.10400000214576721</v>
      </c>
    </row>
    <row r="80" spans="1:32" x14ac:dyDescent="0.2">
      <c r="A80" s="158" t="s">
        <v>231</v>
      </c>
      <c r="B80" s="158">
        <v>0.10719999670982361</v>
      </c>
      <c r="C80" s="158">
        <v>0.10679999738931656</v>
      </c>
      <c r="D80" s="158">
        <v>0.10670000314712524</v>
      </c>
      <c r="E80" s="158">
        <v>0.10660000145435333</v>
      </c>
      <c r="F80" s="158">
        <v>0.10660000145435333</v>
      </c>
      <c r="G80" s="158">
        <v>0.10679999738931656</v>
      </c>
      <c r="H80" s="158">
        <v>0.10670000314712524</v>
      </c>
      <c r="I80" s="158">
        <v>0.10670000314712524</v>
      </c>
      <c r="J80" s="158">
        <v>0.10660000145435333</v>
      </c>
      <c r="K80" s="158">
        <v>0.10679999738931656</v>
      </c>
      <c r="L80" s="158">
        <v>0.10660000145435333</v>
      </c>
      <c r="M80" s="158">
        <v>0.10639999806880951</v>
      </c>
      <c r="N80" s="158">
        <v>0.10620000213384628</v>
      </c>
      <c r="O80" s="158">
        <v>0.10599999874830246</v>
      </c>
      <c r="P80" s="158">
        <v>0.10580000281333923</v>
      </c>
      <c r="Q80" s="158">
        <v>0.10580000281333923</v>
      </c>
      <c r="R80" s="158">
        <v>0.10580000281333923</v>
      </c>
      <c r="S80" s="158">
        <v>0.10599999874830246</v>
      </c>
      <c r="T80" s="158">
        <v>0.10620000213384628</v>
      </c>
      <c r="U80" s="158">
        <v>0.1062999963760376</v>
      </c>
      <c r="V80" s="158">
        <f t="shared" si="1"/>
        <v>0.1062999963760376</v>
      </c>
      <c r="W80" s="158">
        <v>0.1062999963760376</v>
      </c>
      <c r="X80" s="158">
        <v>0.10610000044107437</v>
      </c>
      <c r="Y80" s="158">
        <v>0.10580000281333923</v>
      </c>
      <c r="Z80" s="158">
        <v>0.10559999942779541</v>
      </c>
      <c r="AA80" s="158">
        <v>0.10540000349283218</v>
      </c>
      <c r="AB80" s="158">
        <v>0.10530000180006027</v>
      </c>
      <c r="AC80" s="158">
        <v>0.10520000010728836</v>
      </c>
      <c r="AD80" s="158">
        <v>0.10520000010728836</v>
      </c>
      <c r="AE80" s="158">
        <v>0.10530000180006027</v>
      </c>
      <c r="AF80" s="158">
        <v>0.10530000180006027</v>
      </c>
    </row>
    <row r="81" spans="1:32" x14ac:dyDescent="0.2">
      <c r="A81" s="158" t="s">
        <v>232</v>
      </c>
      <c r="B81" s="158">
        <v>0.10719999670982361</v>
      </c>
      <c r="C81" s="158">
        <v>0.10660000145435333</v>
      </c>
      <c r="D81" s="158">
        <v>0.1062999963760376</v>
      </c>
      <c r="E81" s="158">
        <v>0.1062999963760376</v>
      </c>
      <c r="F81" s="158">
        <v>0.10620000213384628</v>
      </c>
      <c r="G81" s="158">
        <v>0.1062999963760376</v>
      </c>
      <c r="H81" s="158">
        <v>0.10620000213384628</v>
      </c>
      <c r="I81" s="158">
        <v>0.10610000044107437</v>
      </c>
      <c r="J81" s="158">
        <v>0.10599999874830246</v>
      </c>
      <c r="K81" s="158">
        <v>0.10599999874830246</v>
      </c>
      <c r="L81" s="158">
        <v>0.10599999874830246</v>
      </c>
      <c r="M81" s="158">
        <v>0.10570000112056732</v>
      </c>
      <c r="N81" s="158">
        <v>0.1054999977350235</v>
      </c>
      <c r="O81" s="158">
        <v>0.10520000010728836</v>
      </c>
      <c r="P81" s="158">
        <v>0.10499999672174454</v>
      </c>
      <c r="Q81" s="158">
        <v>0.10499999672174454</v>
      </c>
      <c r="R81" s="158">
        <v>0.10499999672174454</v>
      </c>
      <c r="S81" s="158">
        <v>0.10520000010728836</v>
      </c>
      <c r="T81" s="158">
        <v>0.10540000349283218</v>
      </c>
      <c r="U81" s="158">
        <v>0.1054999977350235</v>
      </c>
      <c r="V81" s="158">
        <f t="shared" si="1"/>
        <v>0.10545000061392784</v>
      </c>
      <c r="W81" s="158">
        <v>0.10540000349283218</v>
      </c>
      <c r="X81" s="158">
        <v>0.10520000010728836</v>
      </c>
      <c r="Y81" s="158">
        <v>0.10490000247955322</v>
      </c>
      <c r="Z81" s="158">
        <v>0.10459999740123749</v>
      </c>
      <c r="AA81" s="158">
        <v>0.10440000146627426</v>
      </c>
      <c r="AB81" s="158">
        <v>0.10429999977350235</v>
      </c>
      <c r="AC81" s="158">
        <v>0.10419999808073044</v>
      </c>
      <c r="AD81" s="158">
        <v>0.10419999808073044</v>
      </c>
      <c r="AE81" s="158">
        <v>0.10419999808073044</v>
      </c>
      <c r="AF81" s="158">
        <v>0.10440000146627426</v>
      </c>
    </row>
    <row r="82" spans="1:32" x14ac:dyDescent="0.2">
      <c r="A82" s="158" t="s">
        <v>233</v>
      </c>
      <c r="B82" s="158">
        <v>0.10769999772310257</v>
      </c>
      <c r="C82" s="158">
        <v>0.10729999840259552</v>
      </c>
      <c r="D82" s="158">
        <v>0.10689999908208847</v>
      </c>
      <c r="E82" s="158">
        <v>0.10689999908208847</v>
      </c>
      <c r="F82" s="158">
        <v>0.10689999908208847</v>
      </c>
      <c r="G82" s="158">
        <v>0.10719999670982361</v>
      </c>
      <c r="H82" s="158">
        <v>0.10710000246763229</v>
      </c>
      <c r="I82" s="158">
        <v>0.10710000246763229</v>
      </c>
      <c r="J82" s="158">
        <v>0.10700000077486038</v>
      </c>
      <c r="K82" s="158">
        <v>0.10700000077486038</v>
      </c>
      <c r="L82" s="158">
        <v>0.10689999908208847</v>
      </c>
      <c r="M82" s="158">
        <v>0.10670000314712524</v>
      </c>
      <c r="N82" s="158">
        <v>0.10639999806880951</v>
      </c>
      <c r="O82" s="158">
        <v>0.10620000213384628</v>
      </c>
      <c r="P82" s="158">
        <v>0.10599999874830246</v>
      </c>
      <c r="Q82" s="158">
        <v>0.10589999705553055</v>
      </c>
      <c r="R82" s="158">
        <v>0.10599999874830246</v>
      </c>
      <c r="S82" s="158">
        <v>0.10620000213384628</v>
      </c>
      <c r="T82" s="158">
        <v>0.10670000314712524</v>
      </c>
      <c r="U82" s="158">
        <v>0.10660000145435333</v>
      </c>
      <c r="V82" s="158">
        <f t="shared" si="1"/>
        <v>0.10660000145435333</v>
      </c>
      <c r="W82" s="158">
        <v>0.10660000145435333</v>
      </c>
      <c r="X82" s="158">
        <v>0.1062999963760376</v>
      </c>
      <c r="Y82" s="158">
        <v>0.10620000213384628</v>
      </c>
      <c r="Z82" s="158">
        <v>0.10559999942779541</v>
      </c>
      <c r="AA82" s="158">
        <v>0.1054999977350235</v>
      </c>
      <c r="AB82" s="158">
        <v>0.10530000180006027</v>
      </c>
      <c r="AC82" s="158">
        <v>0.10509999841451645</v>
      </c>
      <c r="AD82" s="158">
        <v>0.10509999841451645</v>
      </c>
      <c r="AE82" s="158">
        <v>0.10520000010728836</v>
      </c>
      <c r="AF82" s="158">
        <v>0.10530000180006027</v>
      </c>
    </row>
    <row r="83" spans="1:32" x14ac:dyDescent="0.2">
      <c r="A83" s="158" t="s">
        <v>234</v>
      </c>
      <c r="B83" s="158">
        <v>0.10710000246763229</v>
      </c>
      <c r="C83" s="158">
        <v>0.10679999738931656</v>
      </c>
      <c r="D83" s="158">
        <v>0.10639999806880951</v>
      </c>
      <c r="E83" s="158">
        <v>0.10639999806880951</v>
      </c>
      <c r="F83" s="158">
        <v>0.1062999963760376</v>
      </c>
      <c r="G83" s="158">
        <v>0.10649999976158142</v>
      </c>
      <c r="H83" s="158">
        <v>0.10639999806880951</v>
      </c>
      <c r="I83" s="158">
        <v>0.1062999963760376</v>
      </c>
      <c r="J83" s="158">
        <v>0.10639999806880951</v>
      </c>
      <c r="K83" s="158">
        <v>0.10620000213384628</v>
      </c>
      <c r="L83" s="158">
        <v>0.10620000213384628</v>
      </c>
      <c r="M83" s="158">
        <v>0.10599999874830246</v>
      </c>
      <c r="N83" s="158">
        <v>0.10580000281333923</v>
      </c>
      <c r="O83" s="158">
        <v>0.1054999977350235</v>
      </c>
      <c r="P83" s="158">
        <v>0.10530000180006027</v>
      </c>
      <c r="Q83" s="158">
        <v>0.10530000180006027</v>
      </c>
      <c r="R83" s="158">
        <v>0.10540000349283218</v>
      </c>
      <c r="S83" s="158">
        <v>0.10559999942779541</v>
      </c>
      <c r="T83" s="158">
        <v>0.10580000281333923</v>
      </c>
      <c r="U83" s="158">
        <v>0.10589999705553055</v>
      </c>
      <c r="V83" s="158">
        <f t="shared" si="1"/>
        <v>0.10589999705553055</v>
      </c>
      <c r="W83" s="158">
        <v>0.10589999705553055</v>
      </c>
      <c r="X83" s="158">
        <v>0.10570000112056732</v>
      </c>
      <c r="Y83" s="158">
        <v>0.10530000180006027</v>
      </c>
      <c r="Z83" s="158">
        <v>0.10509999841451645</v>
      </c>
      <c r="AA83" s="158">
        <v>0.10520000010728836</v>
      </c>
      <c r="AB83" s="158">
        <v>0.10480000078678131</v>
      </c>
      <c r="AC83" s="158">
        <v>0.10459999740123749</v>
      </c>
      <c r="AD83" s="158">
        <v>0.1046999990940094</v>
      </c>
      <c r="AE83" s="158">
        <v>0.1046999990940094</v>
      </c>
      <c r="AF83" s="158">
        <v>0.10509999841451645</v>
      </c>
    </row>
    <row r="84" spans="1:32" x14ac:dyDescent="0.2">
      <c r="A84" s="158" t="s">
        <v>235</v>
      </c>
      <c r="B84" s="158">
        <v>0.10719999670982361</v>
      </c>
      <c r="C84" s="158">
        <v>0.10679999738931656</v>
      </c>
      <c r="D84" s="158">
        <v>0.10670000314712524</v>
      </c>
      <c r="E84" s="158">
        <v>0.10649999976158142</v>
      </c>
      <c r="F84" s="158">
        <v>0.10639999806880951</v>
      </c>
      <c r="G84" s="158">
        <v>0.10670000314712524</v>
      </c>
      <c r="H84" s="158">
        <v>0.10660000145435333</v>
      </c>
      <c r="I84" s="158">
        <v>0.10639999806880951</v>
      </c>
      <c r="J84" s="158">
        <v>0.10639999806880951</v>
      </c>
      <c r="K84" s="158">
        <v>0.10639999806880951</v>
      </c>
      <c r="L84" s="158">
        <v>0.10639999806880951</v>
      </c>
      <c r="M84" s="158">
        <v>0.10610000044107437</v>
      </c>
      <c r="N84" s="158">
        <v>0.10580000281333923</v>
      </c>
      <c r="O84" s="158">
        <v>0.10559999942779541</v>
      </c>
      <c r="P84" s="158">
        <v>0.10540000349283218</v>
      </c>
      <c r="Q84" s="158">
        <v>0.10540000349283218</v>
      </c>
      <c r="R84" s="158">
        <v>0.1054999977350235</v>
      </c>
      <c r="S84" s="158">
        <v>0.10559999942779541</v>
      </c>
      <c r="T84" s="158">
        <v>0.10589999705553055</v>
      </c>
      <c r="U84" s="158">
        <v>0.10599999874830246</v>
      </c>
      <c r="V84" s="158">
        <f t="shared" si="1"/>
        <v>0.10604999959468842</v>
      </c>
      <c r="W84" s="158">
        <v>0.10610000044107437</v>
      </c>
      <c r="X84" s="158">
        <v>0.10580000281333923</v>
      </c>
      <c r="Y84" s="158">
        <v>0.1054999977350235</v>
      </c>
      <c r="Z84" s="158">
        <v>0.10520000010728836</v>
      </c>
      <c r="AA84" s="158">
        <v>0.10499999672174454</v>
      </c>
      <c r="AB84" s="158">
        <v>0.10490000247955322</v>
      </c>
      <c r="AC84" s="158">
        <v>0.1046999990940094</v>
      </c>
      <c r="AD84" s="158">
        <v>0.10480000078678131</v>
      </c>
      <c r="AE84" s="158">
        <v>0.10480000078678131</v>
      </c>
      <c r="AF84" s="158">
        <v>0.10499999672174454</v>
      </c>
    </row>
    <row r="85" spans="1:32" x14ac:dyDescent="0.2">
      <c r="A85" s="158" t="s">
        <v>236</v>
      </c>
      <c r="B85" s="158">
        <v>0.10639999806880951</v>
      </c>
      <c r="C85" s="158">
        <v>0.10599999874830246</v>
      </c>
      <c r="D85" s="158">
        <v>0.10580000281333923</v>
      </c>
      <c r="E85" s="158">
        <v>0.10580000281333923</v>
      </c>
      <c r="F85" s="158">
        <v>0.10610000044107437</v>
      </c>
      <c r="G85" s="158">
        <v>0.10620000213384628</v>
      </c>
      <c r="H85" s="158">
        <v>0.10610000044107437</v>
      </c>
      <c r="I85" s="158">
        <v>0.10599999874830246</v>
      </c>
      <c r="J85" s="158">
        <v>0.10580000281333923</v>
      </c>
      <c r="K85" s="158">
        <v>0.10580000281333923</v>
      </c>
      <c r="L85" s="158">
        <v>0.10580000281333923</v>
      </c>
      <c r="M85" s="158">
        <v>0.10559999942779541</v>
      </c>
      <c r="N85" s="158">
        <v>0.10530000180006027</v>
      </c>
      <c r="O85" s="158">
        <v>0.10490000247955322</v>
      </c>
      <c r="P85" s="158">
        <v>0.10490000247955322</v>
      </c>
      <c r="Q85" s="158">
        <v>0.10480000078678131</v>
      </c>
      <c r="R85" s="158">
        <v>0.10480000078678131</v>
      </c>
      <c r="S85" s="158">
        <v>0.10509999841451645</v>
      </c>
      <c r="T85" s="158">
        <v>0.10530000180006027</v>
      </c>
      <c r="U85" s="158">
        <v>0.10559999942779541</v>
      </c>
      <c r="V85" s="158">
        <f t="shared" si="1"/>
        <v>0.10619999840855598</v>
      </c>
      <c r="W85" s="158">
        <v>0.10679999738931656</v>
      </c>
      <c r="X85" s="158">
        <v>0.1062999963760376</v>
      </c>
      <c r="Y85" s="158">
        <v>0.10589999705553055</v>
      </c>
      <c r="Z85" s="158">
        <v>0.10580000281333923</v>
      </c>
      <c r="AA85" s="158">
        <v>0.10570000112056732</v>
      </c>
      <c r="AB85" s="158">
        <v>0.10540000349283218</v>
      </c>
      <c r="AC85" s="158">
        <v>0.1054999977350235</v>
      </c>
      <c r="AD85" s="158">
        <v>0.10520000010728836</v>
      </c>
      <c r="AE85" s="158">
        <v>0.10540000349283218</v>
      </c>
      <c r="AF85" s="158">
        <v>0.10480000078678131</v>
      </c>
    </row>
    <row r="86" spans="1:32" x14ac:dyDescent="0.2">
      <c r="A86" s="158" t="s">
        <v>237</v>
      </c>
      <c r="B86" s="158">
        <v>0.10670000314712524</v>
      </c>
      <c r="C86" s="158">
        <v>0.1062999963760376</v>
      </c>
      <c r="D86" s="158">
        <v>0.10620000213384628</v>
      </c>
      <c r="E86" s="158">
        <v>0.10610000044107437</v>
      </c>
      <c r="F86" s="158">
        <v>0.10599999874830246</v>
      </c>
      <c r="G86" s="158">
        <v>0.1062999963760376</v>
      </c>
      <c r="H86" s="158">
        <v>0.10620000213384628</v>
      </c>
      <c r="I86" s="158">
        <v>0.10610000044107437</v>
      </c>
      <c r="J86" s="158">
        <v>0.10649999976158142</v>
      </c>
      <c r="K86" s="158">
        <v>0.10599999874830246</v>
      </c>
      <c r="L86" s="158">
        <v>0.10610000044107437</v>
      </c>
      <c r="M86" s="158">
        <v>0.10589999705553055</v>
      </c>
      <c r="N86" s="158">
        <v>0.1054999977350235</v>
      </c>
      <c r="O86" s="158">
        <v>0.10520000010728836</v>
      </c>
      <c r="P86" s="158">
        <v>0.10499999672174454</v>
      </c>
      <c r="Q86" s="158">
        <v>0.10499999672174454</v>
      </c>
      <c r="R86" s="158">
        <v>0.10509999841451645</v>
      </c>
      <c r="S86" s="158">
        <v>0.10520000010728836</v>
      </c>
      <c r="T86" s="158">
        <v>0.1054999977350235</v>
      </c>
      <c r="U86" s="158">
        <v>0.10559999942779541</v>
      </c>
      <c r="V86" s="158">
        <f t="shared" si="1"/>
        <v>0.10559999942779541</v>
      </c>
      <c r="W86" s="158">
        <v>0.10559999942779541</v>
      </c>
      <c r="X86" s="158">
        <v>0.10540000349283218</v>
      </c>
      <c r="Y86" s="158">
        <v>0.10509999841451645</v>
      </c>
      <c r="Z86" s="158">
        <v>0.10480000078678131</v>
      </c>
      <c r="AA86" s="158">
        <v>0.10459999740123749</v>
      </c>
      <c r="AB86" s="158">
        <v>0.10440000146627426</v>
      </c>
      <c r="AC86" s="158">
        <v>0.10429999977350235</v>
      </c>
      <c r="AD86" s="158">
        <v>0.10429999977350235</v>
      </c>
      <c r="AE86" s="158">
        <v>0.10440000146627426</v>
      </c>
      <c r="AF86" s="158">
        <v>0.10459999740123749</v>
      </c>
    </row>
    <row r="87" spans="1:32" x14ac:dyDescent="0.2">
      <c r="A87" s="158" t="s">
        <v>238</v>
      </c>
      <c r="B87" s="158">
        <v>0.10679999738931656</v>
      </c>
      <c r="C87" s="158">
        <v>0.10649999976158142</v>
      </c>
      <c r="D87" s="158">
        <v>0.10639999806880951</v>
      </c>
      <c r="E87" s="158">
        <v>0.1062999963760376</v>
      </c>
      <c r="F87" s="158">
        <v>0.10620000213384628</v>
      </c>
      <c r="G87" s="158">
        <v>0.10639999806880951</v>
      </c>
      <c r="H87" s="158">
        <v>0.1062999963760376</v>
      </c>
      <c r="I87" s="158">
        <v>0.10620000213384628</v>
      </c>
      <c r="J87" s="158">
        <v>0.10610000044107437</v>
      </c>
      <c r="K87" s="158">
        <v>0.10610000044107437</v>
      </c>
      <c r="L87" s="158">
        <v>0.10610000044107437</v>
      </c>
      <c r="M87" s="158">
        <v>0.10580000281333923</v>
      </c>
      <c r="N87" s="158">
        <v>0.10559999942779541</v>
      </c>
      <c r="O87" s="158">
        <v>0.1054999977350235</v>
      </c>
      <c r="P87" s="158">
        <v>0.10509999841451645</v>
      </c>
      <c r="Q87" s="158">
        <v>0.10509999841451645</v>
      </c>
      <c r="R87" s="158">
        <v>0.10520000010728836</v>
      </c>
      <c r="S87" s="158">
        <v>0.10530000180006027</v>
      </c>
      <c r="T87" s="158">
        <v>0.10559999942779541</v>
      </c>
      <c r="U87" s="158">
        <v>0.10559999942779541</v>
      </c>
      <c r="V87" s="158">
        <f t="shared" si="1"/>
        <v>0.10565000027418137</v>
      </c>
      <c r="W87" s="158">
        <v>0.10570000112056732</v>
      </c>
      <c r="X87" s="158">
        <v>0.10540000349283218</v>
      </c>
      <c r="Y87" s="158">
        <v>0.10509999841451645</v>
      </c>
      <c r="Z87" s="158">
        <v>0.10490000247955322</v>
      </c>
      <c r="AA87" s="158">
        <v>0.10459999740123749</v>
      </c>
      <c r="AB87" s="158">
        <v>0.10450000315904617</v>
      </c>
      <c r="AC87" s="158">
        <v>0.10440000146627426</v>
      </c>
      <c r="AD87" s="158">
        <v>0.10440000146627426</v>
      </c>
      <c r="AE87" s="158">
        <v>0.10440000146627426</v>
      </c>
      <c r="AF87" s="158">
        <v>0.10459999740123749</v>
      </c>
    </row>
    <row r="88" spans="1:32" x14ac:dyDescent="0.2">
      <c r="A88" s="158" t="s">
        <v>239</v>
      </c>
      <c r="B88" s="158">
        <v>0.10679999738931656</v>
      </c>
      <c r="C88" s="158">
        <v>0.1062999963760376</v>
      </c>
      <c r="D88" s="158">
        <v>0.10620000213384628</v>
      </c>
      <c r="E88" s="158">
        <v>0.10610000044107437</v>
      </c>
      <c r="F88" s="158">
        <v>0.10610000044107437</v>
      </c>
      <c r="G88" s="158">
        <v>0.10620000213384628</v>
      </c>
      <c r="H88" s="158">
        <v>0.10620000213384628</v>
      </c>
      <c r="I88" s="158">
        <v>0.10599999874830246</v>
      </c>
      <c r="J88" s="158">
        <v>0.10589999705553055</v>
      </c>
      <c r="K88" s="158">
        <v>0.10589999705553055</v>
      </c>
      <c r="L88" s="158">
        <v>0.10589999705553055</v>
      </c>
      <c r="M88" s="158">
        <v>0.10570000112056732</v>
      </c>
      <c r="N88" s="158">
        <v>0.10540000349283218</v>
      </c>
      <c r="O88" s="158">
        <v>0.10520000010728836</v>
      </c>
      <c r="P88" s="158">
        <v>0.10490000247955322</v>
      </c>
      <c r="Q88" s="158">
        <v>0.10499999672174454</v>
      </c>
      <c r="R88" s="158">
        <v>0.10499999672174454</v>
      </c>
      <c r="S88" s="158">
        <v>0.10520000010728836</v>
      </c>
      <c r="T88" s="158">
        <v>0.1054999977350235</v>
      </c>
      <c r="U88" s="158">
        <v>0.1054999977350235</v>
      </c>
      <c r="V88" s="158">
        <f t="shared" si="1"/>
        <v>0.1054999977350235</v>
      </c>
      <c r="W88" s="158">
        <v>0.1054999977350235</v>
      </c>
      <c r="X88" s="158">
        <v>0.10520000010728836</v>
      </c>
      <c r="Y88" s="158">
        <v>0.10499999672174454</v>
      </c>
      <c r="Z88" s="158">
        <v>0.1046999990940094</v>
      </c>
      <c r="AA88" s="158">
        <v>0.10450000315904617</v>
      </c>
      <c r="AB88" s="158">
        <v>0.10440000146627426</v>
      </c>
      <c r="AC88" s="158">
        <v>0.10429999977350235</v>
      </c>
      <c r="AD88" s="158">
        <v>0.10419999808073044</v>
      </c>
      <c r="AE88" s="158">
        <v>0.10429999977350235</v>
      </c>
      <c r="AF88" s="158">
        <v>0.10450000315904617</v>
      </c>
    </row>
    <row r="89" spans="1:32" x14ac:dyDescent="0.2">
      <c r="A89" s="158" t="s">
        <v>240</v>
      </c>
      <c r="B89" s="158">
        <v>0.10649999976158142</v>
      </c>
      <c r="C89" s="158">
        <v>0.10610000044107437</v>
      </c>
      <c r="D89" s="158">
        <v>0.10589999705553055</v>
      </c>
      <c r="E89" s="158">
        <v>0.10589999705553055</v>
      </c>
      <c r="F89" s="158">
        <v>0.10589999705553055</v>
      </c>
      <c r="G89" s="158">
        <v>0.10599999874830246</v>
      </c>
      <c r="H89" s="158">
        <v>0.10620000213384628</v>
      </c>
      <c r="I89" s="158">
        <v>0.10570000112056732</v>
      </c>
      <c r="J89" s="158">
        <v>0.10570000112056732</v>
      </c>
      <c r="K89" s="158">
        <v>0.10559999942779541</v>
      </c>
      <c r="L89" s="158">
        <v>0.10570000112056732</v>
      </c>
      <c r="M89" s="158">
        <v>0.10540000349283218</v>
      </c>
      <c r="N89" s="158">
        <v>0.10520000010728836</v>
      </c>
      <c r="O89" s="158">
        <v>0.10490000247955322</v>
      </c>
      <c r="P89" s="158">
        <v>0.1046999990940094</v>
      </c>
      <c r="Q89" s="158">
        <v>0.1046999990940094</v>
      </c>
      <c r="R89" s="158">
        <v>0.1046999990940094</v>
      </c>
      <c r="S89" s="158">
        <v>0.10509999841451645</v>
      </c>
      <c r="T89" s="158">
        <v>0.10520000010728836</v>
      </c>
      <c r="U89" s="158">
        <v>0.10530000180006027</v>
      </c>
      <c r="V89" s="158">
        <f t="shared" si="1"/>
        <v>0.10530000180006027</v>
      </c>
      <c r="W89" s="158">
        <v>0.10530000180006027</v>
      </c>
      <c r="X89" s="158">
        <v>0.10499999672174454</v>
      </c>
      <c r="Y89" s="158">
        <v>0.10480000078678131</v>
      </c>
      <c r="Z89" s="158">
        <v>0.10450000315904617</v>
      </c>
      <c r="AA89" s="158">
        <v>0.10419999808073044</v>
      </c>
      <c r="AB89" s="158">
        <v>0.10409999638795853</v>
      </c>
      <c r="AC89" s="158">
        <v>0.10400000214576721</v>
      </c>
      <c r="AD89" s="158">
        <v>0.10400000214576721</v>
      </c>
      <c r="AE89" s="158">
        <v>0.10409999638795853</v>
      </c>
      <c r="AF89" s="158">
        <v>0.10419999808073044</v>
      </c>
    </row>
    <row r="90" spans="1:32" x14ac:dyDescent="0.2">
      <c r="A90" s="158" t="s">
        <v>241</v>
      </c>
      <c r="B90" s="158">
        <v>0.10740000009536743</v>
      </c>
      <c r="C90" s="158">
        <v>0.10700000077486038</v>
      </c>
      <c r="D90" s="158">
        <v>0.10700000077486038</v>
      </c>
      <c r="E90" s="158">
        <v>0.10670000314712524</v>
      </c>
      <c r="F90" s="158">
        <v>0.10660000145435333</v>
      </c>
      <c r="G90" s="158">
        <v>0.10689999908208847</v>
      </c>
      <c r="H90" s="158">
        <v>0.10670000314712524</v>
      </c>
      <c r="I90" s="158">
        <v>0.10660000145435333</v>
      </c>
      <c r="J90" s="158">
        <v>0.10649999976158142</v>
      </c>
      <c r="K90" s="158">
        <v>0.10649999976158142</v>
      </c>
      <c r="L90" s="158">
        <v>0.10679999738931656</v>
      </c>
      <c r="M90" s="158">
        <v>0.1062999963760376</v>
      </c>
      <c r="N90" s="158">
        <v>0.10599999874830246</v>
      </c>
      <c r="O90" s="158">
        <v>0.10580000281333923</v>
      </c>
      <c r="P90" s="158">
        <v>0.1054999977350235</v>
      </c>
      <c r="Q90" s="158">
        <v>0.1054999977350235</v>
      </c>
      <c r="R90" s="158">
        <v>0.10559999942779541</v>
      </c>
      <c r="S90" s="158">
        <v>0.10570000112056732</v>
      </c>
      <c r="T90" s="158">
        <v>0.10599999874830246</v>
      </c>
      <c r="U90" s="158">
        <v>0.10610000044107437</v>
      </c>
      <c r="V90" s="158">
        <f t="shared" si="1"/>
        <v>0.10610000044107437</v>
      </c>
      <c r="W90" s="158">
        <v>0.10610000044107437</v>
      </c>
      <c r="X90" s="158">
        <v>0.10580000281333923</v>
      </c>
      <c r="Y90" s="158">
        <v>0.1054999977350235</v>
      </c>
      <c r="Z90" s="158">
        <v>0.10530000180006027</v>
      </c>
      <c r="AA90" s="158">
        <v>0.10499999672174454</v>
      </c>
      <c r="AB90" s="158">
        <v>0.10490000247955322</v>
      </c>
      <c r="AC90" s="158">
        <v>0.10480000078678131</v>
      </c>
      <c r="AD90" s="158">
        <v>0.10490000247955322</v>
      </c>
      <c r="AE90" s="158">
        <v>0.10480000078678131</v>
      </c>
      <c r="AF90" s="158">
        <v>0.10499999672174454</v>
      </c>
    </row>
    <row r="91" spans="1:32" x14ac:dyDescent="0.2">
      <c r="A91" s="158" t="s">
        <v>242</v>
      </c>
      <c r="B91" s="158">
        <v>0.10719999670982361</v>
      </c>
      <c r="C91" s="158">
        <v>0.10660000145435333</v>
      </c>
      <c r="D91" s="158">
        <v>0.10639999806880951</v>
      </c>
      <c r="E91" s="158">
        <v>0.10639999806880951</v>
      </c>
      <c r="F91" s="158">
        <v>0.10620000213384628</v>
      </c>
      <c r="G91" s="158">
        <v>0.10639999806880951</v>
      </c>
      <c r="H91" s="158">
        <v>0.10620000213384628</v>
      </c>
      <c r="I91" s="158">
        <v>0.10610000044107437</v>
      </c>
      <c r="J91" s="158">
        <v>0.10599999874830246</v>
      </c>
      <c r="K91" s="158">
        <v>0.10610000044107437</v>
      </c>
      <c r="L91" s="158">
        <v>0.10599999874830246</v>
      </c>
      <c r="M91" s="158">
        <v>0.10580000281333923</v>
      </c>
      <c r="N91" s="158">
        <v>0.1054999977350235</v>
      </c>
      <c r="O91" s="158">
        <v>0.10540000349283218</v>
      </c>
      <c r="P91" s="158">
        <v>0.10499999672174454</v>
      </c>
      <c r="Q91" s="158">
        <v>0.10509999841451645</v>
      </c>
      <c r="R91" s="158">
        <v>0.10509999841451645</v>
      </c>
      <c r="S91" s="158">
        <v>0.10520000010728836</v>
      </c>
      <c r="T91" s="158">
        <v>0.1054999977350235</v>
      </c>
      <c r="U91" s="158">
        <v>0.10559999942779541</v>
      </c>
      <c r="V91" s="158">
        <f t="shared" si="1"/>
        <v>0.10559999942779541</v>
      </c>
      <c r="W91" s="158">
        <v>0.10559999942779541</v>
      </c>
      <c r="X91" s="158">
        <v>0.10540000349283218</v>
      </c>
      <c r="Y91" s="158">
        <v>0.10509999841451645</v>
      </c>
      <c r="Z91" s="158">
        <v>0.10490000247955322</v>
      </c>
      <c r="AA91" s="158">
        <v>0.10459999740123749</v>
      </c>
      <c r="AB91" s="158">
        <v>0.10440000146627426</v>
      </c>
      <c r="AC91" s="158">
        <v>0.10440000146627426</v>
      </c>
      <c r="AD91" s="158">
        <v>0.10440000146627426</v>
      </c>
      <c r="AE91" s="158">
        <v>0.10440000146627426</v>
      </c>
      <c r="AF91" s="158">
        <v>0.10459999740123749</v>
      </c>
    </row>
    <row r="92" spans="1:32" x14ac:dyDescent="0.2">
      <c r="A92" s="158" t="s">
        <v>243</v>
      </c>
      <c r="B92" s="158">
        <v>0.10740000009536743</v>
      </c>
      <c r="C92" s="158">
        <v>0.10679999738931656</v>
      </c>
      <c r="D92" s="158">
        <v>0.10660000145435333</v>
      </c>
      <c r="E92" s="158">
        <v>0.10639999806880951</v>
      </c>
      <c r="F92" s="158">
        <v>0.1062999963760376</v>
      </c>
      <c r="G92" s="158">
        <v>0.10649999976158142</v>
      </c>
      <c r="H92" s="158">
        <v>0.1062999963760376</v>
      </c>
      <c r="I92" s="158">
        <v>0.10620000213384628</v>
      </c>
      <c r="J92" s="158">
        <v>0.10610000044107437</v>
      </c>
      <c r="K92" s="158">
        <v>0.10610000044107437</v>
      </c>
      <c r="L92" s="158">
        <v>0.10599999874830246</v>
      </c>
      <c r="M92" s="158">
        <v>0.10580000281333923</v>
      </c>
      <c r="N92" s="158">
        <v>0.1054999977350235</v>
      </c>
      <c r="O92" s="158">
        <v>0.10530000180006027</v>
      </c>
      <c r="P92" s="158">
        <v>0.10499999672174454</v>
      </c>
      <c r="Q92" s="158">
        <v>0.10499999672174454</v>
      </c>
      <c r="R92" s="158">
        <v>0.10509999841451645</v>
      </c>
      <c r="S92" s="158">
        <v>0.10520000010728836</v>
      </c>
      <c r="T92" s="158">
        <v>0.1054999977350235</v>
      </c>
      <c r="U92" s="158">
        <v>0.10559999942779541</v>
      </c>
      <c r="V92" s="158">
        <f t="shared" si="1"/>
        <v>0.10559999942779541</v>
      </c>
      <c r="W92" s="158">
        <v>0.10559999942779541</v>
      </c>
      <c r="X92" s="158">
        <v>0.10530000180006027</v>
      </c>
      <c r="Y92" s="158">
        <v>0.10509999841451645</v>
      </c>
      <c r="Z92" s="158">
        <v>0.10480000078678131</v>
      </c>
      <c r="AA92" s="158">
        <v>0.10450000315904617</v>
      </c>
      <c r="AB92" s="158">
        <v>0.10440000146627426</v>
      </c>
      <c r="AC92" s="158">
        <v>0.10429999977350235</v>
      </c>
      <c r="AD92" s="158">
        <v>0.10429999977350235</v>
      </c>
      <c r="AE92" s="158">
        <v>0.10429999977350235</v>
      </c>
      <c r="AF92" s="158">
        <v>0.10450000315904617</v>
      </c>
    </row>
    <row r="93" spans="1:32" x14ac:dyDescent="0.2">
      <c r="A93" s="158" t="s">
        <v>244</v>
      </c>
      <c r="B93" s="158">
        <v>0.10750000178813934</v>
      </c>
      <c r="C93" s="158">
        <v>0.10639999806880951</v>
      </c>
      <c r="D93" s="158">
        <v>0.10639999806880951</v>
      </c>
      <c r="E93" s="158">
        <v>0.10670000314712524</v>
      </c>
      <c r="F93" s="158">
        <v>0.10639999806880951</v>
      </c>
      <c r="G93" s="158">
        <v>0.10660000145435333</v>
      </c>
      <c r="H93" s="158">
        <v>0.1062999963760376</v>
      </c>
      <c r="I93" s="158">
        <v>0.10620000213384628</v>
      </c>
      <c r="J93" s="158">
        <v>0.10599999874830246</v>
      </c>
      <c r="K93" s="158">
        <v>0.10599999874830246</v>
      </c>
      <c r="L93" s="158">
        <v>0.10599999874830246</v>
      </c>
      <c r="M93" s="158">
        <v>0.10570000112056732</v>
      </c>
      <c r="N93" s="158">
        <v>0.1054999977350235</v>
      </c>
      <c r="O93" s="158">
        <v>0.10530000180006027</v>
      </c>
      <c r="P93" s="158">
        <v>0.10490000247955322</v>
      </c>
      <c r="Q93" s="158">
        <v>0.10490000247955322</v>
      </c>
      <c r="R93" s="158">
        <v>0.10499999672174454</v>
      </c>
      <c r="S93" s="158">
        <v>0.10509999841451645</v>
      </c>
      <c r="T93" s="158">
        <v>0.10530000180006027</v>
      </c>
      <c r="U93" s="158">
        <v>0.10530000180006027</v>
      </c>
      <c r="V93" s="158">
        <f t="shared" si="1"/>
        <v>0.10530000180006027</v>
      </c>
      <c r="W93" s="158">
        <v>0.10530000180006027</v>
      </c>
      <c r="X93" s="158">
        <v>0.10499999672174454</v>
      </c>
      <c r="Y93" s="158">
        <v>0.1046999990940094</v>
      </c>
      <c r="Z93" s="158">
        <v>0.10450000315904617</v>
      </c>
      <c r="AA93" s="158">
        <v>0.10419999808073044</v>
      </c>
      <c r="AB93" s="158">
        <v>0.10400000214576721</v>
      </c>
      <c r="AC93" s="158">
        <v>0.10400000214576721</v>
      </c>
      <c r="AD93" s="158">
        <v>0.10409999638795853</v>
      </c>
      <c r="AE93" s="158">
        <v>0.1039000004529953</v>
      </c>
      <c r="AF93" s="158">
        <v>0.10350000113248825</v>
      </c>
    </row>
    <row r="94" spans="1:32" x14ac:dyDescent="0.2">
      <c r="A94" s="156" t="s">
        <v>332</v>
      </c>
      <c r="B94" s="156">
        <f>$B$55-AVERAGE($B$58,$B$59,$B$61,$B$62,$B$63,$B$65,$B$66,$B$68,$B$69,$B$70,$B$71,$B$72,$B$73,$B$74,$B$77,$B$79,$B$80,$B$81,$B$83,$B$84,$B$85,$B$86,$B$87,$B$88,$B$89,$B$91)</f>
        <v>7.3461607098579407E-4</v>
      </c>
      <c r="C94" s="156">
        <f>$C$55-AVERAGE($C$58,$C$59,$C$61,$C$62,$C$63,$C$65,$C$66,$C$68,$C$69,$C$70,$C$71,$C$72,$C$73,$C$74,$C$77,$C$79,$C$80,$C$81,$C$83,$C$84,$C$85,$C$86,$C$87,$C$88,$C$89,$C$91)</f>
        <v>1.1423104084455071E-3</v>
      </c>
      <c r="D94" s="156">
        <f>$D$55-AVERAGE($D$58,$D$59,$D$61,$D$62,$D$63,$D$65,$D$66,$D$68,$D$69,$D$70,$D$71,$D$72,$D$73,$D$74,$D$77,$D$79,$D$80,$D$81,$D$83,$D$84,$D$85,$D$86,$D$87,$D$88,$D$89,$D$91)</f>
        <v>1.5499998743717519E-3</v>
      </c>
      <c r="E94" s="156">
        <f>$E$55-AVERAGE($E$58,$E$59,$E$61,$E$62,$E$63,$E$65,$E$66,$E$68,$E$69,$E$70,$E$71,$E$72,$E$73,$E$74,$E$77,$E$79,$E$80,$E$81,$E$83,$E$84,$E$85,$E$86,$E$87,$E$88,$E$89,$E$91)</f>
        <v>2.1423044113012407E-3</v>
      </c>
      <c r="F94" s="156">
        <f>$F$55-AVERAGE($F$58,$F$59,$F$61,$F$62,$F$63,$F$65,$F$66,$F$68,$F$69,$F$70,$F$71,$F$72,$F$73,$F$74,$F$77,$F$79,$F$80,$F$81,$F$83,$F$84,$F$85,$F$86,$F$87,$F$88,$F$89,$F$91)</f>
        <v>3.0307721060055942E-3</v>
      </c>
      <c r="G94" s="156">
        <f>$G$55-AVERAGE($G$58,$G$59,$G$61,$G$62,$G$63,$G$65,$G$66,$G$68,$G$69,$G$70,$G$71,$G$72,$G$73,$G$74,$G$77,$G$79,$G$80,$G$81,$G$83,$G$84,$G$85,$G$86,$G$87,$G$88,$G$89,$G$91)</f>
        <v>4.3846116616175768E-3</v>
      </c>
      <c r="H94" s="156">
        <f>$H$55-AVERAGE($H$58,$H$59,$H$61,$H$62,$H$63,$H$65,$H$66,$H$68,$H$69,$H$70,$H$71,$H$72,$H$73,$H$74,$H$77,$H$79,$H$80,$H$81,$H$83,$H$84,$H$85,$H$86,$H$87,$H$88,$H$89,$H$91)</f>
        <v>6.9730777580004483E-3</v>
      </c>
      <c r="I94" s="156">
        <f>$I$55-AVERAGE($I$58,$I$59,$I$61,$I$62,$I$63,$I$65,$I$66,$I$68,$I$69,$I$70,$I$71,$I$72,$I$73,$I$74,$I$77,$I$79,$I$80,$I$81,$I$83,$I$84,$I$85,$I$86,$I$87,$I$88,$I$89,$I$91)</f>
        <v>1.1419230642227024E-2</v>
      </c>
      <c r="J94" s="156">
        <f>$J$55-AVERAGE($J$58,$J$59,$J$61,$J$62,$J$63,$J$65,$J$66,$J$68,$J$69,$J$70,$J$71,$J$72,$J$73,$J$74,$J$77,$J$79,$J$80,$J$81,$J$83,$J$84,$J$85,$J$86,$J$87,$J$88,$J$89,$J$91)</f>
        <v>1.8169232859061316E-2</v>
      </c>
      <c r="K94" s="156">
        <f>$K$55-AVERAGE($K$58,$K$59,$K$61,$K$62,$K$63,$K$65,$K$66,$K$68,$K$69,$K$70,$K$71,$K$72,$K$73,$K$74,$K$77,$K$79,$K$80,$K$81,$K$83,$K$84,$K$85,$K$86,$K$87,$K$88,$K$89,$K$91)</f>
        <v>2.939615169396767E-2</v>
      </c>
      <c r="L94" s="156">
        <f>$L$55-AVERAGE($L$58,$L$59,$L$61,$L$62,$L$63,$L$65,$L$66,$L$68,$L$69,$L$70,$L$71,$L$72,$L$73,$L$74,$L$77,$L$79,$L$80,$L$81,$L$83,$L$84,$L$85,$L$86,$L$87,$L$88,$L$89,$L$91)</f>
        <v>4.5280768034549862E-2</v>
      </c>
      <c r="M94" s="156">
        <f>$M$55-AVERAGE($M$58,$M$59,$M$61,$M$62,$M$63,$M$65,$M$66,$M$68,$M$69,$M$70,$M$71,$M$72,$M$73,$M$74,$M$77,$M$79,$M$80,$M$81,$M$83,$M$84,$M$85,$M$86,$M$87,$M$88,$M$89,$M$91)</f>
        <v>6.6946158328881636E-2</v>
      </c>
      <c r="N94" s="156">
        <f>$N$55-AVERAGE($N$58,$N$59,$N$61,$N$62,$N$63,$N$65,$N$66,$N$68,$N$69,$N$70,$N$71,$N$72,$N$73,$N$74,$N$77,$N$79,$N$80,$N$81,$N$83,$N$84,$N$85,$N$86,$N$87,$N$88,$N$89,$N$91)</f>
        <v>9.4599992896501839E-2</v>
      </c>
      <c r="O94" s="156">
        <f>$O$55-AVERAGE($O$58,$O$59,$O$61,$O$62,$O$63,$O$65,$O$66,$O$68,$O$69,$O$70,$O$71,$O$72,$O$73,$O$74,$O$77,$O$79,$O$80,$O$81,$O$83,$O$84,$O$85,$O$86,$O$87,$O$88,$O$89,$O$91)</f>
        <v>0.1276769216817159</v>
      </c>
      <c r="P94" s="156">
        <f>$P$55-AVERAGE($P$58,$P$59,$P$61,$P$62,$P$63,$P$65,$P$66,$P$68,$P$69,$P$70,$P$71,$P$72,$P$73,$P$74,$P$77,$P$79,$P$80,$P$81,$P$83,$P$84,$P$85,$P$86,$P$87,$P$88,$P$89,$P$91)</f>
        <v>0.1659884492938335</v>
      </c>
      <c r="Q94" s="156">
        <f>$Q$55-AVERAGE($Q$58,$Q$59,$Q$61,$Q$62,$Q$63,$Q$65,$Q$66,$Q$68,$Q$69,$Q$70,$Q$71,$Q$72,$Q$73,$Q$74,$Q$77,$Q$79,$Q$80,$Q$81,$Q$83,$Q$84,$Q$85,$Q$86,$Q$87,$Q$88,$Q$89,$Q$91)</f>
        <v>0.21007692756561133</v>
      </c>
      <c r="R94" s="156">
        <f>$R$55-AVERAGE($R$58,$R$59,$R$61,$R$62,$R$63,$R$65,$R$66,$R$68,$R$69,$R$70,$R$71,$R$72,$R$73,$R$74,$R$77,$R$79,$R$80,$R$81,$R$83,$R$84,$R$85,$R$86,$R$87,$R$88,$R$89,$R$91)</f>
        <v>0.25546922878577161</v>
      </c>
      <c r="S94" s="156">
        <f>$S$55-AVERAGE($S$58,$S$59,$S$61,$S$62,$S$63,$S$65,$S$66,$S$68,$S$69,$S$70,$S$71,$S$72,$S$73,$S$74,$S$77,$S$79,$S$80,$S$81,$S$83,$S$84,$S$85,$S$86,$S$87,$S$88,$S$89,$S$91)</f>
        <v>0.29511153726623607</v>
      </c>
      <c r="T94" s="156">
        <f>$T$55-AVERAGE($T$58,$T$59,$T$61,$T$62,$T$63,$T$65,$T$66,$T$68,$T$69,$T$70,$T$71,$T$72,$T$73,$T$74,$T$77,$T$79,$T$80,$T$81,$T$83,$T$84,$T$85,$T$86,$T$87,$T$88,$T$89,$T$91)</f>
        <v>0.33040769455524588</v>
      </c>
      <c r="U94" s="156">
        <f>$U$55-AVERAGE($U$58,$U$59,$U$61,$U$62,$U$63,$U$65,$U$66,$U$68,$U$69,$U$70,$U$71,$U$72,$U$73,$U$74,$U$77,$U$79,$U$80,$U$81,$U$83,$U$84,$U$85,$U$86,$U$87,$U$88,$U$89,$U$91)</f>
        <v>0.3483461631605258</v>
      </c>
      <c r="V94" s="156">
        <f>$V$55-AVERAGE($V$58,$V$59,$V$61,$V$62,$V$63,$V$65,$V$66,$V$68,$V$69,$V$70,$V$71,$V$72,$V$73,$V$74,$V$77,$V$79,$V$80,$V$81,$V$83,$V$84,$V$85,$V$86,$V$87,$V$88,$V$89,$V$91)</f>
        <v>0.35532116259519869</v>
      </c>
      <c r="W94" s="156">
        <f>$W$55-AVERAGE($W$58,$W$59,$W$61,$W$62,$W$63,$W$65,$W$66,$W$68,$W$69,$W$70,$W$71,$W$72,$W$73,$W$74,$W$77,$W$79,$W$80,$W$81,$W$83,$W$84,$W$85,$W$86,$W$87,$W$88,$W$89,$W$91)</f>
        <v>0.36229616202987158</v>
      </c>
      <c r="X94" s="156">
        <f>$X$55-AVERAGE($X$58,$X$59,$X$61,$X$62,$X$63,$X$65,$X$66,$X$68,$X$69,$X$70,$X$71,$X$72,$X$73,$X$74,$X$77,$X$79,$X$80,$X$81,$X$83,$X$84,$X$85,$X$86,$X$87,$X$88,$X$89,$X$91)</f>
        <v>0.36393075780226636</v>
      </c>
      <c r="Y94" s="156">
        <f>$Y$55-AVERAGE($Y$58,$Y$59,$Y$61,$Y$62,$Y$63,$Y$65,$Y$66,$Y$68,$Y$69,$Y$70,$Y$71,$Y$72,$Y$73,$Y$74,$Y$77,$Y$79,$Y$80,$Y$81,$Y$83,$Y$84,$Y$85,$Y$86,$Y$87,$Y$88,$Y$89,$Y$91)</f>
        <v>0.36664229430831397</v>
      </c>
      <c r="Z94" s="156">
        <f>$Z$55-AVERAGE($Z$58,$Z$59,$Z$61,$Z$62,$Z$63,$Z$65,$Z$66,$Z$68,$Z$69,$Z$70,$Z$71,$Z$72,$Z$73,$Z$74,$Z$77,$Z$79,$Z$80,$Z$81,$Z$83,$Z$84,$Z$85,$Z$86,$Z$87,$Z$88,$Z$89,$Z$91)</f>
        <v>0.37027692307646459</v>
      </c>
      <c r="AA94" s="156">
        <f>$AA$55-AVERAGE($AA$58,$AA$59,$AA$61,$AA$62,$AA$63,$AA$65,$AA$66,$AA$68,$AA$69,$AA$70,$AA$71,$AA$72,$AA$73,$AA$74,$AA$77,$AA$79,$AA$80,$AA$81,$AA$83,$AA$84,$AA$85,$AA$86,$AA$87,$AA$88,$AA$89,$AA$91)</f>
        <v>0.37714615005713242</v>
      </c>
      <c r="AB94" s="156">
        <f>$AB$55-AVERAGE($AB$58,$AB$59,$AB$61,$AB$62,$AB$63,$AB$65,$AB$66,$AB$68,$AB$69,$AB$70,$AB$71,$AB$72,$AB$73,$AB$74,$AB$77,$AB$79,$AB$80,$AB$81,$AB$83,$AB$84,$AB$85,$AB$86,$AB$87,$AB$88,$AB$89,$AB$91)</f>
        <v>0.38387691143613595</v>
      </c>
      <c r="AC94" s="156">
        <f>$AC$55-AVERAGE($AC$58,$AC$59,$AC$61,$AC$62,$AC$63,$AC$65,$AC$66,$AC$68,$AC$69,$AC$70,$AC$71,$AC$72,$AC$73,$AC$74,$AC$77,$AC$79,$AC$80,$AC$81,$AC$83,$AC$84,$AC$85,$AC$86,$AC$87,$AC$88,$AC$89,$AC$91)</f>
        <v>0.39439615664573813</v>
      </c>
      <c r="AD94" s="156">
        <f>$AD$55-AVERAGE($AD$58,$AD$59,$AD$61,$AD$62,$AD$63,$AD$65,$AD$66,$AD$68,$AD$69,$AD$70,$AD$71,$AD$72,$AD$73,$AD$74,$AD$77,$AD$79,$AD$80,$AD$81,$AD$83,$AD$84,$AD$85,$AD$86,$AD$87,$AD$88,$AD$89,$AD$91)</f>
        <v>0.40835767726485545</v>
      </c>
      <c r="AE94" s="156">
        <f>$AE$55-AVERAGE($AE$58,$AE$59,$AE$61,$AE$62,$AE$63,$AE$65,$AE$66,$AE$68,$AE$69,$AE$70,$AE$71,$AE$72,$AE$73,$AE$74,$AE$77,$AE$79,$AE$80,$AE$81,$AE$83,$AE$84,$AE$85,$AE$86,$AE$87,$AE$88,$AE$89,$AE$91)</f>
        <v>0.42258463226831877</v>
      </c>
      <c r="AF94" s="156">
        <f>$AF$55-AVERAGE($AF$58,$AF$59,$AF$61,$AF$62,$AF$63,$AF$65,$AF$66,$AF$68,$AF$69,$AF$70,$AF$71,$AF$72,$AF$73,$AF$74,$AF$77,$AF$79,$AF$80,$AF$81,$AF$83,$AF$84,$AF$85,$AF$86,$AF$87,$AF$88,$AF$89,$AF$91)</f>
        <v>0.4384961434854911</v>
      </c>
    </row>
    <row r="95" spans="1:32" x14ac:dyDescent="0.2">
      <c r="A95" s="157" t="s">
        <v>333</v>
      </c>
      <c r="B95" s="157">
        <f>$B$56-AVERAGE($B$58,$B$62,$B$66,$B$70)</f>
        <v>6.7499466240406036E-4</v>
      </c>
      <c r="C95" s="157">
        <f>$C$56-AVERAGE($C$58,$C$62,$C$66,$C$70)</f>
        <v>7.0000253617763519E-4</v>
      </c>
      <c r="D95" s="157">
        <f>$D$56-AVERAGE($D$58,$D$62,$D$66,$D$70)</f>
        <v>9.2499889433383942E-4</v>
      </c>
      <c r="E95" s="157">
        <f>$E$56-AVERAGE($E$58,$E$62,$E$66,$E$70)</f>
        <v>1.5500020235776901E-3</v>
      </c>
      <c r="F95" s="157">
        <f>$F$56-AVERAGE($F$58,$F$62,$F$66,$F$70)</f>
        <v>2.1500028669834137E-3</v>
      </c>
      <c r="G95" s="157">
        <f>$G$56-AVERAGE($G$58,$G$62,$G$66,$G$70)</f>
        <v>3.3499989658594131E-3</v>
      </c>
      <c r="H95" s="157">
        <f>$H$56-AVERAGE($H$58,$H$62,$H$66,$H$70)</f>
        <v>5.3750015795230865E-3</v>
      </c>
      <c r="I95" s="157">
        <f>$I$56-AVERAGE($I$58,$I$62,$I$66,$I$70)</f>
        <v>8.7499972432851791E-3</v>
      </c>
      <c r="J95" s="157">
        <f>$J$56-AVERAGE($J$58,$J$62,$J$66,$J$70)</f>
        <v>1.4474997296929359E-2</v>
      </c>
      <c r="K95" s="157">
        <f>$K$56-AVERAGE($K$58,$K$62,$K$66,$K$70)</f>
        <v>2.3475000634789467E-2</v>
      </c>
      <c r="L95" s="157">
        <f>$L$56-AVERAGE($L$58,$L$62,$L$66,$L$70)</f>
        <v>3.7149993702769279E-2</v>
      </c>
      <c r="M95" s="157">
        <f>$M$56-AVERAGE($M$58,$M$62,$M$66,$M$70)</f>
        <v>5.6450005620718002E-2</v>
      </c>
      <c r="N95" s="157">
        <f>$N$56-AVERAGE($N$58,$N$62,$N$66,$N$70)</f>
        <v>8.1599997356534004E-2</v>
      </c>
      <c r="O95" s="157">
        <f>$O$56-AVERAGE($O$58,$O$62,$O$66,$O$70)</f>
        <v>0.11172499880194664</v>
      </c>
      <c r="P95" s="157">
        <f>$P$56-AVERAGE($P$58,$P$62,$P$66,$P$70)</f>
        <v>0.14767499454319477</v>
      </c>
      <c r="Q95" s="157">
        <f>$Q$56-AVERAGE($Q$58,$Q$62,$Q$66,$Q$70)</f>
        <v>0.18827499635517597</v>
      </c>
      <c r="R95" s="157">
        <f>$R$56-AVERAGE($R$58,$R$62,$R$66,$R$70)</f>
        <v>0.2323750127106905</v>
      </c>
      <c r="S95" s="157">
        <f>$S$56-AVERAGE($S$58,$S$62,$S$66,$S$70)</f>
        <v>0.27749999798834324</v>
      </c>
      <c r="T95" s="157">
        <f>$T$56-AVERAGE($T$58,$T$62,$T$66,$T$70)</f>
        <v>0.31337499432265759</v>
      </c>
      <c r="U95" s="157">
        <f>$U$56-AVERAGE($U$58,$U$62,$U$66,$U$70)</f>
        <v>0.34509999677538872</v>
      </c>
      <c r="V95" s="157">
        <f>$V$56-AVERAGE($V$58,$V$62,$V$66,$V$70)</f>
        <v>0.35385000240057707</v>
      </c>
      <c r="W95" s="157">
        <f>$W$56-AVERAGE($W$58,$W$62,$W$66,$W$70)</f>
        <v>0.36260000802576542</v>
      </c>
      <c r="X95" s="157">
        <f>$X$56-AVERAGE($X$58,$X$62,$X$66,$X$70)</f>
        <v>0.36792499385774136</v>
      </c>
      <c r="Y95" s="157">
        <f>$Y$56-AVERAGE($Y$58,$Y$62,$Y$66,$Y$70)</f>
        <v>0.36705000512301922</v>
      </c>
      <c r="Z95" s="157">
        <f>$Z$56-AVERAGE($Z$58,$Z$62,$Z$66,$Z$70)</f>
        <v>0.37160000577569008</v>
      </c>
      <c r="AA95" s="157">
        <f>$AA$56-AVERAGE($AA$58,$AA$62,$AA$66,$AA$70)</f>
        <v>0.37387498468160629</v>
      </c>
      <c r="AB95" s="157">
        <f>$AB$56-AVERAGE($AB$58,$AB$62,$AB$66,$AB$70)</f>
        <v>0.38039999082684517</v>
      </c>
      <c r="AC95" s="157">
        <f>$AC$56-AVERAGE($AC$58,$AC$62,$AC$66,$AC$70)</f>
        <v>0.38649998977780342</v>
      </c>
      <c r="AD95" s="157">
        <f>$AD$56-AVERAGE($AD$58,$AD$62,$AD$66,$AD$70)</f>
        <v>0.39755002781748772</v>
      </c>
      <c r="AE95" s="157">
        <f>$AE$56-AVERAGE($AE$58,$AE$62,$AE$66,$AE$70)</f>
        <v>0.41095002926886082</v>
      </c>
      <c r="AF95" s="157">
        <f>$AF$56-AVERAGE($AF$58,$AF$62,$AF$66,$AF$70)</f>
        <v>0.42672502808272839</v>
      </c>
    </row>
    <row r="96" spans="1:32" x14ac:dyDescent="0.2">
      <c r="A96" s="168" t="s">
        <v>334</v>
      </c>
      <c r="B96" s="168">
        <f>$B$57-AVERAGE($B$58,$B$62,$B$66)</f>
        <v>7.6666722695033218E-4</v>
      </c>
      <c r="C96" s="168">
        <f>$C$57-AVERAGE($C$58,$C$62,$C$66)</f>
        <v>8.0000112454096939E-4</v>
      </c>
      <c r="D96" s="168">
        <f>$D$57-AVERAGE($D$58,$D$62,$D$66)</f>
        <v>9.0000281731288101E-4</v>
      </c>
      <c r="E96" s="168">
        <f>$E$57-AVERAGE($E$58,$E$62,$E$66)</f>
        <v>1.3333360354105678E-3</v>
      </c>
      <c r="F96" s="168">
        <f>$F$57-AVERAGE($F$58,$F$62,$F$66)</f>
        <v>2.1333321928977966E-3</v>
      </c>
      <c r="G96" s="168">
        <f>$G$57-AVERAGE($G$58,$G$62,$G$66)</f>
        <v>3.2666673262913976E-3</v>
      </c>
      <c r="H96" s="168">
        <f>$H$57-AVERAGE($H$58,$H$62,$H$66)</f>
        <v>5.2999953428904262E-3</v>
      </c>
      <c r="I96" s="168">
        <f>$I$57-AVERAGE($I$58,$I$62,$I$66)</f>
        <v>8.4666634599367824E-3</v>
      </c>
      <c r="J96" s="168">
        <f>$J$57-AVERAGE($J$58,$J$62,$J$66)</f>
        <v>1.3899999360243484E-2</v>
      </c>
      <c r="K96" s="168">
        <f>$K$57-AVERAGE($K$58,$K$62,$K$66)</f>
        <v>2.2400009135405227E-2</v>
      </c>
      <c r="L96" s="168">
        <f>$L$57-AVERAGE($L$58,$L$62,$L$66)</f>
        <v>3.5699995855490371E-2</v>
      </c>
      <c r="M96" s="168">
        <f>$M$57-AVERAGE($M$58,$M$62,$M$66)</f>
        <v>5.4399996995925903E-2</v>
      </c>
      <c r="N96" s="168">
        <f>$N$57-AVERAGE($N$58,$N$62,$N$66)</f>
        <v>7.9133329292138413E-2</v>
      </c>
      <c r="O96" s="168">
        <f>$O$57-AVERAGE($O$58,$O$62,$O$66)</f>
        <v>0.10853333522876103</v>
      </c>
      <c r="P96" s="168">
        <f>$P$57-AVERAGE($P$58,$P$62,$P$66)</f>
        <v>0.14330000678698224</v>
      </c>
      <c r="Q96" s="168">
        <f>$Q$57-AVERAGE($Q$58,$Q$62,$Q$66)</f>
        <v>0.18309999505678815</v>
      </c>
      <c r="R96" s="168">
        <f>$R$57-AVERAGE($R$58,$R$62,$R$66)</f>
        <v>0.22826668123404187</v>
      </c>
      <c r="S96" s="168">
        <f>$S$57-AVERAGE($S$58,$S$62,$S$66)</f>
        <v>0.27256666620572406</v>
      </c>
      <c r="T96" s="168">
        <f>$T$57-AVERAGE($T$58,$T$62,$T$66)</f>
        <v>0.30773333211739856</v>
      </c>
      <c r="U96" s="168">
        <f>$U$57-AVERAGE($U$58,$U$62,$U$66)</f>
        <v>0.33976665884256363</v>
      </c>
      <c r="V96" s="168">
        <f>$V$57-AVERAGE($V$58,$V$62,$V$66)</f>
        <v>0.34906666601697606</v>
      </c>
      <c r="W96" s="168">
        <f>$W$57-AVERAGE($W$58,$W$62,$W$66)</f>
        <v>0.35836667319138843</v>
      </c>
      <c r="X96" s="168">
        <f>$X$57-AVERAGE($X$58,$X$62,$X$66)</f>
        <v>0.36229999860127765</v>
      </c>
      <c r="Y96" s="168">
        <f>$Y$57-AVERAGE($Y$58,$Y$62,$Y$66)</f>
        <v>0.36370000243186951</v>
      </c>
      <c r="Z96" s="168">
        <f>$Z$57-AVERAGE($Z$58,$Z$62,$Z$66)</f>
        <v>0.36683334410190582</v>
      </c>
      <c r="AA96" s="168">
        <f>$AA$57-AVERAGE($AA$58,$AA$62,$AA$66)</f>
        <v>0.37043333053588867</v>
      </c>
      <c r="AB96" s="168">
        <f>$AB$57-AVERAGE($AB$58,$AB$62,$AB$66)</f>
        <v>0.37663334608078003</v>
      </c>
      <c r="AC96" s="168">
        <f>$AC$57-AVERAGE($AC$58,$AC$62,$AC$66)</f>
        <v>0.38250000774860382</v>
      </c>
      <c r="AD96" s="168">
        <f>$AD$57-AVERAGE($AD$58,$AD$62,$AD$66)</f>
        <v>0.39440000057220459</v>
      </c>
      <c r="AE96" s="168">
        <f>$AE$57-AVERAGE($AE$58,$AE$62,$AE$66)</f>
        <v>0.40650002410014469</v>
      </c>
      <c r="AF96" s="168">
        <f>$AF$57-AVERAGE($AF$58,$AF$62,$AF$66)</f>
        <v>0.42249999692042667</v>
      </c>
    </row>
    <row r="97" spans="1:32" x14ac:dyDescent="0.2">
      <c r="A97" t="s">
        <v>335</v>
      </c>
      <c r="H97">
        <f>INDEX(LOGEST($B$94:$H$94,$B$54:$H$54,TRUE,TRUE), 3)</f>
        <v>0.99646327634798171</v>
      </c>
      <c r="I97">
        <f>INDEX(LOGEST($B$94:$I$94,$B$54:$I$54,TRUE,TRUE), 3)</f>
        <v>0.99407756086188426</v>
      </c>
      <c r="J97">
        <f>INDEX(LOGEST($B$94:$J$94,$B$54:$J$54,TRUE,TRUE), 3)</f>
        <v>0.99339006067230617</v>
      </c>
      <c r="K97">
        <f>INDEX(LOGEST($B$94:$K$94,$B$54:$K$54,TRUE,TRUE), 3)</f>
        <v>0.99321005872159296</v>
      </c>
      <c r="L97">
        <f>INDEX(LOGEST($B$94:$L$94,$B$54:$L$54,TRUE,TRUE), 3)</f>
        <v>0.99403236327859912</v>
      </c>
      <c r="M97">
        <f>INDEX(LOGEST($B$94:$M$94,$B$54:$M$54,TRUE,TRUE), 3)</f>
        <v>0.99521913858281486</v>
      </c>
      <c r="N97">
        <f>INDEX(LOGEST($B$94:$N$94,$B$54:$N$54,TRUE,TRUE), 3)</f>
        <v>0.9962395287842265</v>
      </c>
      <c r="O97" s="155">
        <f>INDEX(LOGEST($B$94:$O$94,$B$54:$O$54,TRUE,TRUE), 3)</f>
        <v>0.99668861294260525</v>
      </c>
      <c r="P97">
        <f>INDEX(LOGEST($B$94:$P$94,$B$54:$P$54,TRUE,TRUE), 3)</f>
        <v>0.99633384217673626</v>
      </c>
      <c r="Q97">
        <f>INDEX(LOGEST($B$94:$Q$94,$B$54:$Q$54,TRUE,TRUE), 3)</f>
        <v>0.99514635166442755</v>
      </c>
      <c r="R97">
        <f>INDEX(LOGEST($B$94:$R$94,$B$54:$R$54,TRUE,TRUE), 3)</f>
        <v>0.99297745136662308</v>
      </c>
      <c r="S97">
        <f>INDEX(LOGEST($B$94:$S$94,$B$54:$S$54,TRUE,TRUE), 3)</f>
        <v>0.98949306439742146</v>
      </c>
      <c r="T97">
        <f>INDEX(LOGEST($B$94:$T$94,$B$54:$T$54,TRUE,TRUE), 3)</f>
        <v>0.98464948877820013</v>
      </c>
      <c r="U97">
        <f>INDEX(LOGEST($B$94:$U$94,$B$54:$U$54,TRUE,TRUE), 3)</f>
        <v>0.9778244639842042</v>
      </c>
      <c r="V97">
        <f>INDEX(LOGEST($B$94:$V$94,$B$54:$V$54,TRUE,TRUE), 3)</f>
        <v>0.96887867876325884</v>
      </c>
      <c r="W97">
        <f>INDEX(LOGEST($B$94:$W$94,$B$54:$W$54,TRUE,TRUE), 3)</f>
        <v>0.9583509749640855</v>
      </c>
      <c r="X97">
        <f>INDEX(LOGEST($B$94:$X$94,$B$54:$X$54,TRUE,TRUE), 3)</f>
        <v>0.94634736090540783</v>
      </c>
      <c r="Y97">
        <f>INDEX(LOGEST($B$94:$Y$94,$B$54:$Y$54,TRUE,TRUE), 3)</f>
        <v>0.93335668324181187</v>
      </c>
      <c r="Z97">
        <f>INDEX(LOGEST($B$94:$Z$94,$B$54:$Z$54,TRUE,TRUE), 3)</f>
        <v>0.91976462720517194</v>
      </c>
      <c r="AA97">
        <f>INDEX(LOGEST($B$94:$AA$94,$B$54:$AA$54,TRUE,TRUE), 3)</f>
        <v>0.90603450777379391</v>
      </c>
      <c r="AB97">
        <f>INDEX(LOGEST($B$94:$AB$94,$B$54:$AB$54,TRUE,TRUE), 3)</f>
        <v>0.89230725598080818</v>
      </c>
      <c r="AC97">
        <f>INDEX(LOGEST($B$94:$AC$94,$B$54:$AC$54,TRUE,TRUE), 3)</f>
        <v>0.87894248849103018</v>
      </c>
      <c r="AD97">
        <f>INDEX(LOGEST($B$94:$AD$94,$B$54:$AD$54,TRUE,TRUE), 3)</f>
        <v>0.8661892231210262</v>
      </c>
      <c r="AE97">
        <f>INDEX(LOGEST($B$94:$AE$94,$B$54:$AE$54,TRUE,TRUE), 3)</f>
        <v>0.85403981065156087</v>
      </c>
      <c r="AF97">
        <f>INDEX(LOGEST($B$94:$AF$94,$B$54:$AF$54,TRUE,TRUE), 3)</f>
        <v>0.8425591723848681</v>
      </c>
    </row>
    <row r="98" spans="1:32" x14ac:dyDescent="0.2">
      <c r="A98" t="s">
        <v>336</v>
      </c>
      <c r="H98">
        <f>INDEX(LOGEST($B$95:$H$95,$B$54:$H$54,TRUE,TRUE), 3)</f>
        <v>0.96970011478630691</v>
      </c>
      <c r="I98">
        <f>INDEX(LOGEST($B$95:$I$95,$B$54:$I$54,TRUE,TRUE), 3)</f>
        <v>0.9762524492195026</v>
      </c>
      <c r="J98">
        <f>INDEX(LOGEST($B$95:$J$95,$B$54:$J$54,TRUE,TRUE), 3)</f>
        <v>0.98041479882248905</v>
      </c>
      <c r="K98">
        <f>INDEX(LOGEST($B$95:$K$95,$B$54:$K$54,TRUE,TRUE), 3)</f>
        <v>0.98390958447103138</v>
      </c>
      <c r="L98">
        <f>INDEX(LOGEST($B$95:$L$95,$B$54:$L$54,TRUE,TRUE), 3)</f>
        <v>0.98701205487349231</v>
      </c>
      <c r="M98">
        <f>INDEX(LOGEST($B$95:$M$95,$B$54:$M$54,TRUE,TRUE), 3)</f>
        <v>0.98975456577493037</v>
      </c>
      <c r="N98">
        <f>INDEX(LOGEST($B$95:$N$95,$B$54:$N$54,TRUE,TRUE), 3)</f>
        <v>0.99194981653245284</v>
      </c>
      <c r="O98">
        <f>INDEX(LOGEST($B$95:$O$95,$B$54:$O$54,TRUE,TRUE), 3)</f>
        <v>0.99331581964617277</v>
      </c>
      <c r="P98" s="155">
        <f>INDEX(LOGEST($B$95:$P$95,$B$54:$P$54,TRUE,TRUE), 3)</f>
        <v>0.9937055897614876</v>
      </c>
      <c r="Q98">
        <f>INDEX(LOGEST($B$95:$Q$95,$B$54:$Q$54,TRUE,TRUE), 3)</f>
        <v>0.99306415775170476</v>
      </c>
      <c r="R98">
        <f>INDEX(LOGEST($B$95:$R$95,$B$54:$R$54,TRUE,TRUE), 3)</f>
        <v>0.99139169470302302</v>
      </c>
      <c r="S98">
        <f>INDEX(LOGEST($B$95:$S$95,$B$54:$S$54,TRUE,TRUE), 3)</f>
        <v>0.98866648933795032</v>
      </c>
      <c r="T98">
        <f>INDEX(LOGEST($B$95:$T$95,$B$54:$T$54,TRUE,TRUE), 3)</f>
        <v>0.98449366078974421</v>
      </c>
      <c r="U98">
        <f>INDEX(LOGEST($B$95:$U$95,$B$54:$U$54,TRUE,TRUE), 3)</f>
        <v>0.9789449282148146</v>
      </c>
      <c r="V98">
        <f>INDEX(LOGEST($B$95:$V$95,$B$54:$V$54,TRUE,TRUE), 3)</f>
        <v>0.97118380214786759</v>
      </c>
      <c r="W98">
        <f>INDEX(LOGEST($B$95:$W$95,$B$54:$W$54,TRUE,TRUE), 3)</f>
        <v>0.96174270236861237</v>
      </c>
      <c r="X98">
        <f>INDEX(LOGEST($B$95:$X$95,$B$54:$X$54,TRUE,TRUE), 3)</f>
        <v>0.95087945304427313</v>
      </c>
      <c r="Y98">
        <f>INDEX(LOGEST($B$95:$Y$95,$B$54:$Y$54,TRUE,TRUE), 3)</f>
        <v>0.93862067306769192</v>
      </c>
      <c r="Z98">
        <f>INDEX(LOGEST($B$95:$Z$95,$B$54:$Z$54,TRUE,TRUE), 3)</f>
        <v>0.92568478717214597</v>
      </c>
      <c r="AA98">
        <f>INDEX(LOGEST($B$95:$AA$95,$B$54:$AA$54,TRUE,TRUE), 3)</f>
        <v>0.91218187557378716</v>
      </c>
      <c r="AB98">
        <f>INDEX(LOGEST($B$95:$AB$95,$B$54:$AB$54,TRUE,TRUE), 3)</f>
        <v>0.89859945118714668</v>
      </c>
      <c r="AC98">
        <f>INDEX(LOGEST($B$95:$AC$95,$B$54:$AC$54,TRUE,TRUE), 3)</f>
        <v>0.88503885115350667</v>
      </c>
      <c r="AD98">
        <f>INDEX(LOGEST($B$95:$AD$95,$B$54:$AD$54,TRUE,TRUE), 3)</f>
        <v>0.87189701621303273</v>
      </c>
      <c r="AE98">
        <f>INDEX(LOGEST($B$95:$AE$95,$B$54:$AE$54,TRUE,TRUE), 3)</f>
        <v>0.85932623806057562</v>
      </c>
      <c r="AF98">
        <f>INDEX(LOGEST($B$95:$AF$95,$B$54:$AF$54,TRUE,TRUE), 3)</f>
        <v>0.84743508583094651</v>
      </c>
    </row>
    <row r="99" spans="1:32" x14ac:dyDescent="0.2">
      <c r="A99" t="s">
        <v>337</v>
      </c>
      <c r="H99">
        <f>INDEX(LOGEST($B$96:$H$96,$B$54:$H$54,TRUE,TRUE), 3)</f>
        <v>0.93993058602078172</v>
      </c>
      <c r="I99">
        <f>INDEX(LOGEST($B$96:$I$96,$B$54:$I$54,TRUE,TRUE), 3)</f>
        <v>0.95524271346568346</v>
      </c>
      <c r="J99">
        <f>INDEX(LOGEST($B$96:$J$96,$B$54:$J$54,TRUE,TRUE), 3)</f>
        <v>0.96509003853876152</v>
      </c>
      <c r="K99">
        <f>INDEX(LOGEST($B$96:$K$96,$B$54:$K$54,TRUE,TRUE), 3)</f>
        <v>0.97243255237766835</v>
      </c>
      <c r="L99">
        <f>INDEX(LOGEST($B$96:$L$96,$B$54:$L$54,TRUE,TRUE), 3)</f>
        <v>0.97806850891643249</v>
      </c>
      <c r="M99">
        <f>INDEX(LOGEST($B$96:$M$96,$B$54:$M$54,TRUE,TRUE), 3)</f>
        <v>0.98270285595268214</v>
      </c>
      <c r="N99">
        <f>INDEX(LOGEST($B$96:$N$96,$B$54:$N$54,TRUE,TRUE), 3)</f>
        <v>0.98638225675894364</v>
      </c>
      <c r="O99">
        <f>INDEX(LOGEST($B$96:$O$96,$B$54:$O$54,TRUE,TRUE), 3)</f>
        <v>0.98897137360216603</v>
      </c>
      <c r="P99">
        <f>INDEX(LOGEST($B$96:$P$96,$B$54:$P$54,TRUE,TRUE), 3)</f>
        <v>0.99035183318495812</v>
      </c>
      <c r="Q99" s="155">
        <f>INDEX(LOGEST($B$96:$Q$96,$B$54:$Q$54,TRUE,TRUE), 3)</f>
        <v>0.99054031844024959</v>
      </c>
      <c r="R99">
        <f>INDEX(LOGEST($B$96:$R$96,$B$54:$R$54,TRUE,TRUE), 3)</f>
        <v>0.98966185909785775</v>
      </c>
      <c r="S99">
        <f>INDEX(LOGEST($B$96:$S$96,$B$54:$S$54,TRUE,TRUE), 3)</f>
        <v>0.98759141993595168</v>
      </c>
      <c r="T99">
        <f>INDEX(LOGEST($B$96:$T$96,$B$54:$T$54,TRUE,TRUE), 3)</f>
        <v>0.98396990993109801</v>
      </c>
      <c r="U99">
        <f>INDEX(LOGEST($B$96:$U$96,$B$54:$U$54,TRUE,TRUE), 3)</f>
        <v>0.97893015376658676</v>
      </c>
      <c r="V99">
        <f>INDEX(LOGEST($B$96:$V$96,$B$54:$V$54,TRUE,TRUE), 3)</f>
        <v>0.97164971312117188</v>
      </c>
      <c r="W99">
        <f>INDEX(LOGEST($B$96:$W$96,$B$54:$W$54,TRUE,TRUE), 3)</f>
        <v>0.96265803621200985</v>
      </c>
      <c r="X99">
        <f>INDEX(LOGEST($B$96:$X$96,$B$54:$X$54,TRUE,TRUE), 3)</f>
        <v>0.9520994111584733</v>
      </c>
      <c r="Y99">
        <f>INDEX(LOGEST($B$96:$Y$96,$B$54:$Y$54,TRUE,TRUE), 3)</f>
        <v>0.94024175894562001</v>
      </c>
      <c r="Z99">
        <f>INDEX(LOGEST($B$96:$Z$96,$B$54:$Z$54,TRUE,TRUE), 3)</f>
        <v>0.92755868302321565</v>
      </c>
      <c r="AA99">
        <f>INDEX(LOGEST($B$96:$AA$96,$B$54:$AA$54,TRUE,TRUE), 3)</f>
        <v>0.91435562609175025</v>
      </c>
      <c r="AB99">
        <f>INDEX(LOGEST($B$96:$AB$96,$B$54:$AB$54,TRUE,TRUE), 3)</f>
        <v>0.90100905718356272</v>
      </c>
      <c r="AC99">
        <f>INDEX(LOGEST($B$96:$AC$96,$B$54:$AC$54,TRUE,TRUE), 3)</f>
        <v>0.88763605514792088</v>
      </c>
      <c r="AD99">
        <f>INDEX(LOGEST($B$96:$AD$96,$B$54:$AD$54,TRUE,TRUE), 3)</f>
        <v>0.87470814794423735</v>
      </c>
      <c r="AE99">
        <f>INDEX(LOGEST($B$96:$AE$96,$B$54:$AE$54,TRUE,TRUE), 3)</f>
        <v>0.8622482180240626</v>
      </c>
      <c r="AF99">
        <f>INDEX(LOGEST($B$96:$AF$96,$B$54:$AF$54,TRUE,TRUE), 3)</f>
        <v>0.85046909149991101</v>
      </c>
    </row>
    <row r="100" spans="1:32" s="160" customFormat="1" x14ac:dyDescent="0.2">
      <c r="A100" s="160" t="s">
        <v>338</v>
      </c>
      <c r="B100" s="160">
        <f>$K$43*EXP($J$49*$B$54)</f>
        <v>6.6484929116166652E-4</v>
      </c>
      <c r="C100" s="160">
        <f>$K$43*EXP($J$49*$C$54)</f>
        <v>1.0028014404702967E-3</v>
      </c>
      <c r="D100" s="160">
        <f>$K$43*EXP($J$49*$D$54)</f>
        <v>1.5125393715201766E-3</v>
      </c>
      <c r="E100" s="160">
        <f>$K$43*EXP($J$49*$E$54)</f>
        <v>2.2813841884049583E-3</v>
      </c>
      <c r="F100" s="160">
        <f>$K$43*EXP($J$49*$F$54)</f>
        <v>3.441043527926917E-3</v>
      </c>
      <c r="G100" s="160">
        <f>$K$43*EXP($J$49*$G$54)</f>
        <v>5.190173852027205E-3</v>
      </c>
      <c r="H100" s="160">
        <f>$K$43*EXP($J$49*$H$54)</f>
        <v>7.8284114675224326E-3</v>
      </c>
      <c r="I100" s="160">
        <f>$K$43*EXP($J$49*$I$54)</f>
        <v>1.1807701986880473E-2</v>
      </c>
      <c r="J100" s="160">
        <f>$K$43*EXP($J$49*$J$54)</f>
        <v>1.7809721268407706E-2</v>
      </c>
      <c r="K100" s="160">
        <f>$K$43*EXP($J$49*$K$54)</f>
        <v>2.686265049802232E-2</v>
      </c>
      <c r="L100" s="160">
        <f>$K$43*EXP($J$49*$L$54)</f>
        <v>4.0517309670586109E-2</v>
      </c>
      <c r="M100" s="160">
        <f>$K$43*EXP($J$49*$M$54)</f>
        <v>6.1112822171551277E-2</v>
      </c>
      <c r="N100" s="160">
        <f>$K$43*EXP($J$49*$N$54)</f>
        <v>9.2177320363472801E-2</v>
      </c>
      <c r="O100" s="160">
        <f>$K$43*EXP($J$49*$O$54)</f>
        <v>0.13903233539991186</v>
      </c>
    </row>
    <row r="101" spans="1:32" s="161" customFormat="1" x14ac:dyDescent="0.2">
      <c r="A101" s="161" t="s">
        <v>339</v>
      </c>
      <c r="B101" s="161">
        <f>$Q$43*EXP($P$49*$B$54)</f>
        <v>4.6886622413779173E-4</v>
      </c>
      <c r="C101" s="161">
        <f>$Q$43*EXP($P$49*$C$54)</f>
        <v>7.1554913359923086E-4</v>
      </c>
      <c r="D101" s="161">
        <f>$Q$43*EXP($P$49*$D$54)</f>
        <v>1.0920184398783626E-3</v>
      </c>
      <c r="E101" s="161">
        <f>$Q$43*EXP($P$49*$E$54)</f>
        <v>1.6665581957119354E-3</v>
      </c>
      <c r="F101" s="161">
        <f>$Q$43*EXP($P$49*$F$54)</f>
        <v>2.5433784982641797E-3</v>
      </c>
      <c r="G101" s="161">
        <f>$Q$43*EXP($P$49*$G$54)</f>
        <v>3.8815171303808946E-3</v>
      </c>
      <c r="H101" s="161">
        <f>$Q$43*EXP($P$49*$H$54)</f>
        <v>5.923685854749023E-3</v>
      </c>
      <c r="I101" s="161">
        <f>$Q$43*EXP($P$49*$I$54)</f>
        <v>9.0402935056247604E-3</v>
      </c>
      <c r="J101" s="161">
        <f>$Q$43*EXP($P$49*$J$54)</f>
        <v>1.3796630792350465E-2</v>
      </c>
      <c r="K101" s="161">
        <f>$Q$43*EXP($P$49*$K$54)</f>
        <v>2.1055402803238778E-2</v>
      </c>
      <c r="L101" s="161">
        <f>$Q$43*EXP($P$49*$L$54)</f>
        <v>3.2133206568986376E-2</v>
      </c>
      <c r="M101" s="161">
        <f>$Q$43*EXP($P$49*$M$54)</f>
        <v>4.9039335606836328E-2</v>
      </c>
      <c r="N101" s="161">
        <f>$Q$43*EXP($P$49*$N$54)</f>
        <v>7.484022584540298E-2</v>
      </c>
      <c r="O101" s="161">
        <f>$Q$43*EXP($P$49*$O$54)</f>
        <v>0.11421564618037157</v>
      </c>
      <c r="P101" s="161">
        <f>$Q$43*EXP($P$49*$P$54)</f>
        <v>0.17430751557788279</v>
      </c>
    </row>
    <row r="102" spans="1:32" s="169" customFormat="1" x14ac:dyDescent="0.2">
      <c r="A102" s="169" t="s">
        <v>340</v>
      </c>
      <c r="B102" s="169">
        <f>$W$43*EXP($V$49*$B$54)</f>
        <v>4.9776685274552823E-4</v>
      </c>
      <c r="C102" s="169">
        <f>$W$43*EXP($V$49*$C$54)</f>
        <v>7.4970890709996098E-4</v>
      </c>
      <c r="D102" s="169">
        <f>$W$43*EXP($V$49*$D$54)</f>
        <v>1.129170096973813E-3</v>
      </c>
      <c r="E102" s="169">
        <f>$W$43*EXP($V$49*$E$54)</f>
        <v>1.7006935569592312E-3</v>
      </c>
      <c r="F102" s="169">
        <f>$W$43*EXP($V$49*$F$54)</f>
        <v>2.5614905871437716E-3</v>
      </c>
      <c r="G102" s="169">
        <f>$W$43*EXP($V$49*$G$54)</f>
        <v>3.8579754719347292E-3</v>
      </c>
      <c r="H102" s="169">
        <f>$W$43*EXP($V$49*$H$54)</f>
        <v>5.8106693097969174E-3</v>
      </c>
      <c r="I102" s="169">
        <f>$W$43*EXP($V$49*$I$54)</f>
        <v>8.7517087844219948E-3</v>
      </c>
      <c r="J102" s="169">
        <f>$W$43*EXP($V$49*$J$54)</f>
        <v>1.3181339801628817E-2</v>
      </c>
      <c r="K102" s="169">
        <f>$W$43*EXP($V$49*$K$54)</f>
        <v>1.9853005081164748E-2</v>
      </c>
      <c r="L102" s="169">
        <f>$W$43*EXP($V$49*$L$54)</f>
        <v>2.9901498382133299E-2</v>
      </c>
      <c r="M102" s="169">
        <f>$W$43*EXP($V$49*$M$54)</f>
        <v>4.5035983310404946E-2</v>
      </c>
      <c r="N102" s="169">
        <f>$W$43*EXP($V$49*$N$54)</f>
        <v>6.7830707572399909E-2</v>
      </c>
      <c r="O102" s="169">
        <f>$W$43*EXP($V$49*$O$54)</f>
        <v>0.10216286070763837</v>
      </c>
      <c r="P102" s="169">
        <f>$W$43*EXP($V$49*$P$54)</f>
        <v>0.15387205119197683</v>
      </c>
      <c r="Q102" s="169">
        <f>$W$43*EXP($V$49*$Q$54)</f>
        <v>0.23175357438142016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C9652-5E78-494E-A30D-27B1D64A266C}">
  <sheetPr codeName="Sheet45"/>
  <dimension ref="A42:AF98"/>
  <sheetViews>
    <sheetView workbookViewId="0"/>
  </sheetViews>
  <sheetFormatPr baseColWidth="10" defaultRowHeight="15" x14ac:dyDescent="0.2"/>
  <sheetData>
    <row r="42" spans="9:18" x14ac:dyDescent="0.2">
      <c r="I42" t="s">
        <v>249</v>
      </c>
      <c r="O42" t="s">
        <v>249</v>
      </c>
    </row>
    <row r="43" spans="9:18" x14ac:dyDescent="0.2">
      <c r="I43" t="s">
        <v>250</v>
      </c>
      <c r="J43" s="159">
        <f t="array" ref="J43:K47">LOGEST($B$93:$R$93,$B$54:$R$54,TRUE,TRUE)</f>
        <v>1.0004321838471646</v>
      </c>
      <c r="K43" s="159">
        <v>4.9024971642295894E-4</v>
      </c>
      <c r="L43" t="s">
        <v>255</v>
      </c>
      <c r="O43" t="s">
        <v>250</v>
      </c>
      <c r="P43" s="159">
        <f t="array" ref="P43:Q47">LOGEST($B$94:$T$94,$B$54:$T$54,TRUE,TRUE)</f>
        <v>1.0003663306891606</v>
      </c>
      <c r="Q43" s="159">
        <v>1.2352542761910037E-3</v>
      </c>
      <c r="R43" t="s">
        <v>255</v>
      </c>
    </row>
    <row r="44" spans="9:18" x14ac:dyDescent="0.2">
      <c r="I44" t="s">
        <v>251</v>
      </c>
      <c r="J44" s="159">
        <v>1.0726441135883548E-5</v>
      </c>
      <c r="K44" s="159">
        <v>9.0570705684729857E-2</v>
      </c>
      <c r="L44" t="s">
        <v>256</v>
      </c>
      <c r="O44" t="s">
        <v>251</v>
      </c>
      <c r="P44" s="159">
        <v>1.2081634960295982E-5</v>
      </c>
      <c r="Q44" s="159">
        <v>0.11457185923130628</v>
      </c>
      <c r="R44" t="s">
        <v>256</v>
      </c>
    </row>
    <row r="45" spans="9:18" x14ac:dyDescent="0.2">
      <c r="I45" t="s">
        <v>252</v>
      </c>
      <c r="J45" s="159">
        <v>0.9908408103523566</v>
      </c>
      <c r="K45" s="159">
        <v>0.19501880775027544</v>
      </c>
      <c r="L45" t="s">
        <v>257</v>
      </c>
      <c r="O45" t="s">
        <v>252</v>
      </c>
      <c r="P45" s="159">
        <v>0.98183845284485916</v>
      </c>
      <c r="Q45" s="159">
        <v>0.25962941761997693</v>
      </c>
      <c r="R45" t="s">
        <v>257</v>
      </c>
    </row>
    <row r="46" spans="9:18" x14ac:dyDescent="0.2">
      <c r="I46" t="s">
        <v>253</v>
      </c>
      <c r="J46" s="159">
        <v>1622.6994665526297</v>
      </c>
      <c r="K46" s="159">
        <v>15</v>
      </c>
      <c r="L46" t="s">
        <v>258</v>
      </c>
      <c r="O46" t="s">
        <v>253</v>
      </c>
      <c r="P46" s="159">
        <v>919.04360106445506</v>
      </c>
      <c r="Q46" s="159">
        <v>17</v>
      </c>
      <c r="R46" t="s">
        <v>258</v>
      </c>
    </row>
    <row r="47" spans="9:18" x14ac:dyDescent="0.2">
      <c r="I47" t="s">
        <v>254</v>
      </c>
      <c r="J47" s="159">
        <v>61.715050326935824</v>
      </c>
      <c r="K47" s="159">
        <v>0.57048503064508338</v>
      </c>
      <c r="L47" t="s">
        <v>259</v>
      </c>
      <c r="O47" t="s">
        <v>254</v>
      </c>
      <c r="P47" s="159">
        <v>61.950371335595733</v>
      </c>
      <c r="Q47" s="159">
        <v>1.1459263863927025</v>
      </c>
      <c r="R47" t="s">
        <v>259</v>
      </c>
    </row>
    <row r="49" spans="1:32" x14ac:dyDescent="0.2">
      <c r="I49" t="s">
        <v>260</v>
      </c>
      <c r="J49">
        <f>LN($J$43)</f>
        <v>4.3209048262517809E-4</v>
      </c>
      <c r="O49" t="s">
        <v>260</v>
      </c>
      <c r="P49">
        <f>LN($P$43)</f>
        <v>3.6626360645614618E-4</v>
      </c>
    </row>
    <row r="50" spans="1:32" x14ac:dyDescent="0.2">
      <c r="I50" t="s">
        <v>261</v>
      </c>
      <c r="J50">
        <f>ROUND(LN(2)/$J$49, 1)</f>
        <v>1604.2</v>
      </c>
      <c r="O50" t="s">
        <v>261</v>
      </c>
      <c r="P50">
        <f>ROUND(LN(2)/$P$49, 1)</f>
        <v>1892.5</v>
      </c>
    </row>
    <row r="51" spans="1:32" x14ac:dyDescent="0.2">
      <c r="I51" t="s">
        <v>204</v>
      </c>
      <c r="J51" s="155">
        <f>ROUND($J$50/60, 1)</f>
        <v>26.7</v>
      </c>
      <c r="O51" t="s">
        <v>204</v>
      </c>
      <c r="P51" s="155">
        <f>ROUND($P$50/60, 1)</f>
        <v>31.5</v>
      </c>
    </row>
    <row r="54" spans="1:32" x14ac:dyDescent="0.2">
      <c r="A54" t="s">
        <v>206</v>
      </c>
      <c r="B54" s="166">
        <v>0</v>
      </c>
      <c r="C54" s="166">
        <v>900.1</v>
      </c>
      <c r="D54" s="166">
        <v>1800.2</v>
      </c>
      <c r="E54" s="166">
        <v>2700.3</v>
      </c>
      <c r="F54" s="166">
        <v>3600.4</v>
      </c>
      <c r="G54" s="166">
        <v>4500.5</v>
      </c>
      <c r="H54" s="166">
        <v>5400.6</v>
      </c>
      <c r="I54" s="166">
        <v>6300.7</v>
      </c>
      <c r="J54" s="166">
        <v>7200.8</v>
      </c>
      <c r="K54" s="166">
        <v>8100.9</v>
      </c>
      <c r="L54" s="166">
        <v>9001</v>
      </c>
      <c r="M54" s="166">
        <v>9901.1</v>
      </c>
      <c r="N54" s="166">
        <v>10801.2</v>
      </c>
      <c r="O54" s="166">
        <v>11701.3</v>
      </c>
      <c r="P54" s="166">
        <v>12601.4</v>
      </c>
      <c r="Q54" s="166">
        <v>13501.5</v>
      </c>
      <c r="R54" s="166">
        <v>14401.6</v>
      </c>
      <c r="S54" s="166">
        <v>15301.7</v>
      </c>
      <c r="T54" s="166">
        <v>16201.8</v>
      </c>
      <c r="U54" s="166">
        <v>17101.900000000001</v>
      </c>
      <c r="V54" s="166">
        <v>18002</v>
      </c>
      <c r="W54" s="166">
        <v>18902.099999999999</v>
      </c>
      <c r="X54" s="166">
        <v>19802.2</v>
      </c>
      <c r="Y54" s="166">
        <v>20702.3</v>
      </c>
      <c r="Z54" s="166">
        <v>21602.400000000001</v>
      </c>
      <c r="AA54" s="166">
        <v>22502.5</v>
      </c>
      <c r="AB54" s="166">
        <v>23402.6</v>
      </c>
      <c r="AC54" s="166">
        <v>24302.7</v>
      </c>
      <c r="AD54" s="166">
        <v>25202.799999999999</v>
      </c>
      <c r="AE54" s="166">
        <v>26102.9</v>
      </c>
      <c r="AF54" s="166">
        <v>27003</v>
      </c>
    </row>
    <row r="55" spans="1:32" x14ac:dyDescent="0.2">
      <c r="A55" s="156" t="s">
        <v>341</v>
      </c>
      <c r="B55" s="156">
        <v>0.10719999670982361</v>
      </c>
      <c r="C55" s="156">
        <v>0.10710000246763229</v>
      </c>
      <c r="D55" s="156">
        <v>0.10729999840259552</v>
      </c>
      <c r="E55" s="156">
        <v>0.10760000348091125</v>
      </c>
      <c r="F55" s="156">
        <v>0.10790000110864639</v>
      </c>
      <c r="G55" s="156">
        <v>0.10859999805688858</v>
      </c>
      <c r="H55" s="156">
        <v>0.10989999771118164</v>
      </c>
      <c r="I55" s="156">
        <v>0.11209999769926071</v>
      </c>
      <c r="J55" s="156">
        <v>0.11599999666213989</v>
      </c>
      <c r="K55" s="156">
        <v>0.12250000238418579</v>
      </c>
      <c r="L55" s="156">
        <v>0.1331000030040741</v>
      </c>
      <c r="M55" s="156">
        <v>0.14810000360012054</v>
      </c>
      <c r="N55" s="156">
        <v>0.16910000145435333</v>
      </c>
      <c r="O55" s="156">
        <v>0.1956000030040741</v>
      </c>
      <c r="P55" s="156">
        <v>0.22699999809265137</v>
      </c>
      <c r="Q55" s="156">
        <v>0.26769998669624329</v>
      </c>
      <c r="R55" s="156">
        <v>0.3140999972820282</v>
      </c>
      <c r="S55" s="156">
        <v>0.36590000987052917</v>
      </c>
      <c r="T55" s="156">
        <v>0.41159999370574951</v>
      </c>
      <c r="U55" s="156">
        <v>0.44710001349449158</v>
      </c>
      <c r="V55" s="156">
        <f t="shared" ref="V55:V56" si="0">AVERAGE(U55,W55)</f>
        <v>0.46930000185966492</v>
      </c>
      <c r="W55" s="156">
        <v>0.49149999022483826</v>
      </c>
      <c r="X55" s="156">
        <v>0.50099998712539673</v>
      </c>
      <c r="Y55" s="156">
        <v>0.50639998912811279</v>
      </c>
      <c r="Z55" s="156">
        <v>0.50819998979568481</v>
      </c>
      <c r="AA55" s="156">
        <v>0.51020002365112305</v>
      </c>
      <c r="AB55" s="156">
        <v>0.51279997825622559</v>
      </c>
      <c r="AC55" s="156">
        <v>0.51929998397827148</v>
      </c>
      <c r="AD55" s="156">
        <v>0.52420002222061157</v>
      </c>
      <c r="AE55" s="156">
        <v>0.5350000262260437</v>
      </c>
      <c r="AF55" s="156">
        <v>0.54610002040863037</v>
      </c>
    </row>
    <row r="56" spans="1:32" x14ac:dyDescent="0.2">
      <c r="A56" s="157" t="s">
        <v>342</v>
      </c>
      <c r="B56" s="157">
        <v>0.10890000313520432</v>
      </c>
      <c r="C56" s="157">
        <v>0.10890000313520432</v>
      </c>
      <c r="D56" s="157">
        <v>0.10899999737739563</v>
      </c>
      <c r="E56" s="157">
        <v>0.10949999839067459</v>
      </c>
      <c r="F56" s="157">
        <v>0.10999999940395355</v>
      </c>
      <c r="G56" s="157">
        <v>0.11100000143051147</v>
      </c>
      <c r="H56" s="157">
        <v>0.11270000040531158</v>
      </c>
      <c r="I56" s="157">
        <v>0.11569999903440475</v>
      </c>
      <c r="J56" s="157">
        <v>0.12060000002384186</v>
      </c>
      <c r="K56" s="157">
        <v>0.12829999625682831</v>
      </c>
      <c r="L56" s="157">
        <v>0.1421000063419342</v>
      </c>
      <c r="M56" s="157">
        <v>0.16189999878406525</v>
      </c>
      <c r="N56" s="157">
        <v>0.18790000677108765</v>
      </c>
      <c r="O56" s="157">
        <v>0.2223999947309494</v>
      </c>
      <c r="P56" s="157">
        <v>0.26679998636245728</v>
      </c>
      <c r="Q56" s="157">
        <v>0.31540000438690186</v>
      </c>
      <c r="R56" s="157">
        <v>0.36259999871253967</v>
      </c>
      <c r="S56" s="157">
        <v>0.40900000929832458</v>
      </c>
      <c r="T56" s="157">
        <v>0.44789999723434448</v>
      </c>
      <c r="U56" s="157">
        <v>0.47879999876022339</v>
      </c>
      <c r="V56" s="157">
        <f t="shared" si="0"/>
        <v>0.48710000514984131</v>
      </c>
      <c r="W56" s="157">
        <v>0.49540001153945923</v>
      </c>
      <c r="X56" s="157">
        <v>0.50300002098083496</v>
      </c>
      <c r="Y56" s="157">
        <v>0.49810001254081726</v>
      </c>
      <c r="Z56" s="157">
        <v>0.49279999732971191</v>
      </c>
      <c r="AA56" s="157">
        <v>0.49129998683929443</v>
      </c>
      <c r="AB56" s="157">
        <v>0.49149999022483826</v>
      </c>
      <c r="AC56" s="157">
        <v>0.49579998850822449</v>
      </c>
      <c r="AD56" s="157">
        <v>0.50050002336502075</v>
      </c>
      <c r="AE56" s="157">
        <v>0.51080000400543213</v>
      </c>
      <c r="AF56" s="157">
        <v>0.51649999618530273</v>
      </c>
    </row>
    <row r="57" spans="1:32" x14ac:dyDescent="0.2">
      <c r="A57" s="158" t="s">
        <v>209</v>
      </c>
      <c r="B57" s="158">
        <v>0.10480000078678131</v>
      </c>
      <c r="C57" s="158">
        <v>0.1046999990940094</v>
      </c>
      <c r="D57" s="158">
        <v>0.1046999990940094</v>
      </c>
      <c r="E57" s="158">
        <v>0.10480000078678131</v>
      </c>
      <c r="F57" s="158">
        <v>0.10459999740123749</v>
      </c>
      <c r="G57" s="158">
        <v>0.10450000315904617</v>
      </c>
      <c r="H57" s="158">
        <v>0.10440000146627426</v>
      </c>
      <c r="I57" s="158">
        <v>0.10429999977350235</v>
      </c>
      <c r="J57" s="158">
        <v>0.10419999808073044</v>
      </c>
      <c r="K57" s="158">
        <v>0.10419999808073044</v>
      </c>
      <c r="L57" s="158">
        <v>0.10419999808073044</v>
      </c>
      <c r="M57" s="158">
        <v>0.10409999638795853</v>
      </c>
      <c r="N57" s="158">
        <v>0.10400000214576721</v>
      </c>
      <c r="O57" s="158">
        <v>0.1039000004529953</v>
      </c>
      <c r="P57" s="158">
        <v>0.10379999876022339</v>
      </c>
      <c r="Q57" s="158">
        <v>0.10379999876022339</v>
      </c>
      <c r="R57" s="158">
        <v>0.1039000004529953</v>
      </c>
      <c r="S57" s="158">
        <v>0.10360000282526016</v>
      </c>
      <c r="T57" s="158">
        <v>0.10360000282526016</v>
      </c>
      <c r="U57" s="158">
        <v>0.10379999876022339</v>
      </c>
      <c r="V57" s="158">
        <f>AVERAGE(U57,W57)</f>
        <v>0.10359999909996986</v>
      </c>
      <c r="W57" s="158">
        <v>0.10339999943971634</v>
      </c>
      <c r="X57" s="158">
        <v>0.10329999774694443</v>
      </c>
      <c r="Y57" s="158">
        <v>0.10320000350475311</v>
      </c>
      <c r="Z57" s="158">
        <v>0.10320000350475311</v>
      </c>
      <c r="AA57" s="158">
        <v>0.1031000018119812</v>
      </c>
      <c r="AB57" s="158">
        <v>0.1031000018119812</v>
      </c>
      <c r="AC57" s="158">
        <v>0.10300000011920929</v>
      </c>
      <c r="AD57" s="158">
        <v>0.10300000011920929</v>
      </c>
      <c r="AE57" s="158">
        <v>0.10289999842643738</v>
      </c>
      <c r="AF57" s="158">
        <v>0.10289999842643738</v>
      </c>
    </row>
    <row r="58" spans="1:32" x14ac:dyDescent="0.2">
      <c r="A58" s="158" t="s">
        <v>210</v>
      </c>
      <c r="B58" s="158">
        <v>0.10660000145435333</v>
      </c>
      <c r="C58" s="158">
        <v>0.10649999976158142</v>
      </c>
      <c r="D58" s="158">
        <v>0.10649999976158142</v>
      </c>
      <c r="E58" s="158">
        <v>0.10649999976158142</v>
      </c>
      <c r="F58" s="158">
        <v>0.10639999806880951</v>
      </c>
      <c r="G58" s="158">
        <v>0.1062999963760376</v>
      </c>
      <c r="H58" s="158">
        <v>0.1062999963760376</v>
      </c>
      <c r="I58" s="158">
        <v>0.10610000044107437</v>
      </c>
      <c r="J58" s="158">
        <v>0.10610000044107437</v>
      </c>
      <c r="K58" s="158">
        <v>0.10610000044107437</v>
      </c>
      <c r="L58" s="158">
        <v>0.10610000044107437</v>
      </c>
      <c r="M58" s="158">
        <v>0.10599999874830246</v>
      </c>
      <c r="N58" s="158">
        <v>0.10589999705553055</v>
      </c>
      <c r="O58" s="158">
        <v>0.10589999705553055</v>
      </c>
      <c r="P58" s="158">
        <v>0.10570000112056732</v>
      </c>
      <c r="Q58" s="158">
        <v>0.10570000112056732</v>
      </c>
      <c r="R58" s="158">
        <v>0.10570000112056732</v>
      </c>
      <c r="S58" s="158">
        <v>0.10559999942779541</v>
      </c>
      <c r="T58" s="158">
        <v>0.10559999942779541</v>
      </c>
      <c r="U58" s="158">
        <v>0.10559999942779541</v>
      </c>
      <c r="V58" s="158">
        <f t="shared" ref="V58:V92" si="1">AVERAGE(U58,W58)</f>
        <v>0.1055000014603138</v>
      </c>
      <c r="W58" s="158">
        <v>0.10540000349283218</v>
      </c>
      <c r="X58" s="158">
        <v>0.10540000349283218</v>
      </c>
      <c r="Y58" s="158">
        <v>0.10530000180006027</v>
      </c>
      <c r="Z58" s="158">
        <v>0.10530000180006027</v>
      </c>
      <c r="AA58" s="158">
        <v>0.10520000010728836</v>
      </c>
      <c r="AB58" s="158">
        <v>0.10520000010728836</v>
      </c>
      <c r="AC58" s="158">
        <v>0.10520000010728836</v>
      </c>
      <c r="AD58" s="158">
        <v>0.10509999841451645</v>
      </c>
      <c r="AE58" s="158">
        <v>0.10509999841451645</v>
      </c>
      <c r="AF58" s="158">
        <v>0.10509999841451645</v>
      </c>
    </row>
    <row r="59" spans="1:32" x14ac:dyDescent="0.2">
      <c r="A59" s="158" t="s">
        <v>211</v>
      </c>
      <c r="B59" s="158">
        <v>0.10740000009536743</v>
      </c>
      <c r="C59" s="158">
        <v>0.10740000009536743</v>
      </c>
      <c r="D59" s="158">
        <v>0.10729999840259552</v>
      </c>
      <c r="E59" s="158">
        <v>0.10729999840259552</v>
      </c>
      <c r="F59" s="158">
        <v>0.10719999670982361</v>
      </c>
      <c r="G59" s="158">
        <v>0.10719999670982361</v>
      </c>
      <c r="H59" s="158">
        <v>0.10710000246763229</v>
      </c>
      <c r="I59" s="158">
        <v>0.10689999908208847</v>
      </c>
      <c r="J59" s="158">
        <v>0.10689999908208847</v>
      </c>
      <c r="K59" s="158">
        <v>0.10710000246763229</v>
      </c>
      <c r="L59" s="158">
        <v>0.10679999738931656</v>
      </c>
      <c r="M59" s="158">
        <v>0.10670000314712524</v>
      </c>
      <c r="N59" s="158">
        <v>0.10670000314712524</v>
      </c>
      <c r="O59" s="158">
        <v>0.10660000145435333</v>
      </c>
      <c r="P59" s="158">
        <v>0.10649999976158142</v>
      </c>
      <c r="Q59" s="158">
        <v>0.10649999976158142</v>
      </c>
      <c r="R59" s="158">
        <v>0.10639999806880951</v>
      </c>
      <c r="S59" s="158">
        <v>0.1062999963760376</v>
      </c>
      <c r="T59" s="158">
        <v>0.1062999963760376</v>
      </c>
      <c r="U59" s="158">
        <v>0.1062999963760376</v>
      </c>
      <c r="V59" s="158">
        <f t="shared" si="1"/>
        <v>0.10624999925494194</v>
      </c>
      <c r="W59" s="158">
        <v>0.10620000213384628</v>
      </c>
      <c r="X59" s="158">
        <v>0.10610000044107437</v>
      </c>
      <c r="Y59" s="158">
        <v>0.10610000044107437</v>
      </c>
      <c r="Z59" s="158">
        <v>0.10599999874830246</v>
      </c>
      <c r="AA59" s="158">
        <v>0.10589999705553055</v>
      </c>
      <c r="AB59" s="158">
        <v>0.10589999705553055</v>
      </c>
      <c r="AC59" s="158">
        <v>0.10599999874830246</v>
      </c>
      <c r="AD59" s="158">
        <v>0.10580000281333923</v>
      </c>
      <c r="AE59" s="158">
        <v>0.10580000281333923</v>
      </c>
      <c r="AF59" s="158">
        <v>0.10580000281333923</v>
      </c>
    </row>
    <row r="60" spans="1:32" x14ac:dyDescent="0.2">
      <c r="A60" s="158" t="s">
        <v>212</v>
      </c>
      <c r="B60" s="158">
        <v>0.10700000077486038</v>
      </c>
      <c r="C60" s="158">
        <v>0.10689999908208847</v>
      </c>
      <c r="D60" s="158">
        <v>0.10679999738931656</v>
      </c>
      <c r="E60" s="158">
        <v>0.10689999908208847</v>
      </c>
      <c r="F60" s="158">
        <v>0.10670000314712524</v>
      </c>
      <c r="G60" s="158">
        <v>0.10689999908208847</v>
      </c>
      <c r="H60" s="158">
        <v>0.10660000145435333</v>
      </c>
      <c r="I60" s="158">
        <v>0.10639999806880951</v>
      </c>
      <c r="J60" s="158">
        <v>0.10639999806880951</v>
      </c>
      <c r="K60" s="158">
        <v>0.1062999963760376</v>
      </c>
      <c r="L60" s="158">
        <v>0.1062999963760376</v>
      </c>
      <c r="M60" s="158">
        <v>0.1062999963760376</v>
      </c>
      <c r="N60" s="158">
        <v>0.10620000213384628</v>
      </c>
      <c r="O60" s="158">
        <v>0.10610000044107437</v>
      </c>
      <c r="P60" s="158">
        <v>0.10599999874830246</v>
      </c>
      <c r="Q60" s="158">
        <v>0.10599999874830246</v>
      </c>
      <c r="R60" s="158">
        <v>0.10599999874830246</v>
      </c>
      <c r="S60" s="158">
        <v>0.10580000281333923</v>
      </c>
      <c r="T60" s="158">
        <v>0.10580000281333923</v>
      </c>
      <c r="U60" s="158">
        <v>0.10580000281333923</v>
      </c>
      <c r="V60" s="158">
        <f t="shared" si="1"/>
        <v>0.10575000196695328</v>
      </c>
      <c r="W60" s="158">
        <v>0.10570000112056732</v>
      </c>
      <c r="X60" s="158">
        <v>0.10559999942779541</v>
      </c>
      <c r="Y60" s="158">
        <v>0.10559999942779541</v>
      </c>
      <c r="Z60" s="158">
        <v>0.10559999942779541</v>
      </c>
      <c r="AA60" s="158">
        <v>0.10540000349283218</v>
      </c>
      <c r="AB60" s="158">
        <v>0.10540000349283218</v>
      </c>
      <c r="AC60" s="158">
        <v>0.10540000349283218</v>
      </c>
      <c r="AD60" s="158">
        <v>0.10540000349283218</v>
      </c>
      <c r="AE60" s="158">
        <v>0.10530000180006027</v>
      </c>
      <c r="AF60" s="158">
        <v>0.10530000180006027</v>
      </c>
    </row>
    <row r="61" spans="1:32" x14ac:dyDescent="0.2">
      <c r="A61" s="158" t="s">
        <v>213</v>
      </c>
      <c r="B61" s="158">
        <v>0.10570000112056732</v>
      </c>
      <c r="C61" s="158">
        <v>0.1054999977350235</v>
      </c>
      <c r="D61" s="158">
        <v>0.1054999977350235</v>
      </c>
      <c r="E61" s="158">
        <v>0.1054999977350235</v>
      </c>
      <c r="F61" s="158">
        <v>0.10540000349283218</v>
      </c>
      <c r="G61" s="158">
        <v>0.10530000180006027</v>
      </c>
      <c r="H61" s="158">
        <v>0.10520000010728836</v>
      </c>
      <c r="I61" s="158">
        <v>0.10520000010728836</v>
      </c>
      <c r="J61" s="158">
        <v>0.10499999672174454</v>
      </c>
      <c r="K61" s="158">
        <v>0.10499999672174454</v>
      </c>
      <c r="L61" s="158">
        <v>0.10499999672174454</v>
      </c>
      <c r="M61" s="158">
        <v>0.10490000247955322</v>
      </c>
      <c r="N61" s="158">
        <v>0.10490000247955322</v>
      </c>
      <c r="O61" s="158">
        <v>0.10480000078678131</v>
      </c>
      <c r="P61" s="158">
        <v>0.10459999740123749</v>
      </c>
      <c r="Q61" s="158">
        <v>0.10459999740123749</v>
      </c>
      <c r="R61" s="158">
        <v>0.10459999740123749</v>
      </c>
      <c r="S61" s="158">
        <v>0.10440000146627426</v>
      </c>
      <c r="T61" s="158">
        <v>0.10450000315904617</v>
      </c>
      <c r="U61" s="158">
        <v>0.10450000315904617</v>
      </c>
      <c r="V61" s="158">
        <f t="shared" si="1"/>
        <v>0.10445000231266022</v>
      </c>
      <c r="W61" s="158">
        <v>0.10440000146627426</v>
      </c>
      <c r="X61" s="158">
        <v>0.10440000146627426</v>
      </c>
      <c r="Y61" s="158">
        <v>0.10429999977350235</v>
      </c>
      <c r="Z61" s="158">
        <v>0.10419999808073044</v>
      </c>
      <c r="AA61" s="158">
        <v>0.10419999808073044</v>
      </c>
      <c r="AB61" s="158">
        <v>0.10419999808073044</v>
      </c>
      <c r="AC61" s="158">
        <v>0.10440000146627426</v>
      </c>
      <c r="AD61" s="158">
        <v>0.10409999638795853</v>
      </c>
      <c r="AE61" s="158">
        <v>0.10400000214576721</v>
      </c>
      <c r="AF61" s="158">
        <v>0.10400000214576721</v>
      </c>
    </row>
    <row r="62" spans="1:32" x14ac:dyDescent="0.2">
      <c r="A62" s="158" t="s">
        <v>214</v>
      </c>
      <c r="B62" s="158">
        <v>0.10689999908208847</v>
      </c>
      <c r="C62" s="158">
        <v>0.10679999738931656</v>
      </c>
      <c r="D62" s="158">
        <v>0.10679999738931656</v>
      </c>
      <c r="E62" s="158">
        <v>0.10679999738931656</v>
      </c>
      <c r="F62" s="158">
        <v>0.10670000314712524</v>
      </c>
      <c r="G62" s="158">
        <v>0.10660000145435333</v>
      </c>
      <c r="H62" s="158">
        <v>0.10649999976158142</v>
      </c>
      <c r="I62" s="158">
        <v>0.1062999963760376</v>
      </c>
      <c r="J62" s="158">
        <v>0.1062999963760376</v>
      </c>
      <c r="K62" s="158">
        <v>0.10620000213384628</v>
      </c>
      <c r="L62" s="158">
        <v>0.1062999963760376</v>
      </c>
      <c r="M62" s="158">
        <v>0.10620000213384628</v>
      </c>
      <c r="N62" s="158">
        <v>0.10610000044107437</v>
      </c>
      <c r="O62" s="158">
        <v>0.10610000044107437</v>
      </c>
      <c r="P62" s="158">
        <v>0.10580000281333923</v>
      </c>
      <c r="Q62" s="158">
        <v>0.10589999705553055</v>
      </c>
      <c r="R62" s="158">
        <v>0.10580000281333923</v>
      </c>
      <c r="S62" s="158">
        <v>0.10570000112056732</v>
      </c>
      <c r="T62" s="158">
        <v>0.10570000112056732</v>
      </c>
      <c r="U62" s="158">
        <v>0.10570000112056732</v>
      </c>
      <c r="V62" s="158">
        <f t="shared" si="1"/>
        <v>0.10565000027418137</v>
      </c>
      <c r="W62" s="158">
        <v>0.10559999942779541</v>
      </c>
      <c r="X62" s="158">
        <v>0.1054999977350235</v>
      </c>
      <c r="Y62" s="158">
        <v>0.1054999977350235</v>
      </c>
      <c r="Z62" s="158">
        <v>0.10540000349283218</v>
      </c>
      <c r="AA62" s="158">
        <v>0.10540000349283218</v>
      </c>
      <c r="AB62" s="158">
        <v>0.10540000349283218</v>
      </c>
      <c r="AC62" s="158">
        <v>0.10540000349283218</v>
      </c>
      <c r="AD62" s="158">
        <v>0.10530000180006027</v>
      </c>
      <c r="AE62" s="158">
        <v>0.10520000010728836</v>
      </c>
      <c r="AF62" s="158">
        <v>0.10530000180006027</v>
      </c>
    </row>
    <row r="63" spans="1:32" x14ac:dyDescent="0.2">
      <c r="A63" s="158" t="s">
        <v>215</v>
      </c>
      <c r="B63" s="158">
        <v>0.10819999873638153</v>
      </c>
      <c r="C63" s="158">
        <v>0.10790000110864639</v>
      </c>
      <c r="D63" s="158">
        <v>0.10779999941587448</v>
      </c>
      <c r="E63" s="158">
        <v>0.1080000028014183</v>
      </c>
      <c r="F63" s="158">
        <v>0.10760000348091125</v>
      </c>
      <c r="G63" s="158">
        <v>0.10750000178813934</v>
      </c>
      <c r="H63" s="158">
        <v>0.10740000009536743</v>
      </c>
      <c r="I63" s="158">
        <v>0.10719999670982361</v>
      </c>
      <c r="J63" s="158">
        <v>0.10719999670982361</v>
      </c>
      <c r="K63" s="158">
        <v>0.10710000246763229</v>
      </c>
      <c r="L63" s="158">
        <v>0.10719999670982361</v>
      </c>
      <c r="M63" s="158">
        <v>0.10700000077486038</v>
      </c>
      <c r="N63" s="158">
        <v>0.10700000077486038</v>
      </c>
      <c r="O63" s="158">
        <v>0.10700000077486038</v>
      </c>
      <c r="P63" s="158">
        <v>0.10679999738931656</v>
      </c>
      <c r="Q63" s="158">
        <v>0.10679999738931656</v>
      </c>
      <c r="R63" s="158">
        <v>0.10670000314712524</v>
      </c>
      <c r="S63" s="158">
        <v>0.10660000145435333</v>
      </c>
      <c r="T63" s="158">
        <v>0.10660000145435333</v>
      </c>
      <c r="U63" s="158">
        <v>0.10660000145435333</v>
      </c>
      <c r="V63" s="158">
        <f t="shared" si="1"/>
        <v>0.10655000060796738</v>
      </c>
      <c r="W63" s="158">
        <v>0.10649999976158142</v>
      </c>
      <c r="X63" s="158">
        <v>0.10649999976158142</v>
      </c>
      <c r="Y63" s="158">
        <v>0.1062999963760376</v>
      </c>
      <c r="Z63" s="158">
        <v>0.1062999963760376</v>
      </c>
      <c r="AA63" s="158">
        <v>0.1062999963760376</v>
      </c>
      <c r="AB63" s="158">
        <v>0.1062999963760376</v>
      </c>
      <c r="AC63" s="158">
        <v>0.1062999963760376</v>
      </c>
      <c r="AD63" s="158">
        <v>0.10620000213384628</v>
      </c>
      <c r="AE63" s="158">
        <v>0.10610000044107437</v>
      </c>
      <c r="AF63" s="158">
        <v>0.10610000044107437</v>
      </c>
    </row>
    <row r="64" spans="1:32" x14ac:dyDescent="0.2">
      <c r="A64" s="158" t="s">
        <v>216</v>
      </c>
      <c r="B64" s="158">
        <v>0.10639999806880951</v>
      </c>
      <c r="C64" s="158">
        <v>0.10599999874830246</v>
      </c>
      <c r="D64" s="158">
        <v>0.10589999705553055</v>
      </c>
      <c r="E64" s="158">
        <v>0.10840000212192535</v>
      </c>
      <c r="F64" s="158">
        <v>0.10869999974966049</v>
      </c>
      <c r="G64" s="158">
        <v>0.10819999873638153</v>
      </c>
      <c r="H64" s="158">
        <v>0.10819999873638153</v>
      </c>
      <c r="I64" s="158">
        <v>0.1080000028014183</v>
      </c>
      <c r="J64" s="158">
        <v>0.10779999941587448</v>
      </c>
      <c r="K64" s="158">
        <v>0.1080000028014183</v>
      </c>
      <c r="L64" s="158">
        <v>0.10830000042915344</v>
      </c>
      <c r="M64" s="158">
        <v>0.1080000028014183</v>
      </c>
      <c r="N64" s="158">
        <v>0.10809999704360962</v>
      </c>
      <c r="O64" s="158">
        <v>0.10779999941587448</v>
      </c>
      <c r="P64" s="158">
        <v>0.10740000009536743</v>
      </c>
      <c r="Q64" s="158">
        <v>0.10760000348091125</v>
      </c>
      <c r="R64" s="158">
        <v>0.10760000348091125</v>
      </c>
      <c r="S64" s="158">
        <v>0.1080000028014183</v>
      </c>
      <c r="T64" s="158">
        <v>0.10750000178813934</v>
      </c>
      <c r="U64" s="158">
        <v>0.10750000178813934</v>
      </c>
      <c r="V64" s="158">
        <f t="shared" si="1"/>
        <v>0.1075500026345253</v>
      </c>
      <c r="W64" s="158">
        <v>0.10760000348091125</v>
      </c>
      <c r="X64" s="158">
        <v>0.10779999941587448</v>
      </c>
      <c r="Y64" s="158">
        <v>0.10740000009536743</v>
      </c>
      <c r="Z64" s="158">
        <v>0.10750000178813934</v>
      </c>
      <c r="AA64" s="158">
        <v>0.10920000076293945</v>
      </c>
      <c r="AB64" s="158">
        <v>0.10830000042915344</v>
      </c>
      <c r="AC64" s="158">
        <v>0.10909999907016754</v>
      </c>
      <c r="AD64" s="158">
        <v>0.10819999873638153</v>
      </c>
      <c r="AE64" s="158">
        <v>0.10740000009536743</v>
      </c>
      <c r="AF64" s="158">
        <v>0.10849999636411667</v>
      </c>
    </row>
    <row r="65" spans="1:32" x14ac:dyDescent="0.2">
      <c r="A65" s="158" t="s">
        <v>217</v>
      </c>
      <c r="B65" s="158">
        <v>0.10580000281333923</v>
      </c>
      <c r="C65" s="158">
        <v>0.10570000112056732</v>
      </c>
      <c r="D65" s="158">
        <v>0.10570000112056732</v>
      </c>
      <c r="E65" s="158">
        <v>0.10580000281333923</v>
      </c>
      <c r="F65" s="158">
        <v>0.1054999977350235</v>
      </c>
      <c r="G65" s="158">
        <v>0.10559999942779541</v>
      </c>
      <c r="H65" s="158">
        <v>0.10540000349283218</v>
      </c>
      <c r="I65" s="158">
        <v>0.10530000180006027</v>
      </c>
      <c r="J65" s="158">
        <v>0.10520000010728836</v>
      </c>
      <c r="K65" s="158">
        <v>0.10520000010728836</v>
      </c>
      <c r="L65" s="158">
        <v>0.10520000010728836</v>
      </c>
      <c r="M65" s="158">
        <v>0.10509999841451645</v>
      </c>
      <c r="N65" s="158">
        <v>0.10509999841451645</v>
      </c>
      <c r="O65" s="158">
        <v>0.10499999672174454</v>
      </c>
      <c r="P65" s="158">
        <v>0.10480000078678131</v>
      </c>
      <c r="Q65" s="158">
        <v>0.10480000078678131</v>
      </c>
      <c r="R65" s="158">
        <v>0.10480000078678131</v>
      </c>
      <c r="S65" s="158">
        <v>0.1046999990940094</v>
      </c>
      <c r="T65" s="158">
        <v>0.1046999990940094</v>
      </c>
      <c r="U65" s="158">
        <v>0.1046999990940094</v>
      </c>
      <c r="V65" s="158">
        <f t="shared" si="1"/>
        <v>0.10464999824762344</v>
      </c>
      <c r="W65" s="158">
        <v>0.10459999740123749</v>
      </c>
      <c r="X65" s="158">
        <v>0.10459999740123749</v>
      </c>
      <c r="Y65" s="158">
        <v>0.10450000315904617</v>
      </c>
      <c r="Z65" s="158">
        <v>0.10450000315904617</v>
      </c>
      <c r="AA65" s="158">
        <v>0.10429999977350235</v>
      </c>
      <c r="AB65" s="158">
        <v>0.10429999977350235</v>
      </c>
      <c r="AC65" s="158">
        <v>0.10429999977350235</v>
      </c>
      <c r="AD65" s="158">
        <v>0.10429999977350235</v>
      </c>
      <c r="AE65" s="158">
        <v>0.10419999808073044</v>
      </c>
      <c r="AF65" s="158">
        <v>0.10419999808073044</v>
      </c>
    </row>
    <row r="66" spans="1:32" x14ac:dyDescent="0.2">
      <c r="A66" s="158" t="s">
        <v>218</v>
      </c>
      <c r="B66" s="158">
        <v>0.10999999940395355</v>
      </c>
      <c r="C66" s="158">
        <v>0.10859999805688858</v>
      </c>
      <c r="D66" s="158">
        <v>0.1088000014424324</v>
      </c>
      <c r="E66" s="158">
        <v>0.10869999974966049</v>
      </c>
      <c r="F66" s="158">
        <v>0.10859999805688858</v>
      </c>
      <c r="G66" s="158">
        <v>0.10890000313520432</v>
      </c>
      <c r="H66" s="158">
        <v>0.10849999636411667</v>
      </c>
      <c r="I66" s="158">
        <v>0.10830000042915344</v>
      </c>
      <c r="J66" s="158">
        <v>0.10840000212192535</v>
      </c>
      <c r="K66" s="158">
        <v>0.10809999704360962</v>
      </c>
      <c r="L66" s="158">
        <v>0.10869999974966049</v>
      </c>
      <c r="M66" s="158">
        <v>0.10849999636411667</v>
      </c>
      <c r="N66" s="158">
        <v>0.10859999805688858</v>
      </c>
      <c r="O66" s="158">
        <v>0.10849999636411667</v>
      </c>
      <c r="P66" s="158">
        <v>0.1080000028014183</v>
      </c>
      <c r="Q66" s="158">
        <v>0.10769999772310257</v>
      </c>
      <c r="R66" s="158">
        <v>0.10769999772310257</v>
      </c>
      <c r="S66" s="158">
        <v>0.1080000028014183</v>
      </c>
      <c r="T66" s="158">
        <v>0.10769999772310257</v>
      </c>
      <c r="U66" s="158">
        <v>0.10809999704360962</v>
      </c>
      <c r="V66" s="158">
        <f t="shared" si="1"/>
        <v>0.10794999822974205</v>
      </c>
      <c r="W66" s="158">
        <v>0.10779999941587448</v>
      </c>
      <c r="X66" s="158">
        <v>0.10740000009536743</v>
      </c>
      <c r="Y66" s="158">
        <v>0.10750000178813934</v>
      </c>
      <c r="Z66" s="158">
        <v>0.10750000178813934</v>
      </c>
      <c r="AA66" s="158">
        <v>0.10620000213384628</v>
      </c>
      <c r="AB66" s="158">
        <v>0.10670000314712524</v>
      </c>
      <c r="AC66" s="158">
        <v>0.10620000213384628</v>
      </c>
      <c r="AD66" s="158">
        <v>0.10700000077486038</v>
      </c>
      <c r="AE66" s="158">
        <v>0.10679999738931656</v>
      </c>
      <c r="AF66" s="158">
        <v>0.10639999806880951</v>
      </c>
    </row>
    <row r="67" spans="1:32" x14ac:dyDescent="0.2">
      <c r="A67" s="158" t="s">
        <v>219</v>
      </c>
      <c r="B67" s="158">
        <v>0.10649999976158142</v>
      </c>
      <c r="C67" s="158">
        <v>0.10620000213384628</v>
      </c>
      <c r="D67" s="158">
        <v>0.10610000044107437</v>
      </c>
      <c r="E67" s="158">
        <v>0.10639999806880951</v>
      </c>
      <c r="F67" s="158">
        <v>0.10620000213384628</v>
      </c>
      <c r="G67" s="158">
        <v>0.10620000213384628</v>
      </c>
      <c r="H67" s="158">
        <v>0.10610000044107437</v>
      </c>
      <c r="I67" s="158">
        <v>0.10589999705553055</v>
      </c>
      <c r="J67" s="158">
        <v>0.10610000044107437</v>
      </c>
      <c r="K67" s="158">
        <v>0.10589999705553055</v>
      </c>
      <c r="L67" s="158">
        <v>0.10589999705553055</v>
      </c>
      <c r="M67" s="158">
        <v>0.10570000112056732</v>
      </c>
      <c r="N67" s="158">
        <v>0.10570000112056732</v>
      </c>
      <c r="O67" s="158">
        <v>0.10559999942779541</v>
      </c>
      <c r="P67" s="158">
        <v>0.10540000349283218</v>
      </c>
      <c r="Q67" s="158">
        <v>0.10540000349283218</v>
      </c>
      <c r="R67" s="158">
        <v>0.10540000349283218</v>
      </c>
      <c r="S67" s="158">
        <v>0.10530000180006027</v>
      </c>
      <c r="T67" s="158">
        <v>0.10530000180006027</v>
      </c>
      <c r="U67" s="158">
        <v>0.10530000180006027</v>
      </c>
      <c r="V67" s="158">
        <f t="shared" si="1"/>
        <v>0.10525000095367432</v>
      </c>
      <c r="W67" s="158">
        <v>0.10520000010728836</v>
      </c>
      <c r="X67" s="158">
        <v>0.10509999841451645</v>
      </c>
      <c r="Y67" s="158">
        <v>0.10499999672174454</v>
      </c>
      <c r="Z67" s="158">
        <v>0.10520000010728836</v>
      </c>
      <c r="AA67" s="158">
        <v>0.10490000247955322</v>
      </c>
      <c r="AB67" s="158">
        <v>0.10490000247955322</v>
      </c>
      <c r="AC67" s="158">
        <v>0.10490000247955322</v>
      </c>
      <c r="AD67" s="158">
        <v>0.10480000078678131</v>
      </c>
      <c r="AE67" s="158">
        <v>0.10499999672174454</v>
      </c>
      <c r="AF67" s="158">
        <v>0.10480000078678131</v>
      </c>
    </row>
    <row r="68" spans="1:32" x14ac:dyDescent="0.2">
      <c r="A68" s="158" t="s">
        <v>220</v>
      </c>
      <c r="B68" s="158">
        <v>0.10679999738931656</v>
      </c>
      <c r="C68" s="158">
        <v>0.10660000145435333</v>
      </c>
      <c r="D68" s="158">
        <v>0.10649999976158142</v>
      </c>
      <c r="E68" s="158">
        <v>0.10649999976158142</v>
      </c>
      <c r="F68" s="158">
        <v>0.1062999963760376</v>
      </c>
      <c r="G68" s="158">
        <v>0.10620000213384628</v>
      </c>
      <c r="H68" s="158">
        <v>0.10610000044107437</v>
      </c>
      <c r="I68" s="158">
        <v>0.10599999874830246</v>
      </c>
      <c r="J68" s="158">
        <v>0.10589999705553055</v>
      </c>
      <c r="K68" s="158">
        <v>0.10589999705553055</v>
      </c>
      <c r="L68" s="158">
        <v>0.10589999705553055</v>
      </c>
      <c r="M68" s="158">
        <v>0.10580000281333923</v>
      </c>
      <c r="N68" s="158">
        <v>0.10570000112056732</v>
      </c>
      <c r="O68" s="158">
        <v>0.10559999942779541</v>
      </c>
      <c r="P68" s="158">
        <v>0.10540000349283218</v>
      </c>
      <c r="Q68" s="158">
        <v>0.10540000349283218</v>
      </c>
      <c r="R68" s="158">
        <v>0.10530000180006027</v>
      </c>
      <c r="S68" s="158">
        <v>0.10520000010728836</v>
      </c>
      <c r="T68" s="158">
        <v>0.10520000010728836</v>
      </c>
      <c r="U68" s="158">
        <v>0.10520000010728836</v>
      </c>
      <c r="V68" s="158">
        <f t="shared" si="1"/>
        <v>0.10509999841451645</v>
      </c>
      <c r="W68" s="158">
        <v>0.10499999672174454</v>
      </c>
      <c r="X68" s="158">
        <v>0.10499999672174454</v>
      </c>
      <c r="Y68" s="158">
        <v>0.10480000078678131</v>
      </c>
      <c r="Z68" s="158">
        <v>0.10480000078678131</v>
      </c>
      <c r="AA68" s="158">
        <v>0.10459999740123749</v>
      </c>
      <c r="AB68" s="158">
        <v>0.10459999740123749</v>
      </c>
      <c r="AC68" s="158">
        <v>0.10459999740123749</v>
      </c>
      <c r="AD68" s="158">
        <v>0.10450000315904617</v>
      </c>
      <c r="AE68" s="158">
        <v>0.10440000146627426</v>
      </c>
      <c r="AF68" s="158">
        <v>0.10440000146627426</v>
      </c>
    </row>
    <row r="69" spans="1:32" x14ac:dyDescent="0.2">
      <c r="A69" s="158" t="s">
        <v>221</v>
      </c>
      <c r="B69" s="158">
        <v>0.10620000213384628</v>
      </c>
      <c r="C69" s="158">
        <v>0.10610000044107437</v>
      </c>
      <c r="D69" s="158">
        <v>0.10599999874830246</v>
      </c>
      <c r="E69" s="158">
        <v>0.10610000044107437</v>
      </c>
      <c r="F69" s="158">
        <v>0.10589999705553055</v>
      </c>
      <c r="G69" s="158">
        <v>0.10599999874830246</v>
      </c>
      <c r="H69" s="158">
        <v>0.10589999705553055</v>
      </c>
      <c r="I69" s="158">
        <v>0.10580000281333923</v>
      </c>
      <c r="J69" s="158">
        <v>0.10570000112056732</v>
      </c>
      <c r="K69" s="158">
        <v>0.10570000112056732</v>
      </c>
      <c r="L69" s="158">
        <v>0.10580000281333923</v>
      </c>
      <c r="M69" s="158">
        <v>0.10570000112056732</v>
      </c>
      <c r="N69" s="158">
        <v>0.10559999942779541</v>
      </c>
      <c r="O69" s="158">
        <v>0.10540000349283218</v>
      </c>
      <c r="P69" s="158">
        <v>0.10530000180006027</v>
      </c>
      <c r="Q69" s="158">
        <v>0.10530000180006027</v>
      </c>
      <c r="R69" s="158">
        <v>0.10520000010728836</v>
      </c>
      <c r="S69" s="158">
        <v>0.10530000180006027</v>
      </c>
      <c r="T69" s="158">
        <v>0.10530000180006027</v>
      </c>
      <c r="U69" s="158">
        <v>0.10540000349283218</v>
      </c>
      <c r="V69" s="158">
        <f t="shared" si="1"/>
        <v>0.10530000180006027</v>
      </c>
      <c r="W69" s="158">
        <v>0.10520000010728836</v>
      </c>
      <c r="X69" s="158">
        <v>0.10520000010728836</v>
      </c>
      <c r="Y69" s="158">
        <v>0.10499999672174454</v>
      </c>
      <c r="Z69" s="158">
        <v>0.10490000247955322</v>
      </c>
      <c r="AA69" s="158">
        <v>0.10490000247955322</v>
      </c>
      <c r="AB69" s="158">
        <v>0.10480000078678131</v>
      </c>
      <c r="AC69" s="158">
        <v>0.1046999990940094</v>
      </c>
      <c r="AD69" s="158">
        <v>0.10480000078678131</v>
      </c>
      <c r="AE69" s="158">
        <v>0.1046999990940094</v>
      </c>
      <c r="AF69" s="158">
        <v>0.10480000078678131</v>
      </c>
    </row>
    <row r="70" spans="1:32" x14ac:dyDescent="0.2">
      <c r="A70" s="158" t="s">
        <v>222</v>
      </c>
      <c r="B70" s="158">
        <v>0.10649999976158142</v>
      </c>
      <c r="C70" s="158">
        <v>0.10610000044107437</v>
      </c>
      <c r="D70" s="158">
        <v>0.10599999874830246</v>
      </c>
      <c r="E70" s="158">
        <v>0.10610000044107437</v>
      </c>
      <c r="F70" s="158">
        <v>0.10589999705553055</v>
      </c>
      <c r="G70" s="158">
        <v>0.10580000281333923</v>
      </c>
      <c r="H70" s="158">
        <v>0.10570000112056732</v>
      </c>
      <c r="I70" s="158">
        <v>0.10559999942779541</v>
      </c>
      <c r="J70" s="158">
        <v>0.1054999977350235</v>
      </c>
      <c r="K70" s="158">
        <v>0.1054999977350235</v>
      </c>
      <c r="L70" s="158">
        <v>0.1054999977350235</v>
      </c>
      <c r="M70" s="158">
        <v>0.10540000349283218</v>
      </c>
      <c r="N70" s="158">
        <v>0.10540000349283218</v>
      </c>
      <c r="O70" s="158">
        <v>0.10530000180006027</v>
      </c>
      <c r="P70" s="158">
        <v>0.10499999672174454</v>
      </c>
      <c r="Q70" s="158">
        <v>0.10499999672174454</v>
      </c>
      <c r="R70" s="158">
        <v>0.10499999672174454</v>
      </c>
      <c r="S70" s="158">
        <v>0.10490000247955322</v>
      </c>
      <c r="T70" s="158">
        <v>0.10490000247955322</v>
      </c>
      <c r="U70" s="158">
        <v>0.10490000247955322</v>
      </c>
      <c r="V70" s="158">
        <f t="shared" si="1"/>
        <v>0.10485000163316727</v>
      </c>
      <c r="W70" s="158">
        <v>0.10480000078678131</v>
      </c>
      <c r="X70" s="158">
        <v>0.10480000078678131</v>
      </c>
      <c r="Y70" s="158">
        <v>0.1046999990940094</v>
      </c>
      <c r="Z70" s="158">
        <v>0.10450000315904617</v>
      </c>
      <c r="AA70" s="158">
        <v>0.10450000315904617</v>
      </c>
      <c r="AB70" s="158">
        <v>0.10450000315904617</v>
      </c>
      <c r="AC70" s="158">
        <v>0.10440000146627426</v>
      </c>
      <c r="AD70" s="158">
        <v>0.10440000146627426</v>
      </c>
      <c r="AE70" s="158">
        <v>0.10440000146627426</v>
      </c>
      <c r="AF70" s="158">
        <v>0.10429999977350235</v>
      </c>
    </row>
    <row r="71" spans="1:32" x14ac:dyDescent="0.2">
      <c r="A71" s="158" t="s">
        <v>223</v>
      </c>
      <c r="B71" s="158">
        <v>0.10710000246763229</v>
      </c>
      <c r="C71" s="158">
        <v>0.10689999908208847</v>
      </c>
      <c r="D71" s="158">
        <v>0.10679999738931656</v>
      </c>
      <c r="E71" s="158">
        <v>0.10679999738931656</v>
      </c>
      <c r="F71" s="158">
        <v>0.10689999908208847</v>
      </c>
      <c r="G71" s="158">
        <v>0.10670000314712524</v>
      </c>
      <c r="H71" s="158">
        <v>0.10670000314712524</v>
      </c>
      <c r="I71" s="158">
        <v>0.10649999976158142</v>
      </c>
      <c r="J71" s="158">
        <v>0.10649999976158142</v>
      </c>
      <c r="K71" s="158">
        <v>0.10639999806880951</v>
      </c>
      <c r="L71" s="158">
        <v>0.10649999976158142</v>
      </c>
      <c r="M71" s="158">
        <v>0.10639999806880951</v>
      </c>
      <c r="N71" s="158">
        <v>0.1062999963760376</v>
      </c>
      <c r="O71" s="158">
        <v>0.10620000213384628</v>
      </c>
      <c r="P71" s="158">
        <v>0.10610000044107437</v>
      </c>
      <c r="Q71" s="158">
        <v>0.10599999874830246</v>
      </c>
      <c r="R71" s="158">
        <v>0.10599999874830246</v>
      </c>
      <c r="S71" s="158">
        <v>0.10610000044107437</v>
      </c>
      <c r="T71" s="158">
        <v>0.10610000044107437</v>
      </c>
      <c r="U71" s="158">
        <v>0.10610000044107437</v>
      </c>
      <c r="V71" s="158">
        <f t="shared" si="1"/>
        <v>0.10610000044107437</v>
      </c>
      <c r="W71" s="158">
        <v>0.10610000044107437</v>
      </c>
      <c r="X71" s="158">
        <v>0.10599999874830246</v>
      </c>
      <c r="Y71" s="158">
        <v>0.10589999705553055</v>
      </c>
      <c r="Z71" s="158">
        <v>0.10580000281333923</v>
      </c>
      <c r="AA71" s="158">
        <v>0.10589999705553055</v>
      </c>
      <c r="AB71" s="158">
        <v>0.10559999942779541</v>
      </c>
      <c r="AC71" s="158">
        <v>0.10559999942779541</v>
      </c>
      <c r="AD71" s="158">
        <v>0.10559999942779541</v>
      </c>
      <c r="AE71" s="158">
        <v>0.10559999942779541</v>
      </c>
      <c r="AF71" s="158">
        <v>0.10589999705553055</v>
      </c>
    </row>
    <row r="72" spans="1:32" x14ac:dyDescent="0.2">
      <c r="A72" s="158" t="s">
        <v>224</v>
      </c>
      <c r="B72" s="158">
        <v>0.10710000246763229</v>
      </c>
      <c r="C72" s="158">
        <v>0.10679999738931656</v>
      </c>
      <c r="D72" s="158">
        <v>0.10670000314712524</v>
      </c>
      <c r="E72" s="158">
        <v>0.10670000314712524</v>
      </c>
      <c r="F72" s="158">
        <v>0.10660000145435333</v>
      </c>
      <c r="G72" s="158">
        <v>0.10660000145435333</v>
      </c>
      <c r="H72" s="158">
        <v>0.10639999806880951</v>
      </c>
      <c r="I72" s="158">
        <v>0.1062999963760376</v>
      </c>
      <c r="J72" s="158">
        <v>0.10620000213384628</v>
      </c>
      <c r="K72" s="158">
        <v>0.10620000213384628</v>
      </c>
      <c r="L72" s="158">
        <v>0.10620000213384628</v>
      </c>
      <c r="M72" s="158">
        <v>0.10599999874830246</v>
      </c>
      <c r="N72" s="158">
        <v>0.10589999705553055</v>
      </c>
      <c r="O72" s="158">
        <v>0.10570000112056732</v>
      </c>
      <c r="P72" s="158">
        <v>0.1054999977350235</v>
      </c>
      <c r="Q72" s="158">
        <v>0.1054999977350235</v>
      </c>
      <c r="R72" s="158">
        <v>0.1054999977350235</v>
      </c>
      <c r="S72" s="158">
        <v>0.1054999977350235</v>
      </c>
      <c r="T72" s="158">
        <v>0.10559999942779541</v>
      </c>
      <c r="U72" s="158">
        <v>0.10570000112056732</v>
      </c>
      <c r="V72" s="158">
        <f t="shared" si="1"/>
        <v>0.10559999942779541</v>
      </c>
      <c r="W72" s="158">
        <v>0.1054999977350235</v>
      </c>
      <c r="X72" s="158">
        <v>0.10540000349283218</v>
      </c>
      <c r="Y72" s="158">
        <v>0.10520000010728836</v>
      </c>
      <c r="Z72" s="158">
        <v>0.10509999841451645</v>
      </c>
      <c r="AA72" s="158">
        <v>0.10490000247955322</v>
      </c>
      <c r="AB72" s="158">
        <v>0.10480000078678131</v>
      </c>
      <c r="AC72" s="158">
        <v>0.10480000078678131</v>
      </c>
      <c r="AD72" s="158">
        <v>0.10480000078678131</v>
      </c>
      <c r="AE72" s="158">
        <v>0.1046999990940094</v>
      </c>
      <c r="AF72" s="158">
        <v>0.10490000247955322</v>
      </c>
    </row>
    <row r="73" spans="1:32" x14ac:dyDescent="0.2">
      <c r="A73" s="158" t="s">
        <v>225</v>
      </c>
      <c r="B73" s="158">
        <v>0.10719999670982361</v>
      </c>
      <c r="C73" s="158">
        <v>0.10719999670982361</v>
      </c>
      <c r="D73" s="158">
        <v>0.10719999670982361</v>
      </c>
      <c r="E73" s="158">
        <v>0.10729999840259552</v>
      </c>
      <c r="F73" s="158">
        <v>0.10729999840259552</v>
      </c>
      <c r="G73" s="158">
        <v>0.10740000009536743</v>
      </c>
      <c r="H73" s="158">
        <v>0.10729999840259552</v>
      </c>
      <c r="I73" s="158">
        <v>0.10729999840259552</v>
      </c>
      <c r="J73" s="158">
        <v>0.10719999670982361</v>
      </c>
      <c r="K73" s="158">
        <v>0.10719999670982361</v>
      </c>
      <c r="L73" s="158">
        <v>0.10719999670982361</v>
      </c>
      <c r="M73" s="158">
        <v>0.10729999840259552</v>
      </c>
      <c r="N73" s="158">
        <v>0.10689999908208847</v>
      </c>
      <c r="O73" s="158">
        <v>0.10679999738931656</v>
      </c>
      <c r="P73" s="158">
        <v>0.10660000145435333</v>
      </c>
      <c r="Q73" s="158">
        <v>0.10660000145435333</v>
      </c>
      <c r="R73" s="158">
        <v>0.10660000145435333</v>
      </c>
      <c r="S73" s="158">
        <v>0.10670000314712524</v>
      </c>
      <c r="T73" s="158">
        <v>0.10679999738931656</v>
      </c>
      <c r="U73" s="158">
        <v>0.10689999908208847</v>
      </c>
      <c r="V73" s="158">
        <f t="shared" si="1"/>
        <v>0.10684999823570251</v>
      </c>
      <c r="W73" s="158">
        <v>0.10679999738931656</v>
      </c>
      <c r="X73" s="158">
        <v>0.10679999738931656</v>
      </c>
      <c r="Y73" s="158">
        <v>0.10649999976158142</v>
      </c>
      <c r="Z73" s="158">
        <v>0.1062999963760376</v>
      </c>
      <c r="AA73" s="158">
        <v>0.10620000213384628</v>
      </c>
      <c r="AB73" s="158">
        <v>0.10610000044107437</v>
      </c>
      <c r="AC73" s="158">
        <v>0.10610000044107437</v>
      </c>
      <c r="AD73" s="158">
        <v>0.10610000044107437</v>
      </c>
      <c r="AE73" s="158">
        <v>0.10610000044107437</v>
      </c>
      <c r="AF73" s="158">
        <v>0.10620000213384628</v>
      </c>
    </row>
    <row r="74" spans="1:32" x14ac:dyDescent="0.2">
      <c r="A74" s="158" t="s">
        <v>226</v>
      </c>
      <c r="B74" s="158">
        <v>0.10740000009536743</v>
      </c>
      <c r="C74" s="158">
        <v>0.10710000246763229</v>
      </c>
      <c r="D74" s="158">
        <v>0.10710000246763229</v>
      </c>
      <c r="E74" s="158">
        <v>0.10700000077486038</v>
      </c>
      <c r="F74" s="158">
        <v>0.10689999908208847</v>
      </c>
      <c r="G74" s="158">
        <v>0.10719999670982361</v>
      </c>
      <c r="H74" s="158">
        <v>0.10679999738931656</v>
      </c>
      <c r="I74" s="158">
        <v>0.10670000314712524</v>
      </c>
      <c r="J74" s="158">
        <v>0.10670000314712524</v>
      </c>
      <c r="K74" s="158">
        <v>0.10670000314712524</v>
      </c>
      <c r="L74" s="158">
        <v>0.10670000314712524</v>
      </c>
      <c r="M74" s="158">
        <v>0.10649999976158142</v>
      </c>
      <c r="N74" s="158">
        <v>0.10639999806880951</v>
      </c>
      <c r="O74" s="158">
        <v>0.10620000213384628</v>
      </c>
      <c r="P74" s="158">
        <v>0.10599999874830246</v>
      </c>
      <c r="Q74" s="158">
        <v>0.10599999874830246</v>
      </c>
      <c r="R74" s="158">
        <v>0.10599999874830246</v>
      </c>
      <c r="S74" s="158">
        <v>0.10599999874830246</v>
      </c>
      <c r="T74" s="158">
        <v>0.10610000044107437</v>
      </c>
      <c r="U74" s="158">
        <v>0.10620000213384628</v>
      </c>
      <c r="V74" s="158">
        <f t="shared" si="1"/>
        <v>0.10615000128746033</v>
      </c>
      <c r="W74" s="158">
        <v>0.10610000044107437</v>
      </c>
      <c r="X74" s="158">
        <v>0.10599999874830246</v>
      </c>
      <c r="Y74" s="158">
        <v>0.10570000112056732</v>
      </c>
      <c r="Z74" s="158">
        <v>0.1054999977350235</v>
      </c>
      <c r="AA74" s="158">
        <v>0.10540000349283218</v>
      </c>
      <c r="AB74" s="158">
        <v>0.10540000349283218</v>
      </c>
      <c r="AC74" s="158">
        <v>0.10530000180006027</v>
      </c>
      <c r="AD74" s="158">
        <v>0.10540000349283218</v>
      </c>
      <c r="AE74" s="158">
        <v>0.10530000180006027</v>
      </c>
      <c r="AF74" s="158">
        <v>0.1054999977350235</v>
      </c>
    </row>
    <row r="75" spans="1:32" x14ac:dyDescent="0.2">
      <c r="A75" s="158" t="s">
        <v>227</v>
      </c>
      <c r="B75" s="158">
        <v>0.10859999805688858</v>
      </c>
      <c r="C75" s="158">
        <v>0.10819999873638153</v>
      </c>
      <c r="D75" s="158">
        <v>0.10809999704360962</v>
      </c>
      <c r="E75" s="158">
        <v>0.10819999873638153</v>
      </c>
      <c r="F75" s="158">
        <v>0.10809999704360962</v>
      </c>
      <c r="G75" s="158">
        <v>0.10819999873638153</v>
      </c>
      <c r="H75" s="158">
        <v>0.10809999704360962</v>
      </c>
      <c r="I75" s="158">
        <v>0.1080000028014183</v>
      </c>
      <c r="J75" s="158">
        <v>0.1080000028014183</v>
      </c>
      <c r="K75" s="158">
        <v>0.1080000028014183</v>
      </c>
      <c r="L75" s="158">
        <v>0.1080000028014183</v>
      </c>
      <c r="M75" s="158">
        <v>0.10779999941587448</v>
      </c>
      <c r="N75" s="158">
        <v>0.10769999772310257</v>
      </c>
      <c r="O75" s="158">
        <v>0.10750000178813934</v>
      </c>
      <c r="P75" s="158">
        <v>0.10729999840259552</v>
      </c>
      <c r="Q75" s="158">
        <v>0.10760000348091125</v>
      </c>
      <c r="R75" s="158">
        <v>0.10729999840259552</v>
      </c>
      <c r="S75" s="158">
        <v>0.10760000348091125</v>
      </c>
      <c r="T75" s="158">
        <v>0.10760000348091125</v>
      </c>
      <c r="U75" s="158">
        <v>0.10769999772310257</v>
      </c>
      <c r="V75" s="158">
        <f t="shared" si="1"/>
        <v>0.10799999907612801</v>
      </c>
      <c r="W75" s="158">
        <v>0.10830000042915344</v>
      </c>
      <c r="X75" s="158">
        <v>0.10819999873638153</v>
      </c>
      <c r="Y75" s="158">
        <v>0.10939999669790268</v>
      </c>
      <c r="Z75" s="158">
        <v>0.10899999737739563</v>
      </c>
      <c r="AA75" s="158">
        <v>0.10920000076293945</v>
      </c>
      <c r="AB75" s="158">
        <v>0.10930000245571136</v>
      </c>
      <c r="AC75" s="158">
        <v>0.10890000313520432</v>
      </c>
      <c r="AD75" s="158">
        <v>0.10890000313520432</v>
      </c>
      <c r="AE75" s="158">
        <v>0.1088000014424324</v>
      </c>
      <c r="AF75" s="158">
        <v>0.10830000042915344</v>
      </c>
    </row>
    <row r="76" spans="1:32" x14ac:dyDescent="0.2">
      <c r="A76" s="158" t="s">
        <v>228</v>
      </c>
      <c r="B76" s="158">
        <v>0.10719999670982361</v>
      </c>
      <c r="C76" s="158">
        <v>0.10660000145435333</v>
      </c>
      <c r="D76" s="158">
        <v>0.10660000145435333</v>
      </c>
      <c r="E76" s="158">
        <v>0.10660000145435333</v>
      </c>
      <c r="F76" s="158">
        <v>0.10639999806880951</v>
      </c>
      <c r="G76" s="158">
        <v>0.10649999976158142</v>
      </c>
      <c r="H76" s="158">
        <v>0.10660000145435333</v>
      </c>
      <c r="I76" s="158">
        <v>0.10620000213384628</v>
      </c>
      <c r="J76" s="158">
        <v>0.10620000213384628</v>
      </c>
      <c r="K76" s="158">
        <v>0.10620000213384628</v>
      </c>
      <c r="L76" s="158">
        <v>0.10610000044107437</v>
      </c>
      <c r="M76" s="158">
        <v>0.10589999705553055</v>
      </c>
      <c r="N76" s="158">
        <v>0.10580000281333923</v>
      </c>
      <c r="O76" s="158">
        <v>0.1054999977350235</v>
      </c>
      <c r="P76" s="158">
        <v>0.10530000180006027</v>
      </c>
      <c r="Q76" s="158">
        <v>0.10530000180006027</v>
      </c>
      <c r="R76" s="158">
        <v>0.10530000180006027</v>
      </c>
      <c r="S76" s="158">
        <v>0.10540000349283218</v>
      </c>
      <c r="T76" s="158">
        <v>0.10570000112056732</v>
      </c>
      <c r="U76" s="158">
        <v>0.10570000112056732</v>
      </c>
      <c r="V76" s="158">
        <f t="shared" si="1"/>
        <v>0.10610000044107437</v>
      </c>
      <c r="W76" s="158">
        <v>0.10649999976158142</v>
      </c>
      <c r="X76" s="158">
        <v>0.10639999806880951</v>
      </c>
      <c r="Y76" s="158">
        <v>0.10620000213384628</v>
      </c>
      <c r="Z76" s="158">
        <v>0.10580000281333923</v>
      </c>
      <c r="AA76" s="158">
        <v>0.10570000112056732</v>
      </c>
      <c r="AB76" s="158">
        <v>0.10559999942779541</v>
      </c>
      <c r="AC76" s="158">
        <v>0.10540000349283218</v>
      </c>
      <c r="AD76" s="158">
        <v>0.1054999977350235</v>
      </c>
      <c r="AE76" s="158">
        <v>0.1054999977350235</v>
      </c>
      <c r="AF76" s="158">
        <v>0.10580000281333923</v>
      </c>
    </row>
    <row r="77" spans="1:32" x14ac:dyDescent="0.2">
      <c r="A77" s="158" t="s">
        <v>229</v>
      </c>
      <c r="B77" s="158">
        <v>0.10790000110864639</v>
      </c>
      <c r="C77" s="158">
        <v>0.10760000348091125</v>
      </c>
      <c r="D77" s="158">
        <v>0.10750000178813934</v>
      </c>
      <c r="E77" s="158">
        <v>0.10750000178813934</v>
      </c>
      <c r="F77" s="158">
        <v>0.10750000178813934</v>
      </c>
      <c r="G77" s="158">
        <v>0.10760000348091125</v>
      </c>
      <c r="H77" s="158">
        <v>0.10750000178813934</v>
      </c>
      <c r="I77" s="158">
        <v>0.10750000178813934</v>
      </c>
      <c r="J77" s="158">
        <v>0.10740000009536743</v>
      </c>
      <c r="K77" s="158">
        <v>0.10740000009536743</v>
      </c>
      <c r="L77" s="158">
        <v>0.10740000009536743</v>
      </c>
      <c r="M77" s="158">
        <v>0.10719999670982361</v>
      </c>
      <c r="N77" s="158">
        <v>0.10700000077486038</v>
      </c>
      <c r="O77" s="158">
        <v>0.10670000314712524</v>
      </c>
      <c r="P77" s="158">
        <v>0.10679999738931656</v>
      </c>
      <c r="Q77" s="158">
        <v>0.10649999976158142</v>
      </c>
      <c r="R77" s="158">
        <v>0.10660000145435333</v>
      </c>
      <c r="S77" s="158">
        <v>0.10679999738931656</v>
      </c>
      <c r="T77" s="158">
        <v>0.10700000077486038</v>
      </c>
      <c r="U77" s="158">
        <v>0.10710000246763229</v>
      </c>
      <c r="V77" s="158">
        <f t="shared" si="1"/>
        <v>0.10710000246763229</v>
      </c>
      <c r="W77" s="158">
        <v>0.10710000246763229</v>
      </c>
      <c r="X77" s="158">
        <v>0.10679999738931656</v>
      </c>
      <c r="Y77" s="158">
        <v>0.10660000145435333</v>
      </c>
      <c r="Z77" s="158">
        <v>0.1062999963760376</v>
      </c>
      <c r="AA77" s="158">
        <v>0.10620000213384628</v>
      </c>
      <c r="AB77" s="158">
        <v>0.10599999874830246</v>
      </c>
      <c r="AC77" s="158">
        <v>0.10589999705553055</v>
      </c>
      <c r="AD77" s="158">
        <v>0.10599999874830246</v>
      </c>
      <c r="AE77" s="158">
        <v>0.10599999874830246</v>
      </c>
      <c r="AF77" s="158">
        <v>0.10610000044107437</v>
      </c>
    </row>
    <row r="78" spans="1:32" x14ac:dyDescent="0.2">
      <c r="A78" s="158" t="s">
        <v>230</v>
      </c>
      <c r="B78" s="158">
        <v>0.10639999806880951</v>
      </c>
      <c r="C78" s="158">
        <v>0.10589999705553055</v>
      </c>
      <c r="D78" s="158">
        <v>0.10570000112056732</v>
      </c>
      <c r="E78" s="158">
        <v>0.10570000112056732</v>
      </c>
      <c r="F78" s="158">
        <v>0.1054999977350235</v>
      </c>
      <c r="G78" s="158">
        <v>0.10559999942779541</v>
      </c>
      <c r="H78" s="158">
        <v>0.10540000349283218</v>
      </c>
      <c r="I78" s="158">
        <v>0.10530000180006027</v>
      </c>
      <c r="J78" s="158">
        <v>0.10509999841451645</v>
      </c>
      <c r="K78" s="158">
        <v>0.10520000010728836</v>
      </c>
      <c r="L78" s="158">
        <v>0.10520000010728836</v>
      </c>
      <c r="M78" s="158">
        <v>0.10499999672174454</v>
      </c>
      <c r="N78" s="158">
        <v>0.10480000078678131</v>
      </c>
      <c r="O78" s="158">
        <v>0.10450000315904617</v>
      </c>
      <c r="P78" s="158">
        <v>0.10429999977350235</v>
      </c>
      <c r="Q78" s="158">
        <v>0.10429999977350235</v>
      </c>
      <c r="R78" s="158">
        <v>0.10429999977350235</v>
      </c>
      <c r="S78" s="158">
        <v>0.10440000146627426</v>
      </c>
      <c r="T78" s="158">
        <v>0.10459999740123749</v>
      </c>
      <c r="U78" s="158">
        <v>0.1046999990940094</v>
      </c>
      <c r="V78" s="158">
        <f t="shared" si="1"/>
        <v>0.10520000010728836</v>
      </c>
      <c r="W78" s="158">
        <v>0.10570000112056732</v>
      </c>
      <c r="X78" s="158">
        <v>0.10540000349283218</v>
      </c>
      <c r="Y78" s="158">
        <v>0.10509999841451645</v>
      </c>
      <c r="Z78" s="158">
        <v>0.10499999672174454</v>
      </c>
      <c r="AA78" s="158">
        <v>0.10480000078678131</v>
      </c>
      <c r="AB78" s="158">
        <v>0.1046999990940094</v>
      </c>
      <c r="AC78" s="158">
        <v>0.10459999740123749</v>
      </c>
      <c r="AD78" s="158">
        <v>0.10459999740123749</v>
      </c>
      <c r="AE78" s="158">
        <v>0.1046999990940094</v>
      </c>
      <c r="AF78" s="158">
        <v>0.10400000214576721</v>
      </c>
    </row>
    <row r="79" spans="1:32" x14ac:dyDescent="0.2">
      <c r="A79" s="158" t="s">
        <v>231</v>
      </c>
      <c r="B79" s="158">
        <v>0.10719999670982361</v>
      </c>
      <c r="C79" s="158">
        <v>0.10679999738931656</v>
      </c>
      <c r="D79" s="158">
        <v>0.10670000314712524</v>
      </c>
      <c r="E79" s="158">
        <v>0.10660000145435333</v>
      </c>
      <c r="F79" s="158">
        <v>0.10660000145435333</v>
      </c>
      <c r="G79" s="158">
        <v>0.10679999738931656</v>
      </c>
      <c r="H79" s="158">
        <v>0.10670000314712524</v>
      </c>
      <c r="I79" s="158">
        <v>0.10670000314712524</v>
      </c>
      <c r="J79" s="158">
        <v>0.10660000145435333</v>
      </c>
      <c r="K79" s="158">
        <v>0.10679999738931656</v>
      </c>
      <c r="L79" s="158">
        <v>0.10660000145435333</v>
      </c>
      <c r="M79" s="158">
        <v>0.10639999806880951</v>
      </c>
      <c r="N79" s="158">
        <v>0.10620000213384628</v>
      </c>
      <c r="O79" s="158">
        <v>0.10599999874830246</v>
      </c>
      <c r="P79" s="158">
        <v>0.10580000281333923</v>
      </c>
      <c r="Q79" s="158">
        <v>0.10580000281333923</v>
      </c>
      <c r="R79" s="158">
        <v>0.10580000281333923</v>
      </c>
      <c r="S79" s="158">
        <v>0.10599999874830246</v>
      </c>
      <c r="T79" s="158">
        <v>0.10620000213384628</v>
      </c>
      <c r="U79" s="158">
        <v>0.1062999963760376</v>
      </c>
      <c r="V79" s="158">
        <f t="shared" si="1"/>
        <v>0.1062999963760376</v>
      </c>
      <c r="W79" s="158">
        <v>0.1062999963760376</v>
      </c>
      <c r="X79" s="158">
        <v>0.10610000044107437</v>
      </c>
      <c r="Y79" s="158">
        <v>0.10580000281333923</v>
      </c>
      <c r="Z79" s="158">
        <v>0.10559999942779541</v>
      </c>
      <c r="AA79" s="158">
        <v>0.10540000349283218</v>
      </c>
      <c r="AB79" s="158">
        <v>0.10530000180006027</v>
      </c>
      <c r="AC79" s="158">
        <v>0.10520000010728836</v>
      </c>
      <c r="AD79" s="158">
        <v>0.10520000010728836</v>
      </c>
      <c r="AE79" s="158">
        <v>0.10530000180006027</v>
      </c>
      <c r="AF79" s="158">
        <v>0.10530000180006027</v>
      </c>
    </row>
    <row r="80" spans="1:32" x14ac:dyDescent="0.2">
      <c r="A80" s="158" t="s">
        <v>232</v>
      </c>
      <c r="B80" s="158">
        <v>0.10719999670982361</v>
      </c>
      <c r="C80" s="158">
        <v>0.10660000145435333</v>
      </c>
      <c r="D80" s="158">
        <v>0.1062999963760376</v>
      </c>
      <c r="E80" s="158">
        <v>0.1062999963760376</v>
      </c>
      <c r="F80" s="158">
        <v>0.10620000213384628</v>
      </c>
      <c r="G80" s="158">
        <v>0.1062999963760376</v>
      </c>
      <c r="H80" s="158">
        <v>0.10620000213384628</v>
      </c>
      <c r="I80" s="158">
        <v>0.10610000044107437</v>
      </c>
      <c r="J80" s="158">
        <v>0.10599999874830246</v>
      </c>
      <c r="K80" s="158">
        <v>0.10599999874830246</v>
      </c>
      <c r="L80" s="158">
        <v>0.10599999874830246</v>
      </c>
      <c r="M80" s="158">
        <v>0.10570000112056732</v>
      </c>
      <c r="N80" s="158">
        <v>0.1054999977350235</v>
      </c>
      <c r="O80" s="158">
        <v>0.10520000010728836</v>
      </c>
      <c r="P80" s="158">
        <v>0.10499999672174454</v>
      </c>
      <c r="Q80" s="158">
        <v>0.10499999672174454</v>
      </c>
      <c r="R80" s="158">
        <v>0.10499999672174454</v>
      </c>
      <c r="S80" s="158">
        <v>0.10520000010728836</v>
      </c>
      <c r="T80" s="158">
        <v>0.10540000349283218</v>
      </c>
      <c r="U80" s="158">
        <v>0.1054999977350235</v>
      </c>
      <c r="V80" s="158">
        <f t="shared" si="1"/>
        <v>0.10545000061392784</v>
      </c>
      <c r="W80" s="158">
        <v>0.10540000349283218</v>
      </c>
      <c r="X80" s="158">
        <v>0.10520000010728836</v>
      </c>
      <c r="Y80" s="158">
        <v>0.10490000247955322</v>
      </c>
      <c r="Z80" s="158">
        <v>0.10459999740123749</v>
      </c>
      <c r="AA80" s="158">
        <v>0.10440000146627426</v>
      </c>
      <c r="AB80" s="158">
        <v>0.10429999977350235</v>
      </c>
      <c r="AC80" s="158">
        <v>0.10419999808073044</v>
      </c>
      <c r="AD80" s="158">
        <v>0.10419999808073044</v>
      </c>
      <c r="AE80" s="158">
        <v>0.10419999808073044</v>
      </c>
      <c r="AF80" s="158">
        <v>0.10440000146627426</v>
      </c>
    </row>
    <row r="81" spans="1:32" x14ac:dyDescent="0.2">
      <c r="A81" s="158" t="s">
        <v>233</v>
      </c>
      <c r="B81" s="158">
        <v>0.10769999772310257</v>
      </c>
      <c r="C81" s="158">
        <v>0.10729999840259552</v>
      </c>
      <c r="D81" s="158">
        <v>0.10689999908208847</v>
      </c>
      <c r="E81" s="158">
        <v>0.10689999908208847</v>
      </c>
      <c r="F81" s="158">
        <v>0.10689999908208847</v>
      </c>
      <c r="G81" s="158">
        <v>0.10719999670982361</v>
      </c>
      <c r="H81" s="158">
        <v>0.10710000246763229</v>
      </c>
      <c r="I81" s="158">
        <v>0.10710000246763229</v>
      </c>
      <c r="J81" s="158">
        <v>0.10700000077486038</v>
      </c>
      <c r="K81" s="158">
        <v>0.10700000077486038</v>
      </c>
      <c r="L81" s="158">
        <v>0.10689999908208847</v>
      </c>
      <c r="M81" s="158">
        <v>0.10670000314712524</v>
      </c>
      <c r="N81" s="158">
        <v>0.10639999806880951</v>
      </c>
      <c r="O81" s="158">
        <v>0.10620000213384628</v>
      </c>
      <c r="P81" s="158">
        <v>0.10599999874830246</v>
      </c>
      <c r="Q81" s="158">
        <v>0.10589999705553055</v>
      </c>
      <c r="R81" s="158">
        <v>0.10599999874830246</v>
      </c>
      <c r="S81" s="158">
        <v>0.10620000213384628</v>
      </c>
      <c r="T81" s="158">
        <v>0.10670000314712524</v>
      </c>
      <c r="U81" s="158">
        <v>0.10660000145435333</v>
      </c>
      <c r="V81" s="158">
        <f t="shared" si="1"/>
        <v>0.10660000145435333</v>
      </c>
      <c r="W81" s="158">
        <v>0.10660000145435333</v>
      </c>
      <c r="X81" s="158">
        <v>0.1062999963760376</v>
      </c>
      <c r="Y81" s="158">
        <v>0.10620000213384628</v>
      </c>
      <c r="Z81" s="158">
        <v>0.10559999942779541</v>
      </c>
      <c r="AA81" s="158">
        <v>0.1054999977350235</v>
      </c>
      <c r="AB81" s="158">
        <v>0.10530000180006027</v>
      </c>
      <c r="AC81" s="158">
        <v>0.10509999841451645</v>
      </c>
      <c r="AD81" s="158">
        <v>0.10509999841451645</v>
      </c>
      <c r="AE81" s="158">
        <v>0.10520000010728836</v>
      </c>
      <c r="AF81" s="158">
        <v>0.10530000180006027</v>
      </c>
    </row>
    <row r="82" spans="1:32" x14ac:dyDescent="0.2">
      <c r="A82" s="158" t="s">
        <v>234</v>
      </c>
      <c r="B82" s="158">
        <v>0.10710000246763229</v>
      </c>
      <c r="C82" s="158">
        <v>0.10679999738931656</v>
      </c>
      <c r="D82" s="158">
        <v>0.10639999806880951</v>
      </c>
      <c r="E82" s="158">
        <v>0.10639999806880951</v>
      </c>
      <c r="F82" s="158">
        <v>0.1062999963760376</v>
      </c>
      <c r="G82" s="158">
        <v>0.10649999976158142</v>
      </c>
      <c r="H82" s="158">
        <v>0.10639999806880951</v>
      </c>
      <c r="I82" s="158">
        <v>0.1062999963760376</v>
      </c>
      <c r="J82" s="158">
        <v>0.10639999806880951</v>
      </c>
      <c r="K82" s="158">
        <v>0.10620000213384628</v>
      </c>
      <c r="L82" s="158">
        <v>0.10620000213384628</v>
      </c>
      <c r="M82" s="158">
        <v>0.10599999874830246</v>
      </c>
      <c r="N82" s="158">
        <v>0.10580000281333923</v>
      </c>
      <c r="O82" s="158">
        <v>0.1054999977350235</v>
      </c>
      <c r="P82" s="158">
        <v>0.10530000180006027</v>
      </c>
      <c r="Q82" s="158">
        <v>0.10530000180006027</v>
      </c>
      <c r="R82" s="158">
        <v>0.10540000349283218</v>
      </c>
      <c r="S82" s="158">
        <v>0.10559999942779541</v>
      </c>
      <c r="T82" s="158">
        <v>0.10580000281333923</v>
      </c>
      <c r="U82" s="158">
        <v>0.10589999705553055</v>
      </c>
      <c r="V82" s="158">
        <f t="shared" si="1"/>
        <v>0.10589999705553055</v>
      </c>
      <c r="W82" s="158">
        <v>0.10589999705553055</v>
      </c>
      <c r="X82" s="158">
        <v>0.10570000112056732</v>
      </c>
      <c r="Y82" s="158">
        <v>0.10530000180006027</v>
      </c>
      <c r="Z82" s="158">
        <v>0.10509999841451645</v>
      </c>
      <c r="AA82" s="158">
        <v>0.10520000010728836</v>
      </c>
      <c r="AB82" s="158">
        <v>0.10480000078678131</v>
      </c>
      <c r="AC82" s="158">
        <v>0.10459999740123749</v>
      </c>
      <c r="AD82" s="158">
        <v>0.1046999990940094</v>
      </c>
      <c r="AE82" s="158">
        <v>0.1046999990940094</v>
      </c>
      <c r="AF82" s="158">
        <v>0.10509999841451645</v>
      </c>
    </row>
    <row r="83" spans="1:32" x14ac:dyDescent="0.2">
      <c r="A83" s="158" t="s">
        <v>235</v>
      </c>
      <c r="B83" s="158">
        <v>0.10719999670982361</v>
      </c>
      <c r="C83" s="158">
        <v>0.10679999738931656</v>
      </c>
      <c r="D83" s="158">
        <v>0.10670000314712524</v>
      </c>
      <c r="E83" s="158">
        <v>0.10649999976158142</v>
      </c>
      <c r="F83" s="158">
        <v>0.10639999806880951</v>
      </c>
      <c r="G83" s="158">
        <v>0.10670000314712524</v>
      </c>
      <c r="H83" s="158">
        <v>0.10660000145435333</v>
      </c>
      <c r="I83" s="158">
        <v>0.10639999806880951</v>
      </c>
      <c r="J83" s="158">
        <v>0.10639999806880951</v>
      </c>
      <c r="K83" s="158">
        <v>0.10639999806880951</v>
      </c>
      <c r="L83" s="158">
        <v>0.10639999806880951</v>
      </c>
      <c r="M83" s="158">
        <v>0.10610000044107437</v>
      </c>
      <c r="N83" s="158">
        <v>0.10580000281333923</v>
      </c>
      <c r="O83" s="158">
        <v>0.10559999942779541</v>
      </c>
      <c r="P83" s="158">
        <v>0.10540000349283218</v>
      </c>
      <c r="Q83" s="158">
        <v>0.10540000349283218</v>
      </c>
      <c r="R83" s="158">
        <v>0.1054999977350235</v>
      </c>
      <c r="S83" s="158">
        <v>0.10559999942779541</v>
      </c>
      <c r="T83" s="158">
        <v>0.10589999705553055</v>
      </c>
      <c r="U83" s="158">
        <v>0.10599999874830246</v>
      </c>
      <c r="V83" s="158">
        <f t="shared" si="1"/>
        <v>0.10604999959468842</v>
      </c>
      <c r="W83" s="158">
        <v>0.10610000044107437</v>
      </c>
      <c r="X83" s="158">
        <v>0.10580000281333923</v>
      </c>
      <c r="Y83" s="158">
        <v>0.1054999977350235</v>
      </c>
      <c r="Z83" s="158">
        <v>0.10520000010728836</v>
      </c>
      <c r="AA83" s="158">
        <v>0.10499999672174454</v>
      </c>
      <c r="AB83" s="158">
        <v>0.10490000247955322</v>
      </c>
      <c r="AC83" s="158">
        <v>0.1046999990940094</v>
      </c>
      <c r="AD83" s="158">
        <v>0.10480000078678131</v>
      </c>
      <c r="AE83" s="158">
        <v>0.10480000078678131</v>
      </c>
      <c r="AF83" s="158">
        <v>0.10499999672174454</v>
      </c>
    </row>
    <row r="84" spans="1:32" x14ac:dyDescent="0.2">
      <c r="A84" s="158" t="s">
        <v>236</v>
      </c>
      <c r="B84" s="158">
        <v>0.10639999806880951</v>
      </c>
      <c r="C84" s="158">
        <v>0.10599999874830246</v>
      </c>
      <c r="D84" s="158">
        <v>0.10580000281333923</v>
      </c>
      <c r="E84" s="158">
        <v>0.10580000281333923</v>
      </c>
      <c r="F84" s="158">
        <v>0.10610000044107437</v>
      </c>
      <c r="G84" s="158">
        <v>0.10620000213384628</v>
      </c>
      <c r="H84" s="158">
        <v>0.10610000044107437</v>
      </c>
      <c r="I84" s="158">
        <v>0.10599999874830246</v>
      </c>
      <c r="J84" s="158">
        <v>0.10580000281333923</v>
      </c>
      <c r="K84" s="158">
        <v>0.10580000281333923</v>
      </c>
      <c r="L84" s="158">
        <v>0.10580000281333923</v>
      </c>
      <c r="M84" s="158">
        <v>0.10559999942779541</v>
      </c>
      <c r="N84" s="158">
        <v>0.10530000180006027</v>
      </c>
      <c r="O84" s="158">
        <v>0.10490000247955322</v>
      </c>
      <c r="P84" s="158">
        <v>0.10490000247955322</v>
      </c>
      <c r="Q84" s="158">
        <v>0.10480000078678131</v>
      </c>
      <c r="R84" s="158">
        <v>0.10480000078678131</v>
      </c>
      <c r="S84" s="158">
        <v>0.10509999841451645</v>
      </c>
      <c r="T84" s="158">
        <v>0.10530000180006027</v>
      </c>
      <c r="U84" s="158">
        <v>0.10559999942779541</v>
      </c>
      <c r="V84" s="158">
        <f t="shared" si="1"/>
        <v>0.10619999840855598</v>
      </c>
      <c r="W84" s="158">
        <v>0.10679999738931656</v>
      </c>
      <c r="X84" s="158">
        <v>0.1062999963760376</v>
      </c>
      <c r="Y84" s="158">
        <v>0.10589999705553055</v>
      </c>
      <c r="Z84" s="158">
        <v>0.10580000281333923</v>
      </c>
      <c r="AA84" s="158">
        <v>0.10570000112056732</v>
      </c>
      <c r="AB84" s="158">
        <v>0.10540000349283218</v>
      </c>
      <c r="AC84" s="158">
        <v>0.1054999977350235</v>
      </c>
      <c r="AD84" s="158">
        <v>0.10520000010728836</v>
      </c>
      <c r="AE84" s="158">
        <v>0.10540000349283218</v>
      </c>
      <c r="AF84" s="158">
        <v>0.10480000078678131</v>
      </c>
    </row>
    <row r="85" spans="1:32" x14ac:dyDescent="0.2">
      <c r="A85" s="158" t="s">
        <v>237</v>
      </c>
      <c r="B85" s="158">
        <v>0.10670000314712524</v>
      </c>
      <c r="C85" s="158">
        <v>0.1062999963760376</v>
      </c>
      <c r="D85" s="158">
        <v>0.10620000213384628</v>
      </c>
      <c r="E85" s="158">
        <v>0.10610000044107437</v>
      </c>
      <c r="F85" s="158">
        <v>0.10599999874830246</v>
      </c>
      <c r="G85" s="158">
        <v>0.1062999963760376</v>
      </c>
      <c r="H85" s="158">
        <v>0.10620000213384628</v>
      </c>
      <c r="I85" s="158">
        <v>0.10610000044107437</v>
      </c>
      <c r="J85" s="158">
        <v>0.10649999976158142</v>
      </c>
      <c r="K85" s="158">
        <v>0.10599999874830246</v>
      </c>
      <c r="L85" s="158">
        <v>0.10610000044107437</v>
      </c>
      <c r="M85" s="158">
        <v>0.10589999705553055</v>
      </c>
      <c r="N85" s="158">
        <v>0.1054999977350235</v>
      </c>
      <c r="O85" s="158">
        <v>0.10520000010728836</v>
      </c>
      <c r="P85" s="158">
        <v>0.10499999672174454</v>
      </c>
      <c r="Q85" s="158">
        <v>0.10499999672174454</v>
      </c>
      <c r="R85" s="158">
        <v>0.10509999841451645</v>
      </c>
      <c r="S85" s="158">
        <v>0.10520000010728836</v>
      </c>
      <c r="T85" s="158">
        <v>0.1054999977350235</v>
      </c>
      <c r="U85" s="158">
        <v>0.10559999942779541</v>
      </c>
      <c r="V85" s="158">
        <f t="shared" si="1"/>
        <v>0.10559999942779541</v>
      </c>
      <c r="W85" s="158">
        <v>0.10559999942779541</v>
      </c>
      <c r="X85" s="158">
        <v>0.10540000349283218</v>
      </c>
      <c r="Y85" s="158">
        <v>0.10509999841451645</v>
      </c>
      <c r="Z85" s="158">
        <v>0.10480000078678131</v>
      </c>
      <c r="AA85" s="158">
        <v>0.10459999740123749</v>
      </c>
      <c r="AB85" s="158">
        <v>0.10440000146627426</v>
      </c>
      <c r="AC85" s="158">
        <v>0.10429999977350235</v>
      </c>
      <c r="AD85" s="158">
        <v>0.10429999977350235</v>
      </c>
      <c r="AE85" s="158">
        <v>0.10440000146627426</v>
      </c>
      <c r="AF85" s="158">
        <v>0.10459999740123749</v>
      </c>
    </row>
    <row r="86" spans="1:32" x14ac:dyDescent="0.2">
      <c r="A86" s="158" t="s">
        <v>238</v>
      </c>
      <c r="B86" s="158">
        <v>0.10679999738931656</v>
      </c>
      <c r="C86" s="158">
        <v>0.10649999976158142</v>
      </c>
      <c r="D86" s="158">
        <v>0.10639999806880951</v>
      </c>
      <c r="E86" s="158">
        <v>0.1062999963760376</v>
      </c>
      <c r="F86" s="158">
        <v>0.10620000213384628</v>
      </c>
      <c r="G86" s="158">
        <v>0.10639999806880951</v>
      </c>
      <c r="H86" s="158">
        <v>0.1062999963760376</v>
      </c>
      <c r="I86" s="158">
        <v>0.10620000213384628</v>
      </c>
      <c r="J86" s="158">
        <v>0.10610000044107437</v>
      </c>
      <c r="K86" s="158">
        <v>0.10610000044107437</v>
      </c>
      <c r="L86" s="158">
        <v>0.10610000044107437</v>
      </c>
      <c r="M86" s="158">
        <v>0.10580000281333923</v>
      </c>
      <c r="N86" s="158">
        <v>0.10559999942779541</v>
      </c>
      <c r="O86" s="158">
        <v>0.1054999977350235</v>
      </c>
      <c r="P86" s="158">
        <v>0.10509999841451645</v>
      </c>
      <c r="Q86" s="158">
        <v>0.10509999841451645</v>
      </c>
      <c r="R86" s="158">
        <v>0.10520000010728836</v>
      </c>
      <c r="S86" s="158">
        <v>0.10530000180006027</v>
      </c>
      <c r="T86" s="158">
        <v>0.10559999942779541</v>
      </c>
      <c r="U86" s="158">
        <v>0.10559999942779541</v>
      </c>
      <c r="V86" s="158">
        <f t="shared" si="1"/>
        <v>0.10565000027418137</v>
      </c>
      <c r="W86" s="158">
        <v>0.10570000112056732</v>
      </c>
      <c r="X86" s="158">
        <v>0.10540000349283218</v>
      </c>
      <c r="Y86" s="158">
        <v>0.10509999841451645</v>
      </c>
      <c r="Z86" s="158">
        <v>0.10490000247955322</v>
      </c>
      <c r="AA86" s="158">
        <v>0.10459999740123749</v>
      </c>
      <c r="AB86" s="158">
        <v>0.10450000315904617</v>
      </c>
      <c r="AC86" s="158">
        <v>0.10440000146627426</v>
      </c>
      <c r="AD86" s="158">
        <v>0.10440000146627426</v>
      </c>
      <c r="AE86" s="158">
        <v>0.10440000146627426</v>
      </c>
      <c r="AF86" s="158">
        <v>0.10459999740123749</v>
      </c>
    </row>
    <row r="87" spans="1:32" x14ac:dyDescent="0.2">
      <c r="A87" s="158" t="s">
        <v>239</v>
      </c>
      <c r="B87" s="158">
        <v>0.10679999738931656</v>
      </c>
      <c r="C87" s="158">
        <v>0.1062999963760376</v>
      </c>
      <c r="D87" s="158">
        <v>0.10620000213384628</v>
      </c>
      <c r="E87" s="158">
        <v>0.10610000044107437</v>
      </c>
      <c r="F87" s="158">
        <v>0.10610000044107437</v>
      </c>
      <c r="G87" s="158">
        <v>0.10620000213384628</v>
      </c>
      <c r="H87" s="158">
        <v>0.10620000213384628</v>
      </c>
      <c r="I87" s="158">
        <v>0.10599999874830246</v>
      </c>
      <c r="J87" s="158">
        <v>0.10589999705553055</v>
      </c>
      <c r="K87" s="158">
        <v>0.10589999705553055</v>
      </c>
      <c r="L87" s="158">
        <v>0.10589999705553055</v>
      </c>
      <c r="M87" s="158">
        <v>0.10570000112056732</v>
      </c>
      <c r="N87" s="158">
        <v>0.10540000349283218</v>
      </c>
      <c r="O87" s="158">
        <v>0.10520000010728836</v>
      </c>
      <c r="P87" s="158">
        <v>0.10490000247955322</v>
      </c>
      <c r="Q87" s="158">
        <v>0.10499999672174454</v>
      </c>
      <c r="R87" s="158">
        <v>0.10499999672174454</v>
      </c>
      <c r="S87" s="158">
        <v>0.10520000010728836</v>
      </c>
      <c r="T87" s="158">
        <v>0.1054999977350235</v>
      </c>
      <c r="U87" s="158">
        <v>0.1054999977350235</v>
      </c>
      <c r="V87" s="158">
        <f t="shared" si="1"/>
        <v>0.1054999977350235</v>
      </c>
      <c r="W87" s="158">
        <v>0.1054999977350235</v>
      </c>
      <c r="X87" s="158">
        <v>0.10520000010728836</v>
      </c>
      <c r="Y87" s="158">
        <v>0.10499999672174454</v>
      </c>
      <c r="Z87" s="158">
        <v>0.1046999990940094</v>
      </c>
      <c r="AA87" s="158">
        <v>0.10450000315904617</v>
      </c>
      <c r="AB87" s="158">
        <v>0.10440000146627426</v>
      </c>
      <c r="AC87" s="158">
        <v>0.10429999977350235</v>
      </c>
      <c r="AD87" s="158">
        <v>0.10419999808073044</v>
      </c>
      <c r="AE87" s="158">
        <v>0.10429999977350235</v>
      </c>
      <c r="AF87" s="158">
        <v>0.10450000315904617</v>
      </c>
    </row>
    <row r="88" spans="1:32" x14ac:dyDescent="0.2">
      <c r="A88" s="158" t="s">
        <v>240</v>
      </c>
      <c r="B88" s="158">
        <v>0.10649999976158142</v>
      </c>
      <c r="C88" s="158">
        <v>0.10610000044107437</v>
      </c>
      <c r="D88" s="158">
        <v>0.10589999705553055</v>
      </c>
      <c r="E88" s="158">
        <v>0.10589999705553055</v>
      </c>
      <c r="F88" s="158">
        <v>0.10589999705553055</v>
      </c>
      <c r="G88" s="158">
        <v>0.10599999874830246</v>
      </c>
      <c r="H88" s="158">
        <v>0.10620000213384628</v>
      </c>
      <c r="I88" s="158">
        <v>0.10570000112056732</v>
      </c>
      <c r="J88" s="158">
        <v>0.10570000112056732</v>
      </c>
      <c r="K88" s="158">
        <v>0.10559999942779541</v>
      </c>
      <c r="L88" s="158">
        <v>0.10570000112056732</v>
      </c>
      <c r="M88" s="158">
        <v>0.10540000349283218</v>
      </c>
      <c r="N88" s="158">
        <v>0.10520000010728836</v>
      </c>
      <c r="O88" s="158">
        <v>0.10490000247955322</v>
      </c>
      <c r="P88" s="158">
        <v>0.1046999990940094</v>
      </c>
      <c r="Q88" s="158">
        <v>0.1046999990940094</v>
      </c>
      <c r="R88" s="158">
        <v>0.1046999990940094</v>
      </c>
      <c r="S88" s="158">
        <v>0.10509999841451645</v>
      </c>
      <c r="T88" s="158">
        <v>0.10520000010728836</v>
      </c>
      <c r="U88" s="158">
        <v>0.10530000180006027</v>
      </c>
      <c r="V88" s="158">
        <f t="shared" si="1"/>
        <v>0.10530000180006027</v>
      </c>
      <c r="W88" s="158">
        <v>0.10530000180006027</v>
      </c>
      <c r="X88" s="158">
        <v>0.10499999672174454</v>
      </c>
      <c r="Y88" s="158">
        <v>0.10480000078678131</v>
      </c>
      <c r="Z88" s="158">
        <v>0.10450000315904617</v>
      </c>
      <c r="AA88" s="158">
        <v>0.10419999808073044</v>
      </c>
      <c r="AB88" s="158">
        <v>0.10409999638795853</v>
      </c>
      <c r="AC88" s="158">
        <v>0.10400000214576721</v>
      </c>
      <c r="AD88" s="158">
        <v>0.10400000214576721</v>
      </c>
      <c r="AE88" s="158">
        <v>0.10409999638795853</v>
      </c>
      <c r="AF88" s="158">
        <v>0.10419999808073044</v>
      </c>
    </row>
    <row r="89" spans="1:32" x14ac:dyDescent="0.2">
      <c r="A89" s="158" t="s">
        <v>241</v>
      </c>
      <c r="B89" s="158">
        <v>0.10740000009536743</v>
      </c>
      <c r="C89" s="158">
        <v>0.10700000077486038</v>
      </c>
      <c r="D89" s="158">
        <v>0.10700000077486038</v>
      </c>
      <c r="E89" s="158">
        <v>0.10670000314712524</v>
      </c>
      <c r="F89" s="158">
        <v>0.10660000145435333</v>
      </c>
      <c r="G89" s="158">
        <v>0.10689999908208847</v>
      </c>
      <c r="H89" s="158">
        <v>0.10670000314712524</v>
      </c>
      <c r="I89" s="158">
        <v>0.10660000145435333</v>
      </c>
      <c r="J89" s="158">
        <v>0.10649999976158142</v>
      </c>
      <c r="K89" s="158">
        <v>0.10649999976158142</v>
      </c>
      <c r="L89" s="158">
        <v>0.10679999738931656</v>
      </c>
      <c r="M89" s="158">
        <v>0.1062999963760376</v>
      </c>
      <c r="N89" s="158">
        <v>0.10599999874830246</v>
      </c>
      <c r="O89" s="158">
        <v>0.10580000281333923</v>
      </c>
      <c r="P89" s="158">
        <v>0.1054999977350235</v>
      </c>
      <c r="Q89" s="158">
        <v>0.1054999977350235</v>
      </c>
      <c r="R89" s="158">
        <v>0.10559999942779541</v>
      </c>
      <c r="S89" s="158">
        <v>0.10570000112056732</v>
      </c>
      <c r="T89" s="158">
        <v>0.10599999874830246</v>
      </c>
      <c r="U89" s="158">
        <v>0.10610000044107437</v>
      </c>
      <c r="V89" s="158">
        <f t="shared" si="1"/>
        <v>0.10610000044107437</v>
      </c>
      <c r="W89" s="158">
        <v>0.10610000044107437</v>
      </c>
      <c r="X89" s="158">
        <v>0.10580000281333923</v>
      </c>
      <c r="Y89" s="158">
        <v>0.1054999977350235</v>
      </c>
      <c r="Z89" s="158">
        <v>0.10530000180006027</v>
      </c>
      <c r="AA89" s="158">
        <v>0.10499999672174454</v>
      </c>
      <c r="AB89" s="158">
        <v>0.10490000247955322</v>
      </c>
      <c r="AC89" s="158">
        <v>0.10480000078678131</v>
      </c>
      <c r="AD89" s="158">
        <v>0.10490000247955322</v>
      </c>
      <c r="AE89" s="158">
        <v>0.10480000078678131</v>
      </c>
      <c r="AF89" s="158">
        <v>0.10499999672174454</v>
      </c>
    </row>
    <row r="90" spans="1:32" x14ac:dyDescent="0.2">
      <c r="A90" s="158" t="s">
        <v>242</v>
      </c>
      <c r="B90" s="158">
        <v>0.10719999670982361</v>
      </c>
      <c r="C90" s="158">
        <v>0.10660000145435333</v>
      </c>
      <c r="D90" s="158">
        <v>0.10639999806880951</v>
      </c>
      <c r="E90" s="158">
        <v>0.10639999806880951</v>
      </c>
      <c r="F90" s="158">
        <v>0.10620000213384628</v>
      </c>
      <c r="G90" s="158">
        <v>0.10639999806880951</v>
      </c>
      <c r="H90" s="158">
        <v>0.10620000213384628</v>
      </c>
      <c r="I90" s="158">
        <v>0.10610000044107437</v>
      </c>
      <c r="J90" s="158">
        <v>0.10599999874830246</v>
      </c>
      <c r="K90" s="158">
        <v>0.10610000044107437</v>
      </c>
      <c r="L90" s="158">
        <v>0.10599999874830246</v>
      </c>
      <c r="M90" s="158">
        <v>0.10580000281333923</v>
      </c>
      <c r="N90" s="158">
        <v>0.1054999977350235</v>
      </c>
      <c r="O90" s="158">
        <v>0.10540000349283218</v>
      </c>
      <c r="P90" s="158">
        <v>0.10499999672174454</v>
      </c>
      <c r="Q90" s="158">
        <v>0.10509999841451645</v>
      </c>
      <c r="R90" s="158">
        <v>0.10509999841451645</v>
      </c>
      <c r="S90" s="158">
        <v>0.10520000010728836</v>
      </c>
      <c r="T90" s="158">
        <v>0.1054999977350235</v>
      </c>
      <c r="U90" s="158">
        <v>0.10559999942779541</v>
      </c>
      <c r="V90" s="158">
        <f t="shared" si="1"/>
        <v>0.10559999942779541</v>
      </c>
      <c r="W90" s="158">
        <v>0.10559999942779541</v>
      </c>
      <c r="X90" s="158">
        <v>0.10540000349283218</v>
      </c>
      <c r="Y90" s="158">
        <v>0.10509999841451645</v>
      </c>
      <c r="Z90" s="158">
        <v>0.10490000247955322</v>
      </c>
      <c r="AA90" s="158">
        <v>0.10459999740123749</v>
      </c>
      <c r="AB90" s="158">
        <v>0.10440000146627426</v>
      </c>
      <c r="AC90" s="158">
        <v>0.10440000146627426</v>
      </c>
      <c r="AD90" s="158">
        <v>0.10440000146627426</v>
      </c>
      <c r="AE90" s="158">
        <v>0.10440000146627426</v>
      </c>
      <c r="AF90" s="158">
        <v>0.10459999740123749</v>
      </c>
    </row>
    <row r="91" spans="1:32" x14ac:dyDescent="0.2">
      <c r="A91" s="158" t="s">
        <v>243</v>
      </c>
      <c r="B91" s="158">
        <v>0.10740000009536743</v>
      </c>
      <c r="C91" s="158">
        <v>0.10679999738931656</v>
      </c>
      <c r="D91" s="158">
        <v>0.10660000145435333</v>
      </c>
      <c r="E91" s="158">
        <v>0.10639999806880951</v>
      </c>
      <c r="F91" s="158">
        <v>0.1062999963760376</v>
      </c>
      <c r="G91" s="158">
        <v>0.10649999976158142</v>
      </c>
      <c r="H91" s="158">
        <v>0.1062999963760376</v>
      </c>
      <c r="I91" s="158">
        <v>0.10620000213384628</v>
      </c>
      <c r="J91" s="158">
        <v>0.10610000044107437</v>
      </c>
      <c r="K91" s="158">
        <v>0.10610000044107437</v>
      </c>
      <c r="L91" s="158">
        <v>0.10599999874830246</v>
      </c>
      <c r="M91" s="158">
        <v>0.10580000281333923</v>
      </c>
      <c r="N91" s="158">
        <v>0.1054999977350235</v>
      </c>
      <c r="O91" s="158">
        <v>0.10530000180006027</v>
      </c>
      <c r="P91" s="158">
        <v>0.10499999672174454</v>
      </c>
      <c r="Q91" s="158">
        <v>0.10499999672174454</v>
      </c>
      <c r="R91" s="158">
        <v>0.10509999841451645</v>
      </c>
      <c r="S91" s="158">
        <v>0.10520000010728836</v>
      </c>
      <c r="T91" s="158">
        <v>0.1054999977350235</v>
      </c>
      <c r="U91" s="158">
        <v>0.10559999942779541</v>
      </c>
      <c r="V91" s="158">
        <f t="shared" si="1"/>
        <v>0.10559999942779541</v>
      </c>
      <c r="W91" s="158">
        <v>0.10559999942779541</v>
      </c>
      <c r="X91" s="158">
        <v>0.10530000180006027</v>
      </c>
      <c r="Y91" s="158">
        <v>0.10509999841451645</v>
      </c>
      <c r="Z91" s="158">
        <v>0.10480000078678131</v>
      </c>
      <c r="AA91" s="158">
        <v>0.10450000315904617</v>
      </c>
      <c r="AB91" s="158">
        <v>0.10440000146627426</v>
      </c>
      <c r="AC91" s="158">
        <v>0.10429999977350235</v>
      </c>
      <c r="AD91" s="158">
        <v>0.10429999977350235</v>
      </c>
      <c r="AE91" s="158">
        <v>0.10429999977350235</v>
      </c>
      <c r="AF91" s="158">
        <v>0.10450000315904617</v>
      </c>
    </row>
    <row r="92" spans="1:32" x14ac:dyDescent="0.2">
      <c r="A92" s="158" t="s">
        <v>244</v>
      </c>
      <c r="B92" s="158">
        <v>0.10750000178813934</v>
      </c>
      <c r="C92" s="158">
        <v>0.10639999806880951</v>
      </c>
      <c r="D92" s="158">
        <v>0.10639999806880951</v>
      </c>
      <c r="E92" s="158">
        <v>0.10670000314712524</v>
      </c>
      <c r="F92" s="158">
        <v>0.10639999806880951</v>
      </c>
      <c r="G92" s="158">
        <v>0.10660000145435333</v>
      </c>
      <c r="H92" s="158">
        <v>0.1062999963760376</v>
      </c>
      <c r="I92" s="158">
        <v>0.10620000213384628</v>
      </c>
      <c r="J92" s="158">
        <v>0.10599999874830246</v>
      </c>
      <c r="K92" s="158">
        <v>0.10599999874830246</v>
      </c>
      <c r="L92" s="158">
        <v>0.10599999874830246</v>
      </c>
      <c r="M92" s="158">
        <v>0.10570000112056732</v>
      </c>
      <c r="N92" s="158">
        <v>0.1054999977350235</v>
      </c>
      <c r="O92" s="158">
        <v>0.10530000180006027</v>
      </c>
      <c r="P92" s="158">
        <v>0.10490000247955322</v>
      </c>
      <c r="Q92" s="158">
        <v>0.10490000247955322</v>
      </c>
      <c r="R92" s="158">
        <v>0.10499999672174454</v>
      </c>
      <c r="S92" s="158">
        <v>0.10509999841451645</v>
      </c>
      <c r="T92" s="158">
        <v>0.10530000180006027</v>
      </c>
      <c r="U92" s="158">
        <v>0.10530000180006027</v>
      </c>
      <c r="V92" s="158">
        <f t="shared" si="1"/>
        <v>0.10530000180006027</v>
      </c>
      <c r="W92" s="158">
        <v>0.10530000180006027</v>
      </c>
      <c r="X92" s="158">
        <v>0.10499999672174454</v>
      </c>
      <c r="Y92" s="158">
        <v>0.1046999990940094</v>
      </c>
      <c r="Z92" s="158">
        <v>0.10450000315904617</v>
      </c>
      <c r="AA92" s="158">
        <v>0.10419999808073044</v>
      </c>
      <c r="AB92" s="158">
        <v>0.10400000214576721</v>
      </c>
      <c r="AC92" s="158">
        <v>0.10400000214576721</v>
      </c>
      <c r="AD92" s="158">
        <v>0.10409999638795853</v>
      </c>
      <c r="AE92" s="158">
        <v>0.1039000004529953</v>
      </c>
      <c r="AF92" s="158">
        <v>0.10350000113248825</v>
      </c>
    </row>
    <row r="93" spans="1:32" x14ac:dyDescent="0.2">
      <c r="A93" s="156" t="s">
        <v>343</v>
      </c>
      <c r="B93" s="156">
        <f>$B$55-AVERAGE($B$57,$B$58,$B$60,$B$61,$B$62,$B$65,$B$67,$B$68,$B$69,$B$70,$B$71,$B$72,$B$78,$B$82,$B$84,$B$85,$B$86,$B$87,$B$88)</f>
        <v>6.8947006213038176E-4</v>
      </c>
      <c r="C93" s="156">
        <f>$C$55-AVERAGE($C$57,$C$58,$C$60,$C$61,$C$62,$C$65,$C$67,$C$68,$C$69,$C$70,$C$71,$C$72,$C$78,$C$82,$C$84,$C$85,$C$86,$C$87,$C$88)</f>
        <v>8.5263503225226078E-4</v>
      </c>
      <c r="D93" s="156">
        <f>$D$55-AVERAGE($D$57,$D$58,$D$60,$D$61,$D$62,$D$65,$D$67,$D$68,$D$69,$D$70,$D$71,$D$72,$D$78,$D$82,$D$84,$D$85,$D$86,$D$87,$D$88)</f>
        <v>1.1578935541604746E-3</v>
      </c>
      <c r="E93" s="156">
        <f>$E$55-AVERAGE($E$57,$E$58,$E$60,$E$61,$E$62,$E$65,$E$67,$E$68,$E$69,$E$70,$E$71,$E$72,$E$78,$E$82,$E$84,$E$85,$E$86,$E$87,$E$88)</f>
        <v>1.4315827896720507E-3</v>
      </c>
      <c r="F93" s="156">
        <f>$F$55-AVERAGE($F$57,$F$58,$F$60,$F$61,$F$62,$F$65,$F$67,$F$68,$F$69,$F$70,$F$71,$F$72,$F$78,$F$82,$F$84,$F$85,$F$86,$F$87,$F$88)</f>
        <v>1.8368437886238098E-3</v>
      </c>
      <c r="G93" s="156">
        <f>$G$55-AVERAGE($G$57,$G$58,$G$60,$G$61,$G$62,$G$65,$G$67,$G$68,$G$69,$G$70,$G$71,$G$72,$G$78,$G$82,$G$84,$G$85,$G$86,$G$87,$G$88)</f>
        <v>2.499997615814209E-3</v>
      </c>
      <c r="H93" s="156">
        <f>$H$55-AVERAGE($H$57,$H$58,$H$60,$H$61,$H$62,$H$65,$H$67,$H$68,$H$69,$H$70,$H$71,$H$72,$H$78,$H$82,$H$84,$H$85,$H$86,$H$87,$H$88)</f>
        <v>3.8947341473479086E-3</v>
      </c>
      <c r="I93" s="156">
        <f>$I$55-AVERAGE($I$57,$I$58,$I$60,$I$61,$I$62,$I$65,$I$67,$I$68,$I$69,$I$70,$I$71,$I$72,$I$78,$I$82,$I$84,$I$85,$I$86,$I$87,$I$88)</f>
        <v>6.2421034825475563E-3</v>
      </c>
      <c r="J93" s="156">
        <f>$J$55-AVERAGE($J$57,$J$58,$J$60,$J$61,$J$62,$J$65,$J$67,$J$68,$J$69,$J$70,$J$71,$J$72,$J$78,$J$82,$J$84,$J$85,$J$86,$J$87,$J$88)</f>
        <v>1.0178944782206892E-2</v>
      </c>
      <c r="K93" s="156">
        <f>$K$55-AVERAGE($K$57,$K$58,$K$60,$K$61,$K$62,$K$65,$K$67,$K$68,$K$69,$K$70,$K$71,$K$72,$K$78,$K$82,$K$84,$K$85,$K$86,$K$87,$K$88)</f>
        <v>1.6742108291701266E-2</v>
      </c>
      <c r="L93" s="156">
        <f>$L$55-AVERAGE($L$57,$L$58,$L$60,$L$61,$L$62,$L$65,$L$67,$L$68,$L$69,$L$70,$L$71,$L$72,$L$78,$L$82,$L$84,$L$85,$L$86,$L$87,$L$88)</f>
        <v>2.7315793068785413E-2</v>
      </c>
      <c r="M93" s="156">
        <f>$M$55-AVERAGE($M$57,$M$58,$M$60,$M$61,$M$62,$M$65,$M$67,$M$68,$M$69,$M$70,$M$71,$M$72,$M$78,$M$82,$M$84,$M$85,$M$86,$M$87,$M$88)</f>
        <v>4.2468424690397161E-2</v>
      </c>
      <c r="N93" s="156">
        <f>$N$55-AVERAGE($N$57,$N$58,$N$60,$N$61,$N$62,$N$65,$N$67,$N$68,$N$69,$N$70,$N$71,$N$72,$N$78,$N$82,$N$84,$N$85,$N$86,$N$87,$N$88)</f>
        <v>6.3605264221367086E-2</v>
      </c>
      <c r="O93" s="156">
        <f>$O$55-AVERAGE($O$57,$O$58,$O$60,$O$61,$O$62,$O$65,$O$67,$O$68,$O$69,$O$70,$O$71,$O$72,$O$78,$O$82,$O$84,$O$85,$O$86,$O$87,$O$88)</f>
        <v>9.0268423682764956E-2</v>
      </c>
      <c r="P93" s="156">
        <f>$P$55-AVERAGE($P$57,$P$58,$P$60,$P$61,$P$62,$P$65,$P$67,$P$68,$P$69,$P$70,$P$71,$P$72,$P$78,$P$82,$P$84,$P$85,$P$86,$P$87,$P$88)</f>
        <v>0.12186315577281148</v>
      </c>
      <c r="Q93" s="156">
        <f>$Q$55-AVERAGE($Q$57,$Q$58,$Q$60,$Q$61,$Q$62,$Q$65,$Q$67,$Q$68,$Q$69,$Q$70,$Q$71,$Q$72,$Q$78,$Q$82,$Q$84,$Q$85,$Q$86,$Q$87,$Q$88)</f>
        <v>0.16256314516067505</v>
      </c>
      <c r="R93" s="156">
        <f>$R$55-AVERAGE($R$57,$R$58,$R$60,$R$61,$R$62,$R$65,$R$67,$R$68,$R$69,$R$70,$R$71,$R$72,$R$78,$R$82,$R$84,$R$85,$R$86,$R$87,$R$88)</f>
        <v>0.20895789210733615</v>
      </c>
      <c r="S93" s="156">
        <f>$S$55-AVERAGE($S$57,$S$58,$S$60,$S$61,$S$62,$S$65,$S$67,$S$68,$S$69,$S$70,$S$71,$S$72,$S$78,$S$82,$S$84,$S$85,$S$86,$S$87,$S$88)</f>
        <v>0.26074211456273733</v>
      </c>
      <c r="T93" s="156">
        <f>$T$55-AVERAGE($T$57,$T$58,$T$60,$T$61,$T$62,$T$65,$T$67,$T$68,$T$69,$T$70,$T$71,$T$72,$T$78,$T$82,$T$84,$T$85,$T$86,$T$87,$T$88)</f>
        <v>0.30634736152071701</v>
      </c>
      <c r="U93" s="156">
        <f>$U$55-AVERAGE($U$57,$U$58,$U$60,$U$61,$U$62,$U$65,$U$67,$U$68,$U$69,$U$70,$U$71,$U$72,$U$78,$U$82,$U$84,$U$85,$U$86,$U$87,$U$88)</f>
        <v>0.34178948676899862</v>
      </c>
      <c r="V93" s="156">
        <f>$V$55-AVERAGE($V$57,$V$58,$V$60,$V$61,$V$62,$V$65,$V$67,$V$68,$V$69,$V$70,$V$71,$V$72,$V$78,$V$82,$V$84,$V$85,$V$86,$V$87,$V$88)</f>
        <v>0.36397631760490567</v>
      </c>
      <c r="W93" s="156">
        <f>$W$55-AVERAGE($W$57,$W$58,$W$60,$W$61,$W$62,$W$65,$W$67,$W$68,$W$69,$W$70,$W$71,$W$72,$W$78,$W$82,$W$84,$W$85,$W$86,$W$87,$W$88)</f>
        <v>0.38616314844081279</v>
      </c>
      <c r="X93" s="156">
        <f>$X$55-AVERAGE($X$57,$X$58,$X$60,$X$61,$X$62,$X$65,$X$67,$X$68,$X$69,$X$70,$X$71,$X$72,$X$78,$X$82,$X$84,$X$85,$X$86,$X$87,$X$88)</f>
        <v>0.39580525026509639</v>
      </c>
      <c r="Y93" s="156">
        <f>$Y$55-AVERAGE($Y$57,$Y$58,$Y$60,$Y$61,$Y$62,$Y$65,$Y$67,$Y$68,$Y$69,$Y$70,$Y$71,$Y$72,$Y$78,$Y$82,$Y$84,$Y$85,$Y$86,$Y$87,$Y$88)</f>
        <v>0.40138420031258937</v>
      </c>
      <c r="Z93" s="156">
        <f>$Z$55-AVERAGE($Z$57,$Z$58,$Z$60,$Z$61,$Z$62,$Z$65,$Z$67,$Z$68,$Z$69,$Z$70,$Z$71,$Z$72,$Z$78,$Z$82,$Z$84,$Z$85,$Z$86,$Z$87,$Z$88)</f>
        <v>0.40328946239069891</v>
      </c>
      <c r="AA93" s="156">
        <f>$AA$55-AVERAGE($AA$57,$AA$58,$AA$60,$AA$61,$AA$62,$AA$65,$AA$67,$AA$68,$AA$69,$AA$70,$AA$71,$AA$72,$AA$78,$AA$82,$AA$84,$AA$85,$AA$86,$AA$87,$AA$88)</f>
        <v>0.40541581260530574</v>
      </c>
      <c r="AB93" s="156">
        <f>$AB$55-AVERAGE($AB$57,$AB$58,$AB$60,$AB$61,$AB$62,$AB$65,$AB$67,$AB$68,$AB$69,$AB$70,$AB$71,$AB$72,$AB$78,$AB$82,$AB$84,$AB$85,$AB$86,$AB$87,$AB$88)</f>
        <v>0.40811050369551305</v>
      </c>
      <c r="AC93" s="156">
        <f>$AC$55-AVERAGE($AC$57,$AC$58,$AC$60,$AC$61,$AC$62,$AC$65,$AC$67,$AC$68,$AC$69,$AC$70,$AC$71,$AC$72,$AC$78,$AC$82,$AC$84,$AC$85,$AC$86,$AC$87,$AC$88)</f>
        <v>0.41464735214647497</v>
      </c>
      <c r="AD93" s="156">
        <f>$AD$55-AVERAGE($AD$57,$AD$58,$AD$60,$AD$61,$AD$62,$AD$65,$AD$67,$AD$68,$AD$69,$AD$70,$AD$71,$AD$72,$AD$78,$AD$82,$AD$84,$AD$85,$AD$86,$AD$87,$AD$88)</f>
        <v>0.41959475882743535</v>
      </c>
      <c r="AE93" s="156">
        <f>$AE$55-AVERAGE($AE$57,$AE$58,$AE$60,$AE$61,$AE$62,$AE$65,$AE$67,$AE$68,$AE$69,$AE$70,$AE$71,$AE$72,$AE$78,$AE$82,$AE$84,$AE$85,$AE$86,$AE$87,$AE$88)</f>
        <v>0.43039476322500331</v>
      </c>
      <c r="AF93" s="156">
        <f>$AF$55-AVERAGE($AF$57,$AF$58,$AF$60,$AF$61,$AF$62,$AF$65,$AF$67,$AF$68,$AF$69,$AF$70,$AF$71,$AF$72,$AF$78,$AF$82,$AF$84,$AF$85,$AF$86,$AF$87,$AF$88)</f>
        <v>0.441484230913614</v>
      </c>
    </row>
    <row r="94" spans="1:32" x14ac:dyDescent="0.2">
      <c r="A94" s="157" t="s">
        <v>344</v>
      </c>
      <c r="B94" s="157">
        <f>$B$56-AVERAGE($B$57,$B$58,$B$59,$B$60,$B$61,$B$62,$B$63,$B$64,$B$65,$B$67,$B$68,$B$69,$B$70,$B$71,$B$72,$B$73,$B$74,$B$75,$B$76,$B$77,$B$78,$B$79,$B$80,$B$81,$B$82,$B$83,$B$84,$B$85,$B$86,$B$87,$B$88,$B$89,$B$90,$B$91,$B$92)</f>
        <v>1.962860780102868E-3</v>
      </c>
      <c r="C94" s="157">
        <f>$C$56-AVERAGE($C$57,$C$58,$C$59,$C$60,$C$61,$C$62,$C$63,$C$64,$C$65,$C$67,$C$68,$C$69,$C$70,$C$71,$C$72,$C$73,$C$74,$C$75,$C$76,$C$77,$C$78,$C$79,$C$80,$C$81,$C$82,$C$83,$C$84,$C$85,$C$86,$C$87,$C$88,$C$89,$C$90,$C$91,$C$92)</f>
        <v>2.3000038095882941E-3</v>
      </c>
      <c r="D94" s="157">
        <f>$D$56-AVERAGE($D$57,$D$58,$D$59,$D$60,$D$61,$D$62,$D$63,$D$64,$D$65,$D$67,$D$68,$D$69,$D$70,$D$71,$D$72,$D$73,$D$74,$D$75,$D$76,$D$77,$D$78,$D$79,$D$80,$D$81,$D$82,$D$83,$D$84,$D$85,$D$86,$D$87,$D$88,$D$89,$D$90,$D$91,$D$92)</f>
        <v>2.508569189480378E-3</v>
      </c>
      <c r="E94" s="157">
        <f>$E$56-AVERAGE($E$57,$E$58,$E$59,$E$60,$E$61,$E$62,$E$63,$E$64,$E$65,$E$67,$E$68,$E$69,$E$70,$E$71,$E$72,$E$73,$E$74,$E$75,$E$76,$E$77,$E$78,$E$79,$E$80,$E$81,$E$82,$E$83,$E$84,$E$85,$E$86,$E$87,$E$88,$E$89,$E$90,$E$91,$E$92)</f>
        <v>2.9285699129104614E-3</v>
      </c>
      <c r="F94" s="157">
        <f>$F$56-AVERAGE($F$57,$F$58,$F$59,$F$60,$F$61,$F$62,$F$63,$F$64,$F$65,$F$67,$F$68,$F$69,$F$70,$F$71,$F$72,$F$73,$F$74,$F$75,$F$76,$F$77,$F$78,$F$79,$F$80,$F$81,$F$82,$F$83,$F$84,$F$85,$F$86,$F$87,$F$88,$F$89,$F$90,$F$91,$F$92)</f>
        <v>3.5285713417189529E-3</v>
      </c>
      <c r="G94" s="157">
        <f>$G$56-AVERAGE($G$57,$G$58,$G$59,$G$60,$G$61,$G$62,$G$63,$G$64,$G$65,$G$67,$G$68,$G$69,$G$70,$G$71,$G$72,$G$73,$G$74,$G$75,$G$76,$G$77,$G$78,$G$79,$G$80,$G$81,$G$82,$G$83,$G$84,$G$85,$G$86,$G$87,$G$88,$G$89,$G$90,$G$91,$G$92)</f>
        <v>4.4542872479983731E-3</v>
      </c>
      <c r="H94" s="157">
        <f>$H$56-AVERAGE($H$57,$H$58,$H$59,$H$60,$H$61,$H$62,$H$63,$H$64,$H$65,$H$67,$H$68,$H$69,$H$70,$H$71,$H$72,$H$73,$H$74,$H$75,$H$76,$H$77,$H$78,$H$79,$H$80,$H$81,$H$82,$H$83,$H$84,$H$85,$H$86,$H$87,$H$88,$H$89,$H$90,$H$91,$H$92)</f>
        <v>6.2657143388475667E-3</v>
      </c>
      <c r="I94" s="157">
        <f>$I$56-AVERAGE($I$57,$I$58,$I$59,$I$60,$I$61,$I$62,$I$63,$I$64,$I$65,$I$67,$I$68,$I$69,$I$70,$I$71,$I$72,$I$73,$I$74,$I$75,$I$76,$I$77,$I$78,$I$79,$I$80,$I$81,$I$82,$I$83,$I$84,$I$85,$I$86,$I$87,$I$88,$I$89,$I$90,$I$91,$I$92)</f>
        <v>9.3999988266399992E-3</v>
      </c>
      <c r="J94" s="157">
        <f>$J$56-AVERAGE($J$57,$J$58,$J$59,$J$60,$J$61,$J$62,$J$63,$J$64,$J$65,$J$67,$J$68,$J$69,$J$70,$J$71,$J$72,$J$73,$J$74,$J$75,$J$76,$J$77,$J$78,$J$79,$J$80,$J$81,$J$82,$J$83,$J$84,$J$85,$J$86,$J$87,$J$88,$J$89,$J$90,$J$91,$J$92)</f>
        <v>1.4354286236422403E-2</v>
      </c>
      <c r="K94" s="157">
        <f>$K$56-AVERAGE($K$57,$K$58,$K$59,$K$60,$K$61,$K$62,$K$63,$K$64,$K$65,$K$67,$K$68,$K$69,$K$70,$K$71,$K$72,$K$73,$K$74,$K$75,$K$76,$K$77,$K$78,$K$79,$K$80,$K$81,$K$82,$K$83,$K$84,$K$85,$K$86,$K$87,$K$88,$K$89,$K$90,$K$91,$K$92)</f>
        <v>2.207142497811998E-2</v>
      </c>
      <c r="L94" s="157">
        <f>$L$56-AVERAGE($L$57,$L$58,$L$59,$L$60,$L$61,$L$62,$L$63,$L$64,$L$65,$L$67,$L$68,$L$69,$L$70,$L$71,$L$72,$L$73,$L$74,$L$75,$L$76,$L$77,$L$78,$L$79,$L$80,$L$81,$L$82,$L$83,$L$84,$L$85,$L$86,$L$87,$L$88,$L$89,$L$90,$L$91,$L$92)</f>
        <v>3.5862864128180919E-2</v>
      </c>
      <c r="M94" s="157">
        <f>$M$56-AVERAGE($M$57,$M$58,$M$59,$M$60,$M$61,$M$62,$M$63,$M$64,$M$65,$M$67,$M$68,$M$69,$M$70,$M$71,$M$72,$M$73,$M$74,$M$75,$M$76,$M$77,$M$78,$M$79,$M$80,$M$81,$M$82,$M$83,$M$84,$M$85,$M$86,$M$87,$M$88,$M$89,$M$90,$M$91,$M$92)</f>
        <v>5.5845712976796288E-2</v>
      </c>
      <c r="N94" s="157">
        <f>$N$56-AVERAGE($N$57,$N$58,$N$59,$N$60,$N$61,$N$62,$N$63,$N$64,$N$65,$N$67,$N$68,$N$69,$N$70,$N$71,$N$72,$N$73,$N$74,$N$75,$N$76,$N$77,$N$78,$N$79,$N$80,$N$81,$N$82,$N$83,$N$84,$N$85,$N$86,$N$87,$N$88,$N$89,$N$90,$N$91,$N$92)</f>
        <v>8.2002863926546918E-2</v>
      </c>
      <c r="O94" s="157">
        <f>$O$56-AVERAGE($O$57,$O$58,$O$59,$O$60,$O$61,$O$62,$O$63,$O$64,$O$65,$O$67,$O$68,$O$69,$O$70,$O$71,$O$72,$O$73,$O$74,$O$75,$O$76,$O$77,$O$78,$O$79,$O$80,$O$81,$O$82,$O$83,$O$84,$O$85,$O$86,$O$87,$O$88,$O$89,$O$90,$O$91,$O$92)</f>
        <v>0.11667999412332263</v>
      </c>
      <c r="P94" s="157">
        <f>$P$56-AVERAGE($P$57,$P$58,$P$59,$P$60,$P$61,$P$62,$P$63,$P$64,$P$65,$P$67,$P$68,$P$69,$P$70,$P$71,$P$72,$P$73,$P$74,$P$75,$P$76,$P$77,$P$78,$P$79,$P$80,$P$81,$P$82,$P$83,$P$84,$P$85,$P$86,$P$87,$P$88,$P$89,$P$90,$P$91,$P$92)</f>
        <v>0.16128855794668198</v>
      </c>
      <c r="Q94" s="157">
        <f>$Q$56-AVERAGE($Q$57,$Q$58,$Q$59,$Q$60,$Q$61,$Q$62,$Q$63,$Q$64,$Q$65,$Q$67,$Q$68,$Q$69,$Q$70,$Q$71,$Q$72,$Q$73,$Q$74,$Q$75,$Q$76,$Q$77,$Q$78,$Q$79,$Q$80,$Q$81,$Q$82,$Q$83,$Q$84,$Q$85,$Q$86,$Q$87,$Q$88,$Q$89,$Q$90,$Q$91,$Q$92)</f>
        <v>0.20988286180155619</v>
      </c>
      <c r="R94" s="157">
        <f>$R$56-AVERAGE($R$57,$R$58,$R$59,$R$60,$R$61,$R$62,$R$63,$R$64,$R$65,$R$67,$R$68,$R$69,$R$70,$R$71,$R$72,$R$73,$R$74,$R$75,$R$76,$R$77,$R$78,$R$79,$R$80,$R$81,$R$82,$R$83,$R$84,$R$85,$R$86,$R$87,$R$88,$R$89,$R$90,$R$91,$R$92)</f>
        <v>0.25707714174474988</v>
      </c>
      <c r="S94" s="157">
        <f>$S$56-AVERAGE($S$57,$S$58,$S$59,$S$60,$S$61,$S$62,$S$63,$S$64,$S$65,$S$67,$S$68,$S$69,$S$70,$S$71,$S$72,$S$73,$S$74,$S$75,$S$76,$S$77,$S$78,$S$79,$S$80,$S$81,$S$82,$S$83,$S$84,$S$85,$S$86,$S$87,$S$88,$S$89,$S$90,$S$91,$S$92)</f>
        <v>0.303411437358175</v>
      </c>
      <c r="T94" s="157">
        <f>$T$56-AVERAGE($T$57,$T$58,$T$59,$T$60,$T$61,$T$62,$T$63,$T$64,$T$65,$T$67,$T$68,$T$69,$T$70,$T$71,$T$72,$T$73,$T$74,$T$75,$T$76,$T$77,$T$78,$T$79,$T$80,$T$81,$T$82,$T$83,$T$84,$T$85,$T$86,$T$87,$T$88,$T$89,$T$90,$T$91,$T$92)</f>
        <v>0.34218856820038385</v>
      </c>
      <c r="U94" s="157">
        <f>$U$56-AVERAGE($U$57,$U$58,$U$59,$U$60,$U$61,$U$62,$U$63,$U$64,$U$65,$U$67,$U$68,$U$69,$U$70,$U$71,$U$72,$U$73,$U$74,$U$75,$U$76,$U$77,$U$78,$U$79,$U$80,$U$81,$U$82,$U$83,$U$84,$U$85,$U$86,$U$87,$U$88,$U$89,$U$90,$U$91,$U$92)</f>
        <v>0.37303142717906407</v>
      </c>
      <c r="V94" s="157">
        <f>$V$56-AVERAGE($V$57,$V$58,$V$59,$V$60,$V$61,$V$62,$V$63,$V$64,$V$65,$V$67,$V$68,$V$69,$V$70,$V$71,$V$72,$V$73,$V$74,$V$75,$V$76,$V$77,$V$78,$V$79,$V$80,$V$81,$V$82,$V$83,$V$84,$V$85,$V$86,$V$87,$V$88,$V$89,$V$90,$V$91,$V$92)</f>
        <v>0.38130857646465299</v>
      </c>
      <c r="W94" s="157">
        <f>$W$56-AVERAGE($W$57,$W$58,$W$59,$W$60,$W$61,$W$62,$W$63,$W$64,$W$65,$W$67,$W$68,$W$69,$W$70,$W$71,$W$72,$W$73,$W$74,$W$75,$W$76,$W$77,$W$78,$W$79,$W$80,$W$81,$W$82,$W$83,$W$84,$W$85,$W$86,$W$87,$W$88,$W$89,$W$90,$W$91,$W$92)</f>
        <v>0.38958572575024197</v>
      </c>
      <c r="X94" s="157">
        <f>$X$56-AVERAGE($X$57,$X$58,$X$59,$X$60,$X$61,$X$62,$X$63,$X$64,$X$65,$X$67,$X$68,$X$69,$X$70,$X$71,$X$72,$X$73,$X$74,$X$75,$X$76,$X$77,$X$78,$X$79,$X$80,$X$81,$X$82,$X$83,$X$84,$X$85,$X$86,$X$87,$X$88,$X$89,$X$90,$X$91,$X$92)</f>
        <v>0.39733716398477553</v>
      </c>
      <c r="Y94" s="157">
        <f>$Y$56-AVERAGE($Y$57,$Y$58,$Y$59,$Y$60,$Y$61,$Y$62,$Y$63,$Y$64,$Y$65,$Y$67,$Y$68,$Y$69,$Y$70,$Y$71,$Y$72,$Y$73,$Y$74,$Y$75,$Y$76,$Y$77,$Y$78,$Y$79,$Y$80,$Y$81,$Y$82,$Y$83,$Y$84,$Y$85,$Y$86,$Y$87,$Y$88,$Y$89,$Y$90,$Y$91,$Y$92)</f>
        <v>0.39260572727237431</v>
      </c>
      <c r="Z94" s="157">
        <f>$Z$56-AVERAGE($Z$57,$Z$58,$Z$59,$Z$60,$Z$61,$Z$62,$Z$63,$Z$64,$Z$65,$Z$67,$Z$68,$Z$69,$Z$70,$Z$71,$Z$72,$Z$73,$Z$74,$Z$75,$Z$76,$Z$77,$Z$78,$Z$79,$Z$80,$Z$81,$Z$82,$Z$83,$Z$84,$Z$85,$Z$86,$Z$87,$Z$88,$Z$89,$Z$90,$Z$91,$Z$92)</f>
        <v>0.38747142553329467</v>
      </c>
      <c r="AA94" s="157">
        <f>$AA$56-AVERAGE($AA$57,$AA$58,$AA$59,$AA$60,$AA$61,$AA$62,$AA$63,$AA$64,$AA$65,$AA$67,$AA$68,$AA$69,$AA$70,$AA$71,$AA$72,$AA$73,$AA$74,$AA$75,$AA$76,$AA$77,$AA$78,$AA$79,$AA$80,$AA$81,$AA$82,$AA$83,$AA$84,$AA$85,$AA$86,$AA$87,$AA$88,$AA$89,$AA$90,$AA$91,$AA$92)</f>
        <v>0.38605427231107436</v>
      </c>
      <c r="AB94" s="157">
        <f>$AB$56-AVERAGE($AB$57,$AB$58,$AB$59,$AB$60,$AB$61,$AB$62,$AB$63,$AB$64,$AB$65,$AB$67,$AB$68,$AB$69,$AB$70,$AB$71,$AB$72,$AB$73,$AB$74,$AB$75,$AB$76,$AB$77,$AB$78,$AB$79,$AB$80,$AB$81,$AB$82,$AB$83,$AB$84,$AB$85,$AB$86,$AB$87,$AB$88,$AB$89,$AB$90,$AB$91,$AB$92)</f>
        <v>0.38637141798223767</v>
      </c>
      <c r="AC94" s="157">
        <f>$AC$56-AVERAGE($AC$57,$AC$58,$AC$59,$AC$60,$AC$61,$AC$62,$AC$63,$AC$64,$AC$65,$AC$67,$AC$68,$AC$69,$AC$70,$AC$71,$AC$72,$AC$73,$AC$74,$AC$75,$AC$76,$AC$77,$AC$78,$AC$79,$AC$80,$AC$81,$AC$82,$AC$83,$AC$84,$AC$85,$AC$86,$AC$87,$AC$88,$AC$89,$AC$90,$AC$91,$AC$92)</f>
        <v>0.3907114169427327</v>
      </c>
      <c r="AD94" s="157">
        <f>$AD$56-AVERAGE($AD$57,$AD$58,$AD$59,$AD$60,$AD$61,$AD$62,$AD$63,$AD$64,$AD$65,$AD$67,$AD$68,$AD$69,$AD$70,$AD$71,$AD$72,$AD$73,$AD$74,$AD$75,$AD$76,$AD$77,$AD$78,$AD$79,$AD$80,$AD$81,$AD$82,$AD$83,$AD$84,$AD$85,$AD$86,$AD$87,$AD$88,$AD$89,$AD$90,$AD$91,$AD$92)</f>
        <v>0.39545430881636484</v>
      </c>
      <c r="AE94" s="157">
        <f>$AE$56-AVERAGE($AE$57,$AE$58,$AE$59,$AE$60,$AE$61,$AE$62,$AE$63,$AE$64,$AE$65,$AE$67,$AE$68,$AE$69,$AE$70,$AE$71,$AE$72,$AE$73,$AE$74,$AE$75,$AE$76,$AE$77,$AE$78,$AE$79,$AE$80,$AE$81,$AE$82,$AE$83,$AE$84,$AE$85,$AE$86,$AE$87,$AE$88,$AE$89,$AE$90,$AE$91,$AE$92)</f>
        <v>0.4057885753256934</v>
      </c>
      <c r="AF94" s="157">
        <f>$AF$56-AVERAGE($AF$57,$AF$58,$AF$59,$AF$60,$AF$61,$AF$62,$AF$63,$AF$64,$AF$65,$AF$67,$AF$68,$AF$69,$AF$70,$AF$71,$AF$72,$AF$73,$AF$74,$AF$75,$AF$76,$AF$77,$AF$78,$AF$79,$AF$80,$AF$81,$AF$82,$AF$83,$AF$84,$AF$85,$AF$86,$AF$87,$AF$88,$AF$89,$AF$90,$AF$91,$AF$92)</f>
        <v>0.41142571036304748</v>
      </c>
    </row>
    <row r="95" spans="1:32" x14ac:dyDescent="0.2">
      <c r="A95" t="s">
        <v>345</v>
      </c>
      <c r="H95">
        <f>INDEX(LOGEST($B$93:$H$93,$B$54:$H$54,TRUE,TRUE), 3)</f>
        <v>0.98733173590937362</v>
      </c>
      <c r="I95">
        <f>INDEX(LOGEST($B$93:$I$93,$B$54:$I$54,TRUE,TRUE), 3)</f>
        <v>0.97908809505165451</v>
      </c>
      <c r="J95">
        <f>INDEX(LOGEST($B$93:$J$93,$B$54:$J$54,TRUE,TRUE), 3)</f>
        <v>0.97509516067059965</v>
      </c>
      <c r="K95">
        <f>INDEX(LOGEST($B$93:$K$93,$B$54:$K$54,TRUE,TRUE), 3)</f>
        <v>0.97421736556675731</v>
      </c>
      <c r="L95">
        <f>INDEX(LOGEST($B$93:$L$93,$B$54:$L$54,TRUE,TRUE), 3)</f>
        <v>0.9754362718380919</v>
      </c>
      <c r="M95">
        <f>INDEX(LOGEST($B$93:$M$93,$B$54:$M$54,TRUE,TRUE), 3)</f>
        <v>0.97841341039806629</v>
      </c>
      <c r="N95">
        <f>INDEX(LOGEST($B$93:$N$93,$B$54:$N$54,TRUE,TRUE), 3)</f>
        <v>0.98192776812628568</v>
      </c>
      <c r="O95">
        <f>INDEX(LOGEST($B$93:$O$93,$B$54:$O$54,TRUE,TRUE), 3)</f>
        <v>0.98533265729737363</v>
      </c>
      <c r="P95">
        <f>INDEX(LOGEST($B$93:$P$93,$B$54:$P$54,TRUE,TRUE), 3)</f>
        <v>0.98807154889543425</v>
      </c>
      <c r="Q95">
        <f>INDEX(LOGEST($B$93:$Q$93,$B$54:$Q$54,TRUE,TRUE), 3)</f>
        <v>0.98992873962112615</v>
      </c>
      <c r="R95" s="155">
        <f>INDEX(LOGEST($B$93:$R$93,$B$54:$R$54,TRUE,TRUE), 3)</f>
        <v>0.9908408103523566</v>
      </c>
      <c r="S95">
        <f>INDEX(LOGEST($B$93:$S$93,$B$54:$S$54,TRUE,TRUE), 3)</f>
        <v>0.99080194118659726</v>
      </c>
      <c r="T95">
        <f>INDEX(LOGEST($B$93:$T$93,$B$54:$T$54,TRUE,TRUE), 3)</f>
        <v>0.98949904008421996</v>
      </c>
      <c r="U95">
        <f>INDEX(LOGEST($B$93:$U$93,$B$54:$U$54,TRUE,TRUE), 3)</f>
        <v>0.98663537907239618</v>
      </c>
      <c r="V95">
        <f>INDEX(LOGEST($B$93:$V$93,$B$54:$V$54,TRUE,TRUE), 3)</f>
        <v>0.98192573772591707</v>
      </c>
      <c r="W95">
        <f>INDEX(LOGEST($B$93:$W$93,$B$54:$W$54,TRUE,TRUE), 3)</f>
        <v>0.97574536844145265</v>
      </c>
      <c r="X95">
        <f>INDEX(LOGEST($B$93:$X$93,$B$54:$X$54,TRUE,TRUE), 3)</f>
        <v>0.9678873113124683</v>
      </c>
      <c r="Y95">
        <f>INDEX(LOGEST($B$93:$Y$93,$B$54:$Y$54,TRUE,TRUE), 3)</f>
        <v>0.9585592843329529</v>
      </c>
      <c r="Z95">
        <f>INDEX(LOGEST($B$93:$Z$93,$B$54:$Z$54,TRUE,TRUE), 3)</f>
        <v>0.94794532641061979</v>
      </c>
      <c r="AA95">
        <f>INDEX(LOGEST($B$93:$AA$93,$B$54:$AA$54,TRUE,TRUE), 3)</f>
        <v>0.93638560429544226</v>
      </c>
      <c r="AB95">
        <f>INDEX(LOGEST($B$93:$AB$93,$B$54:$AB$54,TRUE,TRUE), 3)</f>
        <v>0.924177793268532</v>
      </c>
      <c r="AC95">
        <f>INDEX(LOGEST($B$93:$AC$93,$B$54:$AC$54,TRUE,TRUE), 3)</f>
        <v>0.91173702685729996</v>
      </c>
      <c r="AD95">
        <f>INDEX(LOGEST($B$93:$AD$93,$B$54:$AD$54,TRUE,TRUE), 3)</f>
        <v>0.89911816626019536</v>
      </c>
      <c r="AE95">
        <f>INDEX(LOGEST($B$93:$AE$93,$B$54:$AE$54,TRUE,TRUE), 3)</f>
        <v>0.88674163104472969</v>
      </c>
      <c r="AF95">
        <f>INDEX(LOGEST($B$93:$AF$93,$B$54:$AF$54,TRUE,TRUE), 3)</f>
        <v>0.87466332277011838</v>
      </c>
    </row>
    <row r="96" spans="1:32" x14ac:dyDescent="0.2">
      <c r="A96" t="s">
        <v>346</v>
      </c>
      <c r="H96">
        <f>INDEX(LOGEST($B$94:$H$94,$B$54:$H$54,TRUE,TRUE), 3)</f>
        <v>0.9597366002917086</v>
      </c>
      <c r="I96">
        <f>INDEX(LOGEST($B$94:$I$94,$B$54:$I$54,TRUE,TRUE), 3)</f>
        <v>0.94489291343345372</v>
      </c>
      <c r="J96">
        <f>INDEX(LOGEST($B$94:$J$94,$B$54:$J$54,TRUE,TRUE), 3)</f>
        <v>0.94093293356686525</v>
      </c>
      <c r="K96">
        <f>INDEX(LOGEST($B$94:$K$94,$B$54:$K$54,TRUE,TRUE), 3)</f>
        <v>0.943155077727586</v>
      </c>
      <c r="L96">
        <f>INDEX(LOGEST($B$94:$L$94,$B$54:$L$54,TRUE,TRUE), 3)</f>
        <v>0.94532111430668253</v>
      </c>
      <c r="M96">
        <f>INDEX(LOGEST($B$94:$M$94,$B$54:$M$54,TRUE,TRUE), 3)</f>
        <v>0.95027946022936249</v>
      </c>
      <c r="N96">
        <f>INDEX(LOGEST($B$94:$N$94,$B$54:$N$54,TRUE,TRUE), 3)</f>
        <v>0.95717899370026882</v>
      </c>
      <c r="O96">
        <f>INDEX(LOGEST($B$94:$O$94,$B$54:$O$54,TRUE,TRUE), 3)</f>
        <v>0.96412064081036863</v>
      </c>
      <c r="P96">
        <f>INDEX(LOGEST($B$94:$P$94,$B$54:$P$54,TRUE,TRUE), 3)</f>
        <v>0.97031430029976862</v>
      </c>
      <c r="Q96">
        <f>INDEX(LOGEST($B$94:$Q$94,$B$54:$Q$54,TRUE,TRUE), 3)</f>
        <v>0.97553568965657889</v>
      </c>
      <c r="R96">
        <f>INDEX(LOGEST($B$94:$R$94,$B$54:$R$54,TRUE,TRUE), 3)</f>
        <v>0.97937275621289188</v>
      </c>
      <c r="S96">
        <f>INDEX(LOGEST($B$94:$S$94,$B$54:$S$54,TRUE,TRUE), 3)</f>
        <v>0.98155154094462849</v>
      </c>
      <c r="T96" s="155">
        <f>INDEX(LOGEST($B$94:$T$94,$B$54:$T$54,TRUE,TRUE), 3)</f>
        <v>0.98183845284485916</v>
      </c>
      <c r="U96">
        <f>INDEX(LOGEST($B$94:$U$94,$B$54:$U$54,TRUE,TRUE), 3)</f>
        <v>0.98013663018414254</v>
      </c>
      <c r="V96">
        <f>INDEX(LOGEST($B$94:$V$94,$B$54:$V$54,TRUE,TRUE), 3)</f>
        <v>0.97580762606099236</v>
      </c>
      <c r="W96">
        <f>INDEX(LOGEST($B$94:$W$94,$B$54:$W$54,TRUE,TRUE), 3)</f>
        <v>0.96933184602607192</v>
      </c>
      <c r="X96">
        <f>INDEX(LOGEST($B$94:$X$94,$B$54:$X$54,TRUE,TRUE), 3)</f>
        <v>0.96116078325241328</v>
      </c>
      <c r="Y96">
        <f>INDEX(LOGEST($B$94:$Y$94,$B$54:$Y$54,TRUE,TRUE), 3)</f>
        <v>0.95099614253495646</v>
      </c>
      <c r="Z96">
        <f>INDEX(LOGEST($B$94:$Z$94,$B$54:$Z$54,TRUE,TRUE), 3)</f>
        <v>0.93923817787604447</v>
      </c>
      <c r="AA96">
        <f>INDEX(LOGEST($B$94:$AA$94,$B$54:$AA$54,TRUE,TRUE), 3)</f>
        <v>0.92649365629468305</v>
      </c>
      <c r="AB96">
        <f>INDEX(LOGEST($B$94:$AB$94,$B$54:$AB$54,TRUE,TRUE), 3)</f>
        <v>0.91315218787919372</v>
      </c>
      <c r="AC96">
        <f>INDEX(LOGEST($B$94:$AC$94,$B$54:$AC$54,TRUE,TRUE), 3)</f>
        <v>0.89969006046087852</v>
      </c>
      <c r="AD96">
        <f>INDEX(LOGEST($B$94:$AD$94,$B$54:$AD$54,TRUE,TRUE), 3)</f>
        <v>0.88625735307477271</v>
      </c>
      <c r="AE96">
        <f>INDEX(LOGEST($B$94:$AE$94,$B$54:$AE$54,TRUE,TRUE), 3)</f>
        <v>0.8733051983186001</v>
      </c>
      <c r="AF96">
        <f>INDEX(LOGEST($B$94:$AF$94,$B$54:$AF$54,TRUE,TRUE), 3)</f>
        <v>0.86054533519019782</v>
      </c>
    </row>
    <row r="97" spans="1:20" s="160" customFormat="1" x14ac:dyDescent="0.2">
      <c r="A97" s="160" t="s">
        <v>347</v>
      </c>
      <c r="B97" s="160">
        <f>$K$43*EXP($J$49*$B$54)</f>
        <v>4.9024971642295894E-4</v>
      </c>
      <c r="C97" s="160">
        <f>$K$43*EXP($J$49*$C$54)</f>
        <v>7.2331117955472821E-4</v>
      </c>
      <c r="D97" s="160">
        <f>$K$43*EXP($J$49*$D$54)</f>
        <v>1.0671685162536306E-3</v>
      </c>
      <c r="E97" s="160">
        <f>$K$43*EXP($J$49*$E$54)</f>
        <v>1.5744933498526219E-3</v>
      </c>
      <c r="F97" s="160">
        <f>$K$43*EXP($J$49*$F$54)</f>
        <v>2.3229970440216286E-3</v>
      </c>
      <c r="G97" s="160">
        <f>$K$43*EXP($J$49*$G$54)</f>
        <v>3.4273344292234313E-3</v>
      </c>
      <c r="H97" s="160">
        <f>$K$43*EXP($J$49*$H$54)</f>
        <v>5.056666481763691E-3</v>
      </c>
      <c r="I97" s="160">
        <f>$K$43*EXP($J$49*$I$54)</f>
        <v>7.4605721839598911E-3</v>
      </c>
      <c r="J97" s="160">
        <f>$K$43*EXP($J$49*$J$54)</f>
        <v>1.1007278710749109E-2</v>
      </c>
      <c r="K97" s="160">
        <f>$K$43*EXP($J$49*$K$54)</f>
        <v>1.6240065993410394E-2</v>
      </c>
      <c r="L97" s="160">
        <f>$K$43*EXP($J$49*$L$54)</f>
        <v>2.3960485638722943E-2</v>
      </c>
      <c r="M97" s="160">
        <f>$K$43*EXP($J$49*$M$54)</f>
        <v>3.5351141570261986E-2</v>
      </c>
      <c r="N97" s="160">
        <f>$K$43*EXP($J$49*$N$54)</f>
        <v>5.2156839772105418E-2</v>
      </c>
      <c r="O97" s="160">
        <f>$K$43*EXP($J$49*$O$54)</f>
        <v>7.6951855419047352E-2</v>
      </c>
      <c r="P97" s="160">
        <f>$K$43*EXP($J$49*$P$54)</f>
        <v>0.11353425702760779</v>
      </c>
      <c r="Q97" s="160">
        <f>$K$43*EXP($J$49*$Q$54)</f>
        <v>0.16750768969269494</v>
      </c>
      <c r="R97" s="160">
        <f>$K$43*EXP($J$49*$R$54)</f>
        <v>0.24713973421573715</v>
      </c>
    </row>
    <row r="98" spans="1:20" s="161" customFormat="1" x14ac:dyDescent="0.2">
      <c r="A98" s="161" t="s">
        <v>348</v>
      </c>
      <c r="B98" s="161">
        <f>$Q$43*EXP($P$49*$B$54)</f>
        <v>1.2352542761910037E-3</v>
      </c>
      <c r="C98" s="161">
        <f>$Q$43*EXP($P$49*$C$54)</f>
        <v>1.7176390674770771E-3</v>
      </c>
      <c r="D98" s="161">
        <f>$Q$43*EXP($P$49*$D$54)</f>
        <v>2.3884021476298289E-3</v>
      </c>
      <c r="E98" s="161">
        <f>$Q$43*EXP($P$49*$E$54)</f>
        <v>3.3211079829371134E-3</v>
      </c>
      <c r="F98" s="161">
        <f>$Q$43*EXP($P$49*$F$54)</f>
        <v>4.6180490355337287E-3</v>
      </c>
      <c r="G98" s="161">
        <f>$Q$43*EXP($P$49*$G$54)</f>
        <v>6.4214644643181508E-3</v>
      </c>
      <c r="H98" s="161">
        <f>$Q$43*EXP($P$49*$H$54)</f>
        <v>8.9291398920226216E-3</v>
      </c>
      <c r="I98" s="161">
        <f>$Q$43*EXP($P$49*$I$54)</f>
        <v>1.241609910859728E-2</v>
      </c>
      <c r="J98" s="161">
        <f>$Q$43*EXP($P$49*$J$54)</f>
        <v>1.7264766700792515E-2</v>
      </c>
      <c r="K98" s="161">
        <f>$Q$43*EXP($P$49*$K$54)</f>
        <v>2.4006909628032844E-2</v>
      </c>
      <c r="L98" s="161">
        <f>$Q$43*EXP($P$49*$L$54)</f>
        <v>3.3381957594716898E-2</v>
      </c>
      <c r="M98" s="161">
        <f>$Q$43*EXP($P$49*$M$54)</f>
        <v>4.6418098377570688E-2</v>
      </c>
      <c r="N98" s="161">
        <f>$Q$43*EXP($P$49*$N$54)</f>
        <v>6.4545042059811014E-2</v>
      </c>
      <c r="O98" s="161">
        <f>$Q$43*EXP($P$49*$O$54)</f>
        <v>8.9750821341613121E-2</v>
      </c>
      <c r="P98" s="161">
        <f>$Q$43*EXP($P$49*$P$54)</f>
        <v>0.12479982465624181</v>
      </c>
      <c r="Q98" s="161">
        <f>$Q$43*EXP($P$49*$Q$54)</f>
        <v>0.17353597439455781</v>
      </c>
      <c r="R98" s="161">
        <f>$Q$43*EXP($P$49*$R$54)</f>
        <v>0.24130430064320135</v>
      </c>
      <c r="S98" s="161">
        <f>$Q$43*EXP($P$49*$S$54)</f>
        <v>0.33553714560945019</v>
      </c>
      <c r="T98" s="161">
        <f>$Q$43*EXP($P$49*$T$54)</f>
        <v>0.46656928941440035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691E5-6011-3647-A038-FAC63B81D178}">
  <sheetPr codeName="Sheet46"/>
  <dimension ref="A42:AF102"/>
  <sheetViews>
    <sheetView workbookViewId="0"/>
  </sheetViews>
  <sheetFormatPr baseColWidth="10" defaultRowHeight="15" x14ac:dyDescent="0.2"/>
  <sheetData>
    <row r="42" spans="9:24" x14ac:dyDescent="0.2">
      <c r="I42" t="s">
        <v>249</v>
      </c>
      <c r="O42" t="s">
        <v>249</v>
      </c>
      <c r="U42" t="s">
        <v>249</v>
      </c>
    </row>
    <row r="43" spans="9:24" x14ac:dyDescent="0.2">
      <c r="I43" t="s">
        <v>250</v>
      </c>
      <c r="J43" s="159">
        <f t="array" ref="J43:K47">LOGEST($B$94:$W$94,$B$54:$W$54,TRUE,TRUE)</f>
        <v>1.0003392889729907</v>
      </c>
      <c r="K43" s="159">
        <v>4.9112201631966923E-4</v>
      </c>
      <c r="L43" t="s">
        <v>255</v>
      </c>
      <c r="O43" t="s">
        <v>250</v>
      </c>
      <c r="P43" s="159">
        <f t="array" ref="P43:Q47">LOGEST($B$95:$V$95,$B$54:$V$54,TRUE,TRUE)</f>
        <v>1.0003480397419819</v>
      </c>
      <c r="Q43" s="159">
        <v>4.8322072812898232E-4</v>
      </c>
      <c r="R43" t="s">
        <v>255</v>
      </c>
      <c r="U43" t="s">
        <v>250</v>
      </c>
      <c r="V43" s="159">
        <f t="array" ref="V43:W47">LOGEST($B$96:$W$96,$B$54:$W$54,TRUE,TRUE)</f>
        <v>1.0003289170766303</v>
      </c>
      <c r="W43" s="159">
        <v>5.6000323152845071E-4</v>
      </c>
      <c r="X43" t="s">
        <v>255</v>
      </c>
    </row>
    <row r="44" spans="9:24" x14ac:dyDescent="0.2">
      <c r="I44" t="s">
        <v>251</v>
      </c>
      <c r="J44" s="159">
        <v>4.2460972803628335E-6</v>
      </c>
      <c r="K44" s="159">
        <v>4.6886622745260134E-2</v>
      </c>
      <c r="L44" t="s">
        <v>256</v>
      </c>
      <c r="O44" t="s">
        <v>251</v>
      </c>
      <c r="P44" s="159">
        <v>4.3340040093456106E-6</v>
      </c>
      <c r="Q44" s="159">
        <v>4.5604885685233E-2</v>
      </c>
      <c r="R44" t="s">
        <v>256</v>
      </c>
      <c r="U44" t="s">
        <v>251</v>
      </c>
      <c r="V44" s="159">
        <v>4.9446966390358334E-6</v>
      </c>
      <c r="W44" s="159">
        <v>5.4600757023734001E-2</v>
      </c>
      <c r="X44" t="s">
        <v>256</v>
      </c>
    </row>
    <row r="45" spans="9:24" x14ac:dyDescent="0.2">
      <c r="I45" t="s">
        <v>252</v>
      </c>
      <c r="J45" s="159">
        <v>0.99687637407297292</v>
      </c>
      <c r="K45" s="159">
        <v>0.1137299856444421</v>
      </c>
      <c r="L45" t="s">
        <v>257</v>
      </c>
      <c r="O45" t="s">
        <v>252</v>
      </c>
      <c r="P45" s="159">
        <v>0.9970613520902516</v>
      </c>
      <c r="Q45" s="159">
        <v>0.10824938384569671</v>
      </c>
      <c r="R45" t="s">
        <v>257</v>
      </c>
      <c r="U45" t="s">
        <v>252</v>
      </c>
      <c r="V45" s="159">
        <v>0.99549888547959076</v>
      </c>
      <c r="W45" s="159">
        <v>0.13244168483243327</v>
      </c>
      <c r="X45" t="s">
        <v>257</v>
      </c>
    </row>
    <row r="46" spans="9:24" x14ac:dyDescent="0.2">
      <c r="I46" t="s">
        <v>253</v>
      </c>
      <c r="J46" s="159">
        <v>6382.8153393628145</v>
      </c>
      <c r="K46" s="159">
        <v>20</v>
      </c>
      <c r="L46" t="s">
        <v>258</v>
      </c>
      <c r="O46" t="s">
        <v>253</v>
      </c>
      <c r="P46" s="159">
        <v>6446.5585097387911</v>
      </c>
      <c r="Q46" s="159">
        <v>19</v>
      </c>
      <c r="R46" t="s">
        <v>258</v>
      </c>
      <c r="U46" t="s">
        <v>253</v>
      </c>
      <c r="V46" s="159">
        <v>4423.3439561057303</v>
      </c>
      <c r="W46" s="159">
        <v>20</v>
      </c>
      <c r="X46" t="s">
        <v>258</v>
      </c>
    </row>
    <row r="47" spans="9:24" x14ac:dyDescent="0.2">
      <c r="I47" t="s">
        <v>254</v>
      </c>
      <c r="J47" s="159">
        <v>82.558586503403575</v>
      </c>
      <c r="K47" s="159">
        <v>0.25869019269370014</v>
      </c>
      <c r="L47" t="s">
        <v>259</v>
      </c>
      <c r="O47" t="s">
        <v>254</v>
      </c>
      <c r="P47" s="159">
        <v>75.540315575286328</v>
      </c>
      <c r="Q47" s="159">
        <v>0.22264065295648672</v>
      </c>
      <c r="R47" t="s">
        <v>259</v>
      </c>
      <c r="U47" t="s">
        <v>254</v>
      </c>
      <c r="V47" s="159">
        <v>77.588991140003145</v>
      </c>
      <c r="W47" s="159">
        <v>0.35081599762507165</v>
      </c>
      <c r="X47" t="s">
        <v>259</v>
      </c>
    </row>
    <row r="49" spans="1:32" x14ac:dyDescent="0.2">
      <c r="I49" t="s">
        <v>260</v>
      </c>
      <c r="J49">
        <f>LN($J$43)</f>
        <v>3.3923142750313842E-4</v>
      </c>
      <c r="O49" t="s">
        <v>260</v>
      </c>
      <c r="P49">
        <f>LN($P$43)</f>
        <v>3.4797919020015337E-4</v>
      </c>
      <c r="U49" t="s">
        <v>260</v>
      </c>
      <c r="V49">
        <f>LN($V$43)</f>
        <v>3.2886299526717875E-4</v>
      </c>
    </row>
    <row r="50" spans="1:32" x14ac:dyDescent="0.2">
      <c r="I50" t="s">
        <v>261</v>
      </c>
      <c r="J50">
        <f>ROUND(LN(2)/$J$49, 1)</f>
        <v>2043.3</v>
      </c>
      <c r="O50" t="s">
        <v>261</v>
      </c>
      <c r="P50">
        <f>ROUND(LN(2)/$P$49, 1)</f>
        <v>1991.9</v>
      </c>
      <c r="U50" t="s">
        <v>261</v>
      </c>
      <c r="V50">
        <f>ROUND(LN(2)/$V$49, 1)</f>
        <v>2107.6999999999998</v>
      </c>
    </row>
    <row r="51" spans="1:32" x14ac:dyDescent="0.2">
      <c r="I51" t="s">
        <v>204</v>
      </c>
      <c r="J51" s="155">
        <f>ROUND($J$50/60, 1)</f>
        <v>34.1</v>
      </c>
      <c r="O51" t="s">
        <v>204</v>
      </c>
      <c r="P51" s="155">
        <f>ROUND($P$50/60, 1)</f>
        <v>33.200000000000003</v>
      </c>
      <c r="U51" t="s">
        <v>204</v>
      </c>
      <c r="V51" s="155">
        <f>ROUND($V$50/60, 1)</f>
        <v>35.1</v>
      </c>
    </row>
    <row r="54" spans="1:32" x14ac:dyDescent="0.2">
      <c r="A54" t="s">
        <v>206</v>
      </c>
      <c r="B54" s="166">
        <v>0</v>
      </c>
      <c r="C54" s="166">
        <v>900.1</v>
      </c>
      <c r="D54" s="166">
        <v>1800.2</v>
      </c>
      <c r="E54" s="166">
        <v>2700.3</v>
      </c>
      <c r="F54" s="166">
        <v>3600.4</v>
      </c>
      <c r="G54" s="166">
        <v>4500.5</v>
      </c>
      <c r="H54" s="166">
        <v>5400.6</v>
      </c>
      <c r="I54" s="166">
        <v>6300.7</v>
      </c>
      <c r="J54" s="166">
        <v>7200.8</v>
      </c>
      <c r="K54" s="166">
        <v>8100.9</v>
      </c>
      <c r="L54" s="166">
        <v>9001</v>
      </c>
      <c r="M54" s="166">
        <v>9901.1</v>
      </c>
      <c r="N54" s="166">
        <v>10801.2</v>
      </c>
      <c r="O54" s="166">
        <v>11701.3</v>
      </c>
      <c r="P54" s="166">
        <v>12601.4</v>
      </c>
      <c r="Q54" s="166">
        <v>13501.5</v>
      </c>
      <c r="R54" s="166">
        <v>14401.6</v>
      </c>
      <c r="S54" s="166">
        <v>15301.7</v>
      </c>
      <c r="T54" s="166">
        <v>16201.8</v>
      </c>
      <c r="U54" s="166">
        <v>17101.900000000001</v>
      </c>
      <c r="V54" s="166">
        <v>18002</v>
      </c>
      <c r="W54" s="166">
        <v>18902.099999999999</v>
      </c>
      <c r="X54" s="166">
        <v>19802.2</v>
      </c>
      <c r="Y54" s="166">
        <v>20702.3</v>
      </c>
      <c r="Z54" s="166">
        <v>21602.400000000001</v>
      </c>
      <c r="AA54" s="166">
        <v>22502.5</v>
      </c>
      <c r="AB54" s="166">
        <v>23402.6</v>
      </c>
      <c r="AC54" s="166">
        <v>24302.7</v>
      </c>
      <c r="AD54" s="166">
        <v>25202.799999999999</v>
      </c>
      <c r="AE54" s="166">
        <v>26102.9</v>
      </c>
      <c r="AF54" s="166">
        <v>27003</v>
      </c>
    </row>
    <row r="55" spans="1:32" x14ac:dyDescent="0.2">
      <c r="A55" s="156" t="s">
        <v>349</v>
      </c>
      <c r="B55" s="156">
        <v>0.10700000077486038</v>
      </c>
      <c r="C55" s="156">
        <v>0.10670000314712524</v>
      </c>
      <c r="D55" s="156">
        <v>0.10679999738931656</v>
      </c>
      <c r="E55" s="156">
        <v>0.10729999840259552</v>
      </c>
      <c r="F55" s="156">
        <v>0.10740000009536743</v>
      </c>
      <c r="G55" s="156">
        <v>0.10809999704360962</v>
      </c>
      <c r="H55" s="156">
        <v>0.10869999974966049</v>
      </c>
      <c r="I55" s="156">
        <v>0.10970000177621841</v>
      </c>
      <c r="J55" s="156">
        <v>0.11069999635219574</v>
      </c>
      <c r="K55" s="156">
        <v>0.11240000277757645</v>
      </c>
      <c r="L55" s="156">
        <v>0.11490000039339066</v>
      </c>
      <c r="M55" s="156">
        <v>0.11810000240802765</v>
      </c>
      <c r="N55" s="156">
        <v>0.12349999696016312</v>
      </c>
      <c r="O55" s="156">
        <v>0.13019999861717224</v>
      </c>
      <c r="P55" s="156">
        <v>0.14030000567436218</v>
      </c>
      <c r="Q55" s="156">
        <v>0.15469999611377716</v>
      </c>
      <c r="R55" s="156">
        <v>0.17659999430179596</v>
      </c>
      <c r="S55" s="156">
        <v>0.2070000022649765</v>
      </c>
      <c r="T55" s="156">
        <v>0.24310000240802765</v>
      </c>
      <c r="U55" s="156">
        <v>0.28400000929832458</v>
      </c>
      <c r="V55" s="156">
        <f t="shared" ref="V55:V57" si="0">AVERAGE(U55,W55)</f>
        <v>0.32565000653266907</v>
      </c>
      <c r="W55" s="156">
        <v>0.36730000376701355</v>
      </c>
      <c r="X55" s="156">
        <v>0.40560001134872437</v>
      </c>
      <c r="Y55" s="156">
        <v>0.44130000472068787</v>
      </c>
      <c r="Z55" s="156">
        <v>0.46410000324249268</v>
      </c>
      <c r="AA55" s="156">
        <v>0.47020000219345093</v>
      </c>
      <c r="AB55" s="156">
        <v>0.47400000691413879</v>
      </c>
      <c r="AC55" s="156">
        <v>0.4731999933719635</v>
      </c>
      <c r="AD55" s="156">
        <v>0.47139999270439148</v>
      </c>
      <c r="AE55" s="156">
        <v>0.47290000319480896</v>
      </c>
      <c r="AF55" s="156">
        <v>0.47679999470710754</v>
      </c>
    </row>
    <row r="56" spans="1:32" x14ac:dyDescent="0.2">
      <c r="A56" s="157" t="s">
        <v>350</v>
      </c>
      <c r="B56" s="157">
        <v>0.10610000044107437</v>
      </c>
      <c r="C56" s="157">
        <v>0.10589999705553055</v>
      </c>
      <c r="D56" s="157">
        <v>0.10610000044107437</v>
      </c>
      <c r="E56" s="157">
        <v>0.10649999976158142</v>
      </c>
      <c r="F56" s="157">
        <v>0.10689999908208847</v>
      </c>
      <c r="G56" s="157">
        <v>0.10760000348091125</v>
      </c>
      <c r="H56" s="157">
        <v>0.10830000042915344</v>
      </c>
      <c r="I56" s="157">
        <v>0.10930000245571136</v>
      </c>
      <c r="J56" s="157">
        <v>0.11050000041723251</v>
      </c>
      <c r="K56" s="157">
        <v>0.11240000277757645</v>
      </c>
      <c r="L56" s="157">
        <v>0.11479999870061874</v>
      </c>
      <c r="M56" s="157">
        <v>0.1185000017285347</v>
      </c>
      <c r="N56" s="157">
        <v>0.12370000034570694</v>
      </c>
      <c r="O56" s="157">
        <v>0.13160000741481781</v>
      </c>
      <c r="P56" s="157">
        <v>0.14259999990463257</v>
      </c>
      <c r="Q56" s="157">
        <v>0.15899999439716339</v>
      </c>
      <c r="R56" s="157">
        <v>0.18469999730587006</v>
      </c>
      <c r="S56" s="157">
        <v>0.21680000424385071</v>
      </c>
      <c r="T56" s="157">
        <v>0.25389999151229858</v>
      </c>
      <c r="U56" s="157">
        <v>0.29559999704360962</v>
      </c>
      <c r="V56" s="157">
        <f t="shared" si="0"/>
        <v>0.33540000021457672</v>
      </c>
      <c r="W56" s="157">
        <v>0.37520000338554382</v>
      </c>
      <c r="X56" s="157">
        <v>0.41139999032020569</v>
      </c>
      <c r="Y56" s="157">
        <v>0.44200000166893005</v>
      </c>
      <c r="Z56" s="157">
        <v>0.44850000739097595</v>
      </c>
      <c r="AA56" s="157">
        <v>0.45399999618530273</v>
      </c>
      <c r="AB56" s="157">
        <v>0.45500001311302185</v>
      </c>
      <c r="AC56" s="157">
        <v>0.45179998874664307</v>
      </c>
      <c r="AD56" s="157">
        <v>0.45399999618530273</v>
      </c>
      <c r="AE56" s="157">
        <v>0.45759999752044678</v>
      </c>
      <c r="AF56" s="157">
        <v>0.4643000066280365</v>
      </c>
    </row>
    <row r="57" spans="1:32" x14ac:dyDescent="0.2">
      <c r="A57" s="168" t="s">
        <v>351</v>
      </c>
      <c r="B57" s="168">
        <v>0.10559999942779541</v>
      </c>
      <c r="C57" s="168">
        <v>0.1054999977350235</v>
      </c>
      <c r="D57" s="168">
        <v>0.10559999942779541</v>
      </c>
      <c r="E57" s="168">
        <v>0.10599999874830246</v>
      </c>
      <c r="F57" s="168">
        <v>0.10649999976158142</v>
      </c>
      <c r="G57" s="168">
        <v>0.10719999670982361</v>
      </c>
      <c r="H57" s="168">
        <v>0.10769999772310257</v>
      </c>
      <c r="I57" s="168">
        <v>0.10869999974966049</v>
      </c>
      <c r="J57" s="168">
        <v>0.10970000177621841</v>
      </c>
      <c r="K57" s="168">
        <v>0.11140000075101852</v>
      </c>
      <c r="L57" s="168">
        <v>0.11349999904632568</v>
      </c>
      <c r="M57" s="168">
        <v>0.11670000106096268</v>
      </c>
      <c r="N57" s="168">
        <v>0.12110000103712082</v>
      </c>
      <c r="O57" s="168">
        <v>0.1273999959230423</v>
      </c>
      <c r="P57" s="168">
        <v>0.13689999282360077</v>
      </c>
      <c r="Q57" s="168">
        <v>0.15150000154972076</v>
      </c>
      <c r="R57" s="168">
        <v>0.17360000312328339</v>
      </c>
      <c r="S57" s="168">
        <v>0.20379999279975891</v>
      </c>
      <c r="T57" s="168">
        <v>0.23989999294281006</v>
      </c>
      <c r="U57" s="168">
        <v>0.2800000011920929</v>
      </c>
      <c r="V57" s="168">
        <f t="shared" si="0"/>
        <v>0.32125000655651093</v>
      </c>
      <c r="W57" s="168">
        <v>0.36250001192092896</v>
      </c>
      <c r="X57" s="168">
        <v>0.39879998564720154</v>
      </c>
      <c r="Y57" s="168">
        <v>0.43130001425743103</v>
      </c>
      <c r="Z57" s="168">
        <v>0.446399986743927</v>
      </c>
      <c r="AA57" s="168">
        <v>0.45260000228881836</v>
      </c>
      <c r="AB57" s="168">
        <v>0.45500001311302185</v>
      </c>
      <c r="AC57" s="168">
        <v>0.4528999924659729</v>
      </c>
      <c r="AD57" s="168">
        <v>0.45239999890327454</v>
      </c>
      <c r="AE57" s="168">
        <v>0.45469999313354492</v>
      </c>
      <c r="AF57" s="168">
        <v>0.4611000120639801</v>
      </c>
    </row>
    <row r="58" spans="1:32" x14ac:dyDescent="0.2">
      <c r="A58" s="158" t="s">
        <v>209</v>
      </c>
      <c r="B58" s="158">
        <v>0.10480000078678131</v>
      </c>
      <c r="C58" s="158">
        <v>0.1046999990940094</v>
      </c>
      <c r="D58" s="158">
        <v>0.1046999990940094</v>
      </c>
      <c r="E58" s="158">
        <v>0.10480000078678131</v>
      </c>
      <c r="F58" s="158">
        <v>0.10459999740123749</v>
      </c>
      <c r="G58" s="158">
        <v>0.10450000315904617</v>
      </c>
      <c r="H58" s="158">
        <v>0.10440000146627426</v>
      </c>
      <c r="I58" s="158">
        <v>0.10429999977350235</v>
      </c>
      <c r="J58" s="158">
        <v>0.10419999808073044</v>
      </c>
      <c r="K58" s="158">
        <v>0.10419999808073044</v>
      </c>
      <c r="L58" s="158">
        <v>0.10419999808073044</v>
      </c>
      <c r="M58" s="158">
        <v>0.10409999638795853</v>
      </c>
      <c r="N58" s="158">
        <v>0.10400000214576721</v>
      </c>
      <c r="O58" s="158">
        <v>0.1039000004529953</v>
      </c>
      <c r="P58" s="158">
        <v>0.10379999876022339</v>
      </c>
      <c r="Q58" s="158">
        <v>0.10379999876022339</v>
      </c>
      <c r="R58" s="158">
        <v>0.1039000004529953</v>
      </c>
      <c r="S58" s="158">
        <v>0.10360000282526016</v>
      </c>
      <c r="T58" s="158">
        <v>0.10360000282526016</v>
      </c>
      <c r="U58" s="158">
        <v>0.10379999876022339</v>
      </c>
      <c r="V58" s="158">
        <f>AVERAGE(U58,W58)</f>
        <v>0.10359999909996986</v>
      </c>
      <c r="W58" s="158">
        <v>0.10339999943971634</v>
      </c>
      <c r="X58" s="158">
        <v>0.10329999774694443</v>
      </c>
      <c r="Y58" s="158">
        <v>0.10320000350475311</v>
      </c>
      <c r="Z58" s="158">
        <v>0.10320000350475311</v>
      </c>
      <c r="AA58" s="158">
        <v>0.1031000018119812</v>
      </c>
      <c r="AB58" s="158">
        <v>0.1031000018119812</v>
      </c>
      <c r="AC58" s="158">
        <v>0.10300000011920929</v>
      </c>
      <c r="AD58" s="158">
        <v>0.10300000011920929</v>
      </c>
      <c r="AE58" s="158">
        <v>0.10289999842643738</v>
      </c>
      <c r="AF58" s="158">
        <v>0.10289999842643738</v>
      </c>
    </row>
    <row r="59" spans="1:32" x14ac:dyDescent="0.2">
      <c r="A59" s="158" t="s">
        <v>210</v>
      </c>
      <c r="B59" s="158">
        <v>0.10660000145435333</v>
      </c>
      <c r="C59" s="158">
        <v>0.10649999976158142</v>
      </c>
      <c r="D59" s="158">
        <v>0.10649999976158142</v>
      </c>
      <c r="E59" s="158">
        <v>0.10649999976158142</v>
      </c>
      <c r="F59" s="158">
        <v>0.10639999806880951</v>
      </c>
      <c r="G59" s="158">
        <v>0.1062999963760376</v>
      </c>
      <c r="H59" s="158">
        <v>0.1062999963760376</v>
      </c>
      <c r="I59" s="158">
        <v>0.10610000044107437</v>
      </c>
      <c r="J59" s="158">
        <v>0.10610000044107437</v>
      </c>
      <c r="K59" s="158">
        <v>0.10610000044107437</v>
      </c>
      <c r="L59" s="158">
        <v>0.10610000044107437</v>
      </c>
      <c r="M59" s="158">
        <v>0.10599999874830246</v>
      </c>
      <c r="N59" s="158">
        <v>0.10589999705553055</v>
      </c>
      <c r="O59" s="158">
        <v>0.10589999705553055</v>
      </c>
      <c r="P59" s="158">
        <v>0.10570000112056732</v>
      </c>
      <c r="Q59" s="158">
        <v>0.10570000112056732</v>
      </c>
      <c r="R59" s="158">
        <v>0.10570000112056732</v>
      </c>
      <c r="S59" s="158">
        <v>0.10559999942779541</v>
      </c>
      <c r="T59" s="158">
        <v>0.10559999942779541</v>
      </c>
      <c r="U59" s="158">
        <v>0.10559999942779541</v>
      </c>
      <c r="V59" s="158">
        <f t="shared" ref="V59:V93" si="1">AVERAGE(U59,W59)</f>
        <v>0.1055000014603138</v>
      </c>
      <c r="W59" s="158">
        <v>0.10540000349283218</v>
      </c>
      <c r="X59" s="158">
        <v>0.10540000349283218</v>
      </c>
      <c r="Y59" s="158">
        <v>0.10530000180006027</v>
      </c>
      <c r="Z59" s="158">
        <v>0.10530000180006027</v>
      </c>
      <c r="AA59" s="158">
        <v>0.10520000010728836</v>
      </c>
      <c r="AB59" s="158">
        <v>0.10520000010728836</v>
      </c>
      <c r="AC59" s="158">
        <v>0.10520000010728836</v>
      </c>
      <c r="AD59" s="158">
        <v>0.10509999841451645</v>
      </c>
      <c r="AE59" s="158">
        <v>0.10509999841451645</v>
      </c>
      <c r="AF59" s="158">
        <v>0.10509999841451645</v>
      </c>
    </row>
    <row r="60" spans="1:32" x14ac:dyDescent="0.2">
      <c r="A60" s="158" t="s">
        <v>211</v>
      </c>
      <c r="B60" s="158">
        <v>0.10740000009536743</v>
      </c>
      <c r="C60" s="158">
        <v>0.10740000009536743</v>
      </c>
      <c r="D60" s="158">
        <v>0.10729999840259552</v>
      </c>
      <c r="E60" s="158">
        <v>0.10729999840259552</v>
      </c>
      <c r="F60" s="158">
        <v>0.10719999670982361</v>
      </c>
      <c r="G60" s="158">
        <v>0.10719999670982361</v>
      </c>
      <c r="H60" s="158">
        <v>0.10710000246763229</v>
      </c>
      <c r="I60" s="158">
        <v>0.10689999908208847</v>
      </c>
      <c r="J60" s="158">
        <v>0.10689999908208847</v>
      </c>
      <c r="K60" s="158">
        <v>0.10710000246763229</v>
      </c>
      <c r="L60" s="158">
        <v>0.10679999738931656</v>
      </c>
      <c r="M60" s="158">
        <v>0.10670000314712524</v>
      </c>
      <c r="N60" s="158">
        <v>0.10670000314712524</v>
      </c>
      <c r="O60" s="158">
        <v>0.10660000145435333</v>
      </c>
      <c r="P60" s="158">
        <v>0.10649999976158142</v>
      </c>
      <c r="Q60" s="158">
        <v>0.10649999976158142</v>
      </c>
      <c r="R60" s="158">
        <v>0.10639999806880951</v>
      </c>
      <c r="S60" s="158">
        <v>0.1062999963760376</v>
      </c>
      <c r="T60" s="158">
        <v>0.1062999963760376</v>
      </c>
      <c r="U60" s="158">
        <v>0.1062999963760376</v>
      </c>
      <c r="V60" s="158">
        <f t="shared" si="1"/>
        <v>0.10624999925494194</v>
      </c>
      <c r="W60" s="158">
        <v>0.10620000213384628</v>
      </c>
      <c r="X60" s="158">
        <v>0.10610000044107437</v>
      </c>
      <c r="Y60" s="158">
        <v>0.10610000044107437</v>
      </c>
      <c r="Z60" s="158">
        <v>0.10599999874830246</v>
      </c>
      <c r="AA60" s="158">
        <v>0.10589999705553055</v>
      </c>
      <c r="AB60" s="158">
        <v>0.10589999705553055</v>
      </c>
      <c r="AC60" s="158">
        <v>0.10599999874830246</v>
      </c>
      <c r="AD60" s="158">
        <v>0.10580000281333923</v>
      </c>
      <c r="AE60" s="158">
        <v>0.10580000281333923</v>
      </c>
      <c r="AF60" s="158">
        <v>0.10580000281333923</v>
      </c>
    </row>
    <row r="61" spans="1:32" x14ac:dyDescent="0.2">
      <c r="A61" s="158" t="s">
        <v>212</v>
      </c>
      <c r="B61" s="158">
        <v>0.10700000077486038</v>
      </c>
      <c r="C61" s="158">
        <v>0.10689999908208847</v>
      </c>
      <c r="D61" s="158">
        <v>0.10679999738931656</v>
      </c>
      <c r="E61" s="158">
        <v>0.10689999908208847</v>
      </c>
      <c r="F61" s="158">
        <v>0.10670000314712524</v>
      </c>
      <c r="G61" s="158">
        <v>0.10689999908208847</v>
      </c>
      <c r="H61" s="158">
        <v>0.10660000145435333</v>
      </c>
      <c r="I61" s="158">
        <v>0.10639999806880951</v>
      </c>
      <c r="J61" s="158">
        <v>0.10639999806880951</v>
      </c>
      <c r="K61" s="158">
        <v>0.1062999963760376</v>
      </c>
      <c r="L61" s="158">
        <v>0.1062999963760376</v>
      </c>
      <c r="M61" s="158">
        <v>0.1062999963760376</v>
      </c>
      <c r="N61" s="158">
        <v>0.10620000213384628</v>
      </c>
      <c r="O61" s="158">
        <v>0.10610000044107437</v>
      </c>
      <c r="P61" s="158">
        <v>0.10599999874830246</v>
      </c>
      <c r="Q61" s="158">
        <v>0.10599999874830246</v>
      </c>
      <c r="R61" s="158">
        <v>0.10599999874830246</v>
      </c>
      <c r="S61" s="158">
        <v>0.10580000281333923</v>
      </c>
      <c r="T61" s="158">
        <v>0.10580000281333923</v>
      </c>
      <c r="U61" s="158">
        <v>0.10580000281333923</v>
      </c>
      <c r="V61" s="158">
        <f t="shared" si="1"/>
        <v>0.10575000196695328</v>
      </c>
      <c r="W61" s="158">
        <v>0.10570000112056732</v>
      </c>
      <c r="X61" s="158">
        <v>0.10559999942779541</v>
      </c>
      <c r="Y61" s="158">
        <v>0.10559999942779541</v>
      </c>
      <c r="Z61" s="158">
        <v>0.10559999942779541</v>
      </c>
      <c r="AA61" s="158">
        <v>0.10540000349283218</v>
      </c>
      <c r="AB61" s="158">
        <v>0.10540000349283218</v>
      </c>
      <c r="AC61" s="158">
        <v>0.10540000349283218</v>
      </c>
      <c r="AD61" s="158">
        <v>0.10540000349283218</v>
      </c>
      <c r="AE61" s="158">
        <v>0.10530000180006027</v>
      </c>
      <c r="AF61" s="158">
        <v>0.10530000180006027</v>
      </c>
    </row>
    <row r="62" spans="1:32" x14ac:dyDescent="0.2">
      <c r="A62" s="158" t="s">
        <v>213</v>
      </c>
      <c r="B62" s="158">
        <v>0.10570000112056732</v>
      </c>
      <c r="C62" s="158">
        <v>0.1054999977350235</v>
      </c>
      <c r="D62" s="158">
        <v>0.1054999977350235</v>
      </c>
      <c r="E62" s="158">
        <v>0.1054999977350235</v>
      </c>
      <c r="F62" s="158">
        <v>0.10540000349283218</v>
      </c>
      <c r="G62" s="158">
        <v>0.10530000180006027</v>
      </c>
      <c r="H62" s="158">
        <v>0.10520000010728836</v>
      </c>
      <c r="I62" s="158">
        <v>0.10520000010728836</v>
      </c>
      <c r="J62" s="158">
        <v>0.10499999672174454</v>
      </c>
      <c r="K62" s="158">
        <v>0.10499999672174454</v>
      </c>
      <c r="L62" s="158">
        <v>0.10499999672174454</v>
      </c>
      <c r="M62" s="158">
        <v>0.10490000247955322</v>
      </c>
      <c r="N62" s="158">
        <v>0.10490000247955322</v>
      </c>
      <c r="O62" s="158">
        <v>0.10480000078678131</v>
      </c>
      <c r="P62" s="158">
        <v>0.10459999740123749</v>
      </c>
      <c r="Q62" s="158">
        <v>0.10459999740123749</v>
      </c>
      <c r="R62" s="158">
        <v>0.10459999740123749</v>
      </c>
      <c r="S62" s="158">
        <v>0.10440000146627426</v>
      </c>
      <c r="T62" s="158">
        <v>0.10450000315904617</v>
      </c>
      <c r="U62" s="158">
        <v>0.10450000315904617</v>
      </c>
      <c r="V62" s="158">
        <f t="shared" si="1"/>
        <v>0.10445000231266022</v>
      </c>
      <c r="W62" s="158">
        <v>0.10440000146627426</v>
      </c>
      <c r="X62" s="158">
        <v>0.10440000146627426</v>
      </c>
      <c r="Y62" s="158">
        <v>0.10429999977350235</v>
      </c>
      <c r="Z62" s="158">
        <v>0.10419999808073044</v>
      </c>
      <c r="AA62" s="158">
        <v>0.10419999808073044</v>
      </c>
      <c r="AB62" s="158">
        <v>0.10419999808073044</v>
      </c>
      <c r="AC62" s="158">
        <v>0.10440000146627426</v>
      </c>
      <c r="AD62" s="158">
        <v>0.10409999638795853</v>
      </c>
      <c r="AE62" s="158">
        <v>0.10400000214576721</v>
      </c>
      <c r="AF62" s="158">
        <v>0.10400000214576721</v>
      </c>
    </row>
    <row r="63" spans="1:32" x14ac:dyDescent="0.2">
      <c r="A63" s="158" t="s">
        <v>214</v>
      </c>
      <c r="B63" s="158">
        <v>0.10689999908208847</v>
      </c>
      <c r="C63" s="158">
        <v>0.10679999738931656</v>
      </c>
      <c r="D63" s="158">
        <v>0.10679999738931656</v>
      </c>
      <c r="E63" s="158">
        <v>0.10679999738931656</v>
      </c>
      <c r="F63" s="158">
        <v>0.10670000314712524</v>
      </c>
      <c r="G63" s="158">
        <v>0.10660000145435333</v>
      </c>
      <c r="H63" s="158">
        <v>0.10649999976158142</v>
      </c>
      <c r="I63" s="158">
        <v>0.1062999963760376</v>
      </c>
      <c r="J63" s="158">
        <v>0.1062999963760376</v>
      </c>
      <c r="K63" s="158">
        <v>0.10620000213384628</v>
      </c>
      <c r="L63" s="158">
        <v>0.1062999963760376</v>
      </c>
      <c r="M63" s="158">
        <v>0.10620000213384628</v>
      </c>
      <c r="N63" s="158">
        <v>0.10610000044107437</v>
      </c>
      <c r="O63" s="158">
        <v>0.10610000044107437</v>
      </c>
      <c r="P63" s="158">
        <v>0.10580000281333923</v>
      </c>
      <c r="Q63" s="158">
        <v>0.10589999705553055</v>
      </c>
      <c r="R63" s="158">
        <v>0.10580000281333923</v>
      </c>
      <c r="S63" s="158">
        <v>0.10570000112056732</v>
      </c>
      <c r="T63" s="158">
        <v>0.10570000112056732</v>
      </c>
      <c r="U63" s="158">
        <v>0.10570000112056732</v>
      </c>
      <c r="V63" s="158">
        <f t="shared" si="1"/>
        <v>0.10565000027418137</v>
      </c>
      <c r="W63" s="158">
        <v>0.10559999942779541</v>
      </c>
      <c r="X63" s="158">
        <v>0.1054999977350235</v>
      </c>
      <c r="Y63" s="158">
        <v>0.1054999977350235</v>
      </c>
      <c r="Z63" s="158">
        <v>0.10540000349283218</v>
      </c>
      <c r="AA63" s="158">
        <v>0.10540000349283218</v>
      </c>
      <c r="AB63" s="158">
        <v>0.10540000349283218</v>
      </c>
      <c r="AC63" s="158">
        <v>0.10540000349283218</v>
      </c>
      <c r="AD63" s="158">
        <v>0.10530000180006027</v>
      </c>
      <c r="AE63" s="158">
        <v>0.10520000010728836</v>
      </c>
      <c r="AF63" s="158">
        <v>0.10530000180006027</v>
      </c>
    </row>
    <row r="64" spans="1:32" x14ac:dyDescent="0.2">
      <c r="A64" s="158" t="s">
        <v>215</v>
      </c>
      <c r="B64" s="158">
        <v>0.10819999873638153</v>
      </c>
      <c r="C64" s="158">
        <v>0.10790000110864639</v>
      </c>
      <c r="D64" s="158">
        <v>0.10779999941587448</v>
      </c>
      <c r="E64" s="158">
        <v>0.1080000028014183</v>
      </c>
      <c r="F64" s="158">
        <v>0.10760000348091125</v>
      </c>
      <c r="G64" s="158">
        <v>0.10750000178813934</v>
      </c>
      <c r="H64" s="158">
        <v>0.10740000009536743</v>
      </c>
      <c r="I64" s="158">
        <v>0.10719999670982361</v>
      </c>
      <c r="J64" s="158">
        <v>0.10719999670982361</v>
      </c>
      <c r="K64" s="158">
        <v>0.10710000246763229</v>
      </c>
      <c r="L64" s="158">
        <v>0.10719999670982361</v>
      </c>
      <c r="M64" s="158">
        <v>0.10700000077486038</v>
      </c>
      <c r="N64" s="158">
        <v>0.10700000077486038</v>
      </c>
      <c r="O64" s="158">
        <v>0.10700000077486038</v>
      </c>
      <c r="P64" s="158">
        <v>0.10679999738931656</v>
      </c>
      <c r="Q64" s="158">
        <v>0.10679999738931656</v>
      </c>
      <c r="R64" s="158">
        <v>0.10670000314712524</v>
      </c>
      <c r="S64" s="158">
        <v>0.10660000145435333</v>
      </c>
      <c r="T64" s="158">
        <v>0.10660000145435333</v>
      </c>
      <c r="U64" s="158">
        <v>0.10660000145435333</v>
      </c>
      <c r="V64" s="158">
        <f t="shared" si="1"/>
        <v>0.10655000060796738</v>
      </c>
      <c r="W64" s="158">
        <v>0.10649999976158142</v>
      </c>
      <c r="X64" s="158">
        <v>0.10649999976158142</v>
      </c>
      <c r="Y64" s="158">
        <v>0.1062999963760376</v>
      </c>
      <c r="Z64" s="158">
        <v>0.1062999963760376</v>
      </c>
      <c r="AA64" s="158">
        <v>0.1062999963760376</v>
      </c>
      <c r="AB64" s="158">
        <v>0.1062999963760376</v>
      </c>
      <c r="AC64" s="158">
        <v>0.1062999963760376</v>
      </c>
      <c r="AD64" s="158">
        <v>0.10620000213384628</v>
      </c>
      <c r="AE64" s="158">
        <v>0.10610000044107437</v>
      </c>
      <c r="AF64" s="158">
        <v>0.10610000044107437</v>
      </c>
    </row>
    <row r="65" spans="1:32" x14ac:dyDescent="0.2">
      <c r="A65" s="158" t="s">
        <v>216</v>
      </c>
      <c r="B65" s="158">
        <v>0.10639999806880951</v>
      </c>
      <c r="C65" s="158">
        <v>0.10599999874830246</v>
      </c>
      <c r="D65" s="158">
        <v>0.10589999705553055</v>
      </c>
      <c r="E65" s="158">
        <v>0.10840000212192535</v>
      </c>
      <c r="F65" s="158">
        <v>0.10869999974966049</v>
      </c>
      <c r="G65" s="158">
        <v>0.10819999873638153</v>
      </c>
      <c r="H65" s="158">
        <v>0.10819999873638153</v>
      </c>
      <c r="I65" s="158">
        <v>0.1080000028014183</v>
      </c>
      <c r="J65" s="158">
        <v>0.10779999941587448</v>
      </c>
      <c r="K65" s="158">
        <v>0.1080000028014183</v>
      </c>
      <c r="L65" s="158">
        <v>0.10830000042915344</v>
      </c>
      <c r="M65" s="158">
        <v>0.1080000028014183</v>
      </c>
      <c r="N65" s="158">
        <v>0.10809999704360962</v>
      </c>
      <c r="O65" s="158">
        <v>0.10779999941587448</v>
      </c>
      <c r="P65" s="158">
        <v>0.10740000009536743</v>
      </c>
      <c r="Q65" s="158">
        <v>0.10760000348091125</v>
      </c>
      <c r="R65" s="158">
        <v>0.10760000348091125</v>
      </c>
      <c r="S65" s="158">
        <v>0.1080000028014183</v>
      </c>
      <c r="T65" s="158">
        <v>0.10750000178813934</v>
      </c>
      <c r="U65" s="158">
        <v>0.10750000178813934</v>
      </c>
      <c r="V65" s="158">
        <f t="shared" si="1"/>
        <v>0.1075500026345253</v>
      </c>
      <c r="W65" s="158">
        <v>0.10760000348091125</v>
      </c>
      <c r="X65" s="158">
        <v>0.10779999941587448</v>
      </c>
      <c r="Y65" s="158">
        <v>0.10740000009536743</v>
      </c>
      <c r="Z65" s="158">
        <v>0.10750000178813934</v>
      </c>
      <c r="AA65" s="158">
        <v>0.10920000076293945</v>
      </c>
      <c r="AB65" s="158">
        <v>0.10830000042915344</v>
      </c>
      <c r="AC65" s="158">
        <v>0.10909999907016754</v>
      </c>
      <c r="AD65" s="158">
        <v>0.10819999873638153</v>
      </c>
      <c r="AE65" s="158">
        <v>0.10740000009536743</v>
      </c>
      <c r="AF65" s="158">
        <v>0.10849999636411667</v>
      </c>
    </row>
    <row r="66" spans="1:32" x14ac:dyDescent="0.2">
      <c r="A66" s="158" t="s">
        <v>217</v>
      </c>
      <c r="B66" s="158">
        <v>0.10580000281333923</v>
      </c>
      <c r="C66" s="158">
        <v>0.10570000112056732</v>
      </c>
      <c r="D66" s="158">
        <v>0.10570000112056732</v>
      </c>
      <c r="E66" s="158">
        <v>0.10580000281333923</v>
      </c>
      <c r="F66" s="158">
        <v>0.1054999977350235</v>
      </c>
      <c r="G66" s="158">
        <v>0.10559999942779541</v>
      </c>
      <c r="H66" s="158">
        <v>0.10540000349283218</v>
      </c>
      <c r="I66" s="158">
        <v>0.10530000180006027</v>
      </c>
      <c r="J66" s="158">
        <v>0.10520000010728836</v>
      </c>
      <c r="K66" s="158">
        <v>0.10520000010728836</v>
      </c>
      <c r="L66" s="158">
        <v>0.10520000010728836</v>
      </c>
      <c r="M66" s="158">
        <v>0.10509999841451645</v>
      </c>
      <c r="N66" s="158">
        <v>0.10509999841451645</v>
      </c>
      <c r="O66" s="158">
        <v>0.10499999672174454</v>
      </c>
      <c r="P66" s="158">
        <v>0.10480000078678131</v>
      </c>
      <c r="Q66" s="158">
        <v>0.10480000078678131</v>
      </c>
      <c r="R66" s="158">
        <v>0.10480000078678131</v>
      </c>
      <c r="S66" s="158">
        <v>0.1046999990940094</v>
      </c>
      <c r="T66" s="158">
        <v>0.1046999990940094</v>
      </c>
      <c r="U66" s="158">
        <v>0.1046999990940094</v>
      </c>
      <c r="V66" s="158">
        <f t="shared" si="1"/>
        <v>0.10464999824762344</v>
      </c>
      <c r="W66" s="158">
        <v>0.10459999740123749</v>
      </c>
      <c r="X66" s="158">
        <v>0.10459999740123749</v>
      </c>
      <c r="Y66" s="158">
        <v>0.10450000315904617</v>
      </c>
      <c r="Z66" s="158">
        <v>0.10450000315904617</v>
      </c>
      <c r="AA66" s="158">
        <v>0.10429999977350235</v>
      </c>
      <c r="AB66" s="158">
        <v>0.10429999977350235</v>
      </c>
      <c r="AC66" s="158">
        <v>0.10429999977350235</v>
      </c>
      <c r="AD66" s="158">
        <v>0.10429999977350235</v>
      </c>
      <c r="AE66" s="158">
        <v>0.10419999808073044</v>
      </c>
      <c r="AF66" s="158">
        <v>0.10419999808073044</v>
      </c>
    </row>
    <row r="67" spans="1:32" x14ac:dyDescent="0.2">
      <c r="A67" s="158" t="s">
        <v>218</v>
      </c>
      <c r="B67" s="158">
        <v>0.10999999940395355</v>
      </c>
      <c r="C67" s="158">
        <v>0.10859999805688858</v>
      </c>
      <c r="D67" s="158">
        <v>0.1088000014424324</v>
      </c>
      <c r="E67" s="158">
        <v>0.10869999974966049</v>
      </c>
      <c r="F67" s="158">
        <v>0.10859999805688858</v>
      </c>
      <c r="G67" s="158">
        <v>0.10890000313520432</v>
      </c>
      <c r="H67" s="158">
        <v>0.10849999636411667</v>
      </c>
      <c r="I67" s="158">
        <v>0.10830000042915344</v>
      </c>
      <c r="J67" s="158">
        <v>0.10840000212192535</v>
      </c>
      <c r="K67" s="158">
        <v>0.10809999704360962</v>
      </c>
      <c r="L67" s="158">
        <v>0.10869999974966049</v>
      </c>
      <c r="M67" s="158">
        <v>0.10849999636411667</v>
      </c>
      <c r="N67" s="158">
        <v>0.10859999805688858</v>
      </c>
      <c r="O67" s="158">
        <v>0.10849999636411667</v>
      </c>
      <c r="P67" s="158">
        <v>0.1080000028014183</v>
      </c>
      <c r="Q67" s="158">
        <v>0.10769999772310257</v>
      </c>
      <c r="R67" s="158">
        <v>0.10769999772310257</v>
      </c>
      <c r="S67" s="158">
        <v>0.1080000028014183</v>
      </c>
      <c r="T67" s="158">
        <v>0.10769999772310257</v>
      </c>
      <c r="U67" s="158">
        <v>0.10809999704360962</v>
      </c>
      <c r="V67" s="158">
        <f t="shared" si="1"/>
        <v>0.10794999822974205</v>
      </c>
      <c r="W67" s="158">
        <v>0.10779999941587448</v>
      </c>
      <c r="X67" s="158">
        <v>0.10740000009536743</v>
      </c>
      <c r="Y67" s="158">
        <v>0.10750000178813934</v>
      </c>
      <c r="Z67" s="158">
        <v>0.10750000178813934</v>
      </c>
      <c r="AA67" s="158">
        <v>0.10620000213384628</v>
      </c>
      <c r="AB67" s="158">
        <v>0.10670000314712524</v>
      </c>
      <c r="AC67" s="158">
        <v>0.10620000213384628</v>
      </c>
      <c r="AD67" s="158">
        <v>0.10700000077486038</v>
      </c>
      <c r="AE67" s="158">
        <v>0.10679999738931656</v>
      </c>
      <c r="AF67" s="158">
        <v>0.10639999806880951</v>
      </c>
    </row>
    <row r="68" spans="1:32" x14ac:dyDescent="0.2">
      <c r="A68" s="158" t="s">
        <v>219</v>
      </c>
      <c r="B68" s="158">
        <v>0.10649999976158142</v>
      </c>
      <c r="C68" s="158">
        <v>0.10620000213384628</v>
      </c>
      <c r="D68" s="158">
        <v>0.10610000044107437</v>
      </c>
      <c r="E68" s="158">
        <v>0.10639999806880951</v>
      </c>
      <c r="F68" s="158">
        <v>0.10620000213384628</v>
      </c>
      <c r="G68" s="158">
        <v>0.10620000213384628</v>
      </c>
      <c r="H68" s="158">
        <v>0.10610000044107437</v>
      </c>
      <c r="I68" s="158">
        <v>0.10589999705553055</v>
      </c>
      <c r="J68" s="158">
        <v>0.10610000044107437</v>
      </c>
      <c r="K68" s="158">
        <v>0.10589999705553055</v>
      </c>
      <c r="L68" s="158">
        <v>0.10589999705553055</v>
      </c>
      <c r="M68" s="158">
        <v>0.10570000112056732</v>
      </c>
      <c r="N68" s="158">
        <v>0.10570000112056732</v>
      </c>
      <c r="O68" s="158">
        <v>0.10559999942779541</v>
      </c>
      <c r="P68" s="158">
        <v>0.10540000349283218</v>
      </c>
      <c r="Q68" s="158">
        <v>0.10540000349283218</v>
      </c>
      <c r="R68" s="158">
        <v>0.10540000349283218</v>
      </c>
      <c r="S68" s="158">
        <v>0.10530000180006027</v>
      </c>
      <c r="T68" s="158">
        <v>0.10530000180006027</v>
      </c>
      <c r="U68" s="158">
        <v>0.10530000180006027</v>
      </c>
      <c r="V68" s="158">
        <f t="shared" si="1"/>
        <v>0.10525000095367432</v>
      </c>
      <c r="W68" s="158">
        <v>0.10520000010728836</v>
      </c>
      <c r="X68" s="158">
        <v>0.10509999841451645</v>
      </c>
      <c r="Y68" s="158">
        <v>0.10499999672174454</v>
      </c>
      <c r="Z68" s="158">
        <v>0.10520000010728836</v>
      </c>
      <c r="AA68" s="158">
        <v>0.10490000247955322</v>
      </c>
      <c r="AB68" s="158">
        <v>0.10490000247955322</v>
      </c>
      <c r="AC68" s="158">
        <v>0.10490000247955322</v>
      </c>
      <c r="AD68" s="158">
        <v>0.10480000078678131</v>
      </c>
      <c r="AE68" s="158">
        <v>0.10499999672174454</v>
      </c>
      <c r="AF68" s="158">
        <v>0.10480000078678131</v>
      </c>
    </row>
    <row r="69" spans="1:32" x14ac:dyDescent="0.2">
      <c r="A69" s="158" t="s">
        <v>220</v>
      </c>
      <c r="B69" s="158">
        <v>0.10679999738931656</v>
      </c>
      <c r="C69" s="158">
        <v>0.10660000145435333</v>
      </c>
      <c r="D69" s="158">
        <v>0.10649999976158142</v>
      </c>
      <c r="E69" s="158">
        <v>0.10649999976158142</v>
      </c>
      <c r="F69" s="158">
        <v>0.1062999963760376</v>
      </c>
      <c r="G69" s="158">
        <v>0.10620000213384628</v>
      </c>
      <c r="H69" s="158">
        <v>0.10610000044107437</v>
      </c>
      <c r="I69" s="158">
        <v>0.10599999874830246</v>
      </c>
      <c r="J69" s="158">
        <v>0.10589999705553055</v>
      </c>
      <c r="K69" s="158">
        <v>0.10589999705553055</v>
      </c>
      <c r="L69" s="158">
        <v>0.10589999705553055</v>
      </c>
      <c r="M69" s="158">
        <v>0.10580000281333923</v>
      </c>
      <c r="N69" s="158">
        <v>0.10570000112056732</v>
      </c>
      <c r="O69" s="158">
        <v>0.10559999942779541</v>
      </c>
      <c r="P69" s="158">
        <v>0.10540000349283218</v>
      </c>
      <c r="Q69" s="158">
        <v>0.10540000349283218</v>
      </c>
      <c r="R69" s="158">
        <v>0.10530000180006027</v>
      </c>
      <c r="S69" s="158">
        <v>0.10520000010728836</v>
      </c>
      <c r="T69" s="158">
        <v>0.10520000010728836</v>
      </c>
      <c r="U69" s="158">
        <v>0.10520000010728836</v>
      </c>
      <c r="V69" s="158">
        <f t="shared" si="1"/>
        <v>0.10509999841451645</v>
      </c>
      <c r="W69" s="158">
        <v>0.10499999672174454</v>
      </c>
      <c r="X69" s="158">
        <v>0.10499999672174454</v>
      </c>
      <c r="Y69" s="158">
        <v>0.10480000078678131</v>
      </c>
      <c r="Z69" s="158">
        <v>0.10480000078678131</v>
      </c>
      <c r="AA69" s="158">
        <v>0.10459999740123749</v>
      </c>
      <c r="AB69" s="158">
        <v>0.10459999740123749</v>
      </c>
      <c r="AC69" s="158">
        <v>0.10459999740123749</v>
      </c>
      <c r="AD69" s="158">
        <v>0.10450000315904617</v>
      </c>
      <c r="AE69" s="158">
        <v>0.10440000146627426</v>
      </c>
      <c r="AF69" s="158">
        <v>0.10440000146627426</v>
      </c>
    </row>
    <row r="70" spans="1:32" x14ac:dyDescent="0.2">
      <c r="A70" s="158" t="s">
        <v>221</v>
      </c>
      <c r="B70" s="158">
        <v>0.10620000213384628</v>
      </c>
      <c r="C70" s="158">
        <v>0.10610000044107437</v>
      </c>
      <c r="D70" s="158">
        <v>0.10599999874830246</v>
      </c>
      <c r="E70" s="158">
        <v>0.10610000044107437</v>
      </c>
      <c r="F70" s="158">
        <v>0.10589999705553055</v>
      </c>
      <c r="G70" s="158">
        <v>0.10599999874830246</v>
      </c>
      <c r="H70" s="158">
        <v>0.10589999705553055</v>
      </c>
      <c r="I70" s="158">
        <v>0.10580000281333923</v>
      </c>
      <c r="J70" s="158">
        <v>0.10570000112056732</v>
      </c>
      <c r="K70" s="158">
        <v>0.10570000112056732</v>
      </c>
      <c r="L70" s="158">
        <v>0.10580000281333923</v>
      </c>
      <c r="M70" s="158">
        <v>0.10570000112056732</v>
      </c>
      <c r="N70" s="158">
        <v>0.10559999942779541</v>
      </c>
      <c r="O70" s="158">
        <v>0.10540000349283218</v>
      </c>
      <c r="P70" s="158">
        <v>0.10530000180006027</v>
      </c>
      <c r="Q70" s="158">
        <v>0.10530000180006027</v>
      </c>
      <c r="R70" s="158">
        <v>0.10520000010728836</v>
      </c>
      <c r="S70" s="158">
        <v>0.10530000180006027</v>
      </c>
      <c r="T70" s="158">
        <v>0.10530000180006027</v>
      </c>
      <c r="U70" s="158">
        <v>0.10540000349283218</v>
      </c>
      <c r="V70" s="158">
        <f t="shared" si="1"/>
        <v>0.10530000180006027</v>
      </c>
      <c r="W70" s="158">
        <v>0.10520000010728836</v>
      </c>
      <c r="X70" s="158">
        <v>0.10520000010728836</v>
      </c>
      <c r="Y70" s="158">
        <v>0.10499999672174454</v>
      </c>
      <c r="Z70" s="158">
        <v>0.10490000247955322</v>
      </c>
      <c r="AA70" s="158">
        <v>0.10490000247955322</v>
      </c>
      <c r="AB70" s="158">
        <v>0.10480000078678131</v>
      </c>
      <c r="AC70" s="158">
        <v>0.1046999990940094</v>
      </c>
      <c r="AD70" s="158">
        <v>0.10480000078678131</v>
      </c>
      <c r="AE70" s="158">
        <v>0.1046999990940094</v>
      </c>
      <c r="AF70" s="158">
        <v>0.10480000078678131</v>
      </c>
    </row>
    <row r="71" spans="1:32" x14ac:dyDescent="0.2">
      <c r="A71" s="158" t="s">
        <v>222</v>
      </c>
      <c r="B71" s="158">
        <v>0.10649999976158142</v>
      </c>
      <c r="C71" s="158">
        <v>0.10610000044107437</v>
      </c>
      <c r="D71" s="158">
        <v>0.10599999874830246</v>
      </c>
      <c r="E71" s="158">
        <v>0.10610000044107437</v>
      </c>
      <c r="F71" s="158">
        <v>0.10589999705553055</v>
      </c>
      <c r="G71" s="158">
        <v>0.10580000281333923</v>
      </c>
      <c r="H71" s="158">
        <v>0.10570000112056732</v>
      </c>
      <c r="I71" s="158">
        <v>0.10559999942779541</v>
      </c>
      <c r="J71" s="158">
        <v>0.1054999977350235</v>
      </c>
      <c r="K71" s="158">
        <v>0.1054999977350235</v>
      </c>
      <c r="L71" s="158">
        <v>0.1054999977350235</v>
      </c>
      <c r="M71" s="158">
        <v>0.10540000349283218</v>
      </c>
      <c r="N71" s="158">
        <v>0.10540000349283218</v>
      </c>
      <c r="O71" s="158">
        <v>0.10530000180006027</v>
      </c>
      <c r="P71" s="158">
        <v>0.10499999672174454</v>
      </c>
      <c r="Q71" s="158">
        <v>0.10499999672174454</v>
      </c>
      <c r="R71" s="158">
        <v>0.10499999672174454</v>
      </c>
      <c r="S71" s="158">
        <v>0.10490000247955322</v>
      </c>
      <c r="T71" s="158">
        <v>0.10490000247955322</v>
      </c>
      <c r="U71" s="158">
        <v>0.10490000247955322</v>
      </c>
      <c r="V71" s="158">
        <f t="shared" si="1"/>
        <v>0.10485000163316727</v>
      </c>
      <c r="W71" s="158">
        <v>0.10480000078678131</v>
      </c>
      <c r="X71" s="158">
        <v>0.10480000078678131</v>
      </c>
      <c r="Y71" s="158">
        <v>0.1046999990940094</v>
      </c>
      <c r="Z71" s="158">
        <v>0.10450000315904617</v>
      </c>
      <c r="AA71" s="158">
        <v>0.10450000315904617</v>
      </c>
      <c r="AB71" s="158">
        <v>0.10450000315904617</v>
      </c>
      <c r="AC71" s="158">
        <v>0.10440000146627426</v>
      </c>
      <c r="AD71" s="158">
        <v>0.10440000146627426</v>
      </c>
      <c r="AE71" s="158">
        <v>0.10440000146627426</v>
      </c>
      <c r="AF71" s="158">
        <v>0.10429999977350235</v>
      </c>
    </row>
    <row r="72" spans="1:32" x14ac:dyDescent="0.2">
      <c r="A72" s="158" t="s">
        <v>223</v>
      </c>
      <c r="B72" s="158">
        <v>0.10710000246763229</v>
      </c>
      <c r="C72" s="158">
        <v>0.10689999908208847</v>
      </c>
      <c r="D72" s="158">
        <v>0.10679999738931656</v>
      </c>
      <c r="E72" s="158">
        <v>0.10679999738931656</v>
      </c>
      <c r="F72" s="158">
        <v>0.10689999908208847</v>
      </c>
      <c r="G72" s="158">
        <v>0.10670000314712524</v>
      </c>
      <c r="H72" s="158">
        <v>0.10670000314712524</v>
      </c>
      <c r="I72" s="158">
        <v>0.10649999976158142</v>
      </c>
      <c r="J72" s="158">
        <v>0.10649999976158142</v>
      </c>
      <c r="K72" s="158">
        <v>0.10639999806880951</v>
      </c>
      <c r="L72" s="158">
        <v>0.10649999976158142</v>
      </c>
      <c r="M72" s="158">
        <v>0.10639999806880951</v>
      </c>
      <c r="N72" s="158">
        <v>0.1062999963760376</v>
      </c>
      <c r="O72" s="158">
        <v>0.10620000213384628</v>
      </c>
      <c r="P72" s="158">
        <v>0.10610000044107437</v>
      </c>
      <c r="Q72" s="158">
        <v>0.10599999874830246</v>
      </c>
      <c r="R72" s="158">
        <v>0.10599999874830246</v>
      </c>
      <c r="S72" s="158">
        <v>0.10610000044107437</v>
      </c>
      <c r="T72" s="158">
        <v>0.10610000044107437</v>
      </c>
      <c r="U72" s="158">
        <v>0.10610000044107437</v>
      </c>
      <c r="V72" s="158">
        <f t="shared" si="1"/>
        <v>0.10610000044107437</v>
      </c>
      <c r="W72" s="158">
        <v>0.10610000044107437</v>
      </c>
      <c r="X72" s="158">
        <v>0.10599999874830246</v>
      </c>
      <c r="Y72" s="158">
        <v>0.10589999705553055</v>
      </c>
      <c r="Z72" s="158">
        <v>0.10580000281333923</v>
      </c>
      <c r="AA72" s="158">
        <v>0.10589999705553055</v>
      </c>
      <c r="AB72" s="158">
        <v>0.10559999942779541</v>
      </c>
      <c r="AC72" s="158">
        <v>0.10559999942779541</v>
      </c>
      <c r="AD72" s="158">
        <v>0.10559999942779541</v>
      </c>
      <c r="AE72" s="158">
        <v>0.10559999942779541</v>
      </c>
      <c r="AF72" s="158">
        <v>0.10589999705553055</v>
      </c>
    </row>
    <row r="73" spans="1:32" x14ac:dyDescent="0.2">
      <c r="A73" s="158" t="s">
        <v>224</v>
      </c>
      <c r="B73" s="158">
        <v>0.10710000246763229</v>
      </c>
      <c r="C73" s="158">
        <v>0.10679999738931656</v>
      </c>
      <c r="D73" s="158">
        <v>0.10670000314712524</v>
      </c>
      <c r="E73" s="158">
        <v>0.10670000314712524</v>
      </c>
      <c r="F73" s="158">
        <v>0.10660000145435333</v>
      </c>
      <c r="G73" s="158">
        <v>0.10660000145435333</v>
      </c>
      <c r="H73" s="158">
        <v>0.10639999806880951</v>
      </c>
      <c r="I73" s="158">
        <v>0.1062999963760376</v>
      </c>
      <c r="J73" s="158">
        <v>0.10620000213384628</v>
      </c>
      <c r="K73" s="158">
        <v>0.10620000213384628</v>
      </c>
      <c r="L73" s="158">
        <v>0.10620000213384628</v>
      </c>
      <c r="M73" s="158">
        <v>0.10599999874830246</v>
      </c>
      <c r="N73" s="158">
        <v>0.10589999705553055</v>
      </c>
      <c r="O73" s="158">
        <v>0.10570000112056732</v>
      </c>
      <c r="P73" s="158">
        <v>0.1054999977350235</v>
      </c>
      <c r="Q73" s="158">
        <v>0.1054999977350235</v>
      </c>
      <c r="R73" s="158">
        <v>0.1054999977350235</v>
      </c>
      <c r="S73" s="158">
        <v>0.1054999977350235</v>
      </c>
      <c r="T73" s="158">
        <v>0.10559999942779541</v>
      </c>
      <c r="U73" s="158">
        <v>0.10570000112056732</v>
      </c>
      <c r="V73" s="158">
        <f t="shared" si="1"/>
        <v>0.10559999942779541</v>
      </c>
      <c r="W73" s="158">
        <v>0.1054999977350235</v>
      </c>
      <c r="X73" s="158">
        <v>0.10540000349283218</v>
      </c>
      <c r="Y73" s="158">
        <v>0.10520000010728836</v>
      </c>
      <c r="Z73" s="158">
        <v>0.10509999841451645</v>
      </c>
      <c r="AA73" s="158">
        <v>0.10490000247955322</v>
      </c>
      <c r="AB73" s="158">
        <v>0.10480000078678131</v>
      </c>
      <c r="AC73" s="158">
        <v>0.10480000078678131</v>
      </c>
      <c r="AD73" s="158">
        <v>0.10480000078678131</v>
      </c>
      <c r="AE73" s="158">
        <v>0.1046999990940094</v>
      </c>
      <c r="AF73" s="158">
        <v>0.10490000247955322</v>
      </c>
    </row>
    <row r="74" spans="1:32" x14ac:dyDescent="0.2">
      <c r="A74" s="158" t="s">
        <v>225</v>
      </c>
      <c r="B74" s="158">
        <v>0.10719999670982361</v>
      </c>
      <c r="C74" s="158">
        <v>0.10719999670982361</v>
      </c>
      <c r="D74" s="158">
        <v>0.10719999670982361</v>
      </c>
      <c r="E74" s="158">
        <v>0.10729999840259552</v>
      </c>
      <c r="F74" s="158">
        <v>0.10729999840259552</v>
      </c>
      <c r="G74" s="158">
        <v>0.10740000009536743</v>
      </c>
      <c r="H74" s="158">
        <v>0.10729999840259552</v>
      </c>
      <c r="I74" s="158">
        <v>0.10729999840259552</v>
      </c>
      <c r="J74" s="158">
        <v>0.10719999670982361</v>
      </c>
      <c r="K74" s="158">
        <v>0.10719999670982361</v>
      </c>
      <c r="L74" s="158">
        <v>0.10719999670982361</v>
      </c>
      <c r="M74" s="158">
        <v>0.10729999840259552</v>
      </c>
      <c r="N74" s="158">
        <v>0.10689999908208847</v>
      </c>
      <c r="O74" s="158">
        <v>0.10679999738931656</v>
      </c>
      <c r="P74" s="158">
        <v>0.10660000145435333</v>
      </c>
      <c r="Q74" s="158">
        <v>0.10660000145435333</v>
      </c>
      <c r="R74" s="158">
        <v>0.10660000145435333</v>
      </c>
      <c r="S74" s="158">
        <v>0.10670000314712524</v>
      </c>
      <c r="T74" s="158">
        <v>0.10679999738931656</v>
      </c>
      <c r="U74" s="158">
        <v>0.10689999908208847</v>
      </c>
      <c r="V74" s="158">
        <f t="shared" si="1"/>
        <v>0.10684999823570251</v>
      </c>
      <c r="W74" s="158">
        <v>0.10679999738931656</v>
      </c>
      <c r="X74" s="158">
        <v>0.10679999738931656</v>
      </c>
      <c r="Y74" s="158">
        <v>0.10649999976158142</v>
      </c>
      <c r="Z74" s="158">
        <v>0.1062999963760376</v>
      </c>
      <c r="AA74" s="158">
        <v>0.10620000213384628</v>
      </c>
      <c r="AB74" s="158">
        <v>0.10610000044107437</v>
      </c>
      <c r="AC74" s="158">
        <v>0.10610000044107437</v>
      </c>
      <c r="AD74" s="158">
        <v>0.10610000044107437</v>
      </c>
      <c r="AE74" s="158">
        <v>0.10610000044107437</v>
      </c>
      <c r="AF74" s="158">
        <v>0.10620000213384628</v>
      </c>
    </row>
    <row r="75" spans="1:32" x14ac:dyDescent="0.2">
      <c r="A75" s="158" t="s">
        <v>226</v>
      </c>
      <c r="B75" s="158">
        <v>0.10740000009536743</v>
      </c>
      <c r="C75" s="158">
        <v>0.10710000246763229</v>
      </c>
      <c r="D75" s="158">
        <v>0.10710000246763229</v>
      </c>
      <c r="E75" s="158">
        <v>0.10700000077486038</v>
      </c>
      <c r="F75" s="158">
        <v>0.10689999908208847</v>
      </c>
      <c r="G75" s="158">
        <v>0.10719999670982361</v>
      </c>
      <c r="H75" s="158">
        <v>0.10679999738931656</v>
      </c>
      <c r="I75" s="158">
        <v>0.10670000314712524</v>
      </c>
      <c r="J75" s="158">
        <v>0.10670000314712524</v>
      </c>
      <c r="K75" s="158">
        <v>0.10670000314712524</v>
      </c>
      <c r="L75" s="158">
        <v>0.10670000314712524</v>
      </c>
      <c r="M75" s="158">
        <v>0.10649999976158142</v>
      </c>
      <c r="N75" s="158">
        <v>0.10639999806880951</v>
      </c>
      <c r="O75" s="158">
        <v>0.10620000213384628</v>
      </c>
      <c r="P75" s="158">
        <v>0.10599999874830246</v>
      </c>
      <c r="Q75" s="158">
        <v>0.10599999874830246</v>
      </c>
      <c r="R75" s="158">
        <v>0.10599999874830246</v>
      </c>
      <c r="S75" s="158">
        <v>0.10599999874830246</v>
      </c>
      <c r="T75" s="158">
        <v>0.10610000044107437</v>
      </c>
      <c r="U75" s="158">
        <v>0.10620000213384628</v>
      </c>
      <c r="V75" s="158">
        <f t="shared" si="1"/>
        <v>0.10615000128746033</v>
      </c>
      <c r="W75" s="158">
        <v>0.10610000044107437</v>
      </c>
      <c r="X75" s="158">
        <v>0.10599999874830246</v>
      </c>
      <c r="Y75" s="158">
        <v>0.10570000112056732</v>
      </c>
      <c r="Z75" s="158">
        <v>0.1054999977350235</v>
      </c>
      <c r="AA75" s="158">
        <v>0.10540000349283218</v>
      </c>
      <c r="AB75" s="158">
        <v>0.10540000349283218</v>
      </c>
      <c r="AC75" s="158">
        <v>0.10530000180006027</v>
      </c>
      <c r="AD75" s="158">
        <v>0.10540000349283218</v>
      </c>
      <c r="AE75" s="158">
        <v>0.10530000180006027</v>
      </c>
      <c r="AF75" s="158">
        <v>0.1054999977350235</v>
      </c>
    </row>
    <row r="76" spans="1:32" x14ac:dyDescent="0.2">
      <c r="A76" s="158" t="s">
        <v>227</v>
      </c>
      <c r="B76" s="158">
        <v>0.10859999805688858</v>
      </c>
      <c r="C76" s="158">
        <v>0.10819999873638153</v>
      </c>
      <c r="D76" s="158">
        <v>0.10809999704360962</v>
      </c>
      <c r="E76" s="158">
        <v>0.10819999873638153</v>
      </c>
      <c r="F76" s="158">
        <v>0.10809999704360962</v>
      </c>
      <c r="G76" s="158">
        <v>0.10819999873638153</v>
      </c>
      <c r="H76" s="158">
        <v>0.10809999704360962</v>
      </c>
      <c r="I76" s="158">
        <v>0.1080000028014183</v>
      </c>
      <c r="J76" s="158">
        <v>0.1080000028014183</v>
      </c>
      <c r="K76" s="158">
        <v>0.1080000028014183</v>
      </c>
      <c r="L76" s="158">
        <v>0.1080000028014183</v>
      </c>
      <c r="M76" s="158">
        <v>0.10779999941587448</v>
      </c>
      <c r="N76" s="158">
        <v>0.10769999772310257</v>
      </c>
      <c r="O76" s="158">
        <v>0.10750000178813934</v>
      </c>
      <c r="P76" s="158">
        <v>0.10729999840259552</v>
      </c>
      <c r="Q76" s="158">
        <v>0.10760000348091125</v>
      </c>
      <c r="R76" s="158">
        <v>0.10729999840259552</v>
      </c>
      <c r="S76" s="158">
        <v>0.10760000348091125</v>
      </c>
      <c r="T76" s="158">
        <v>0.10760000348091125</v>
      </c>
      <c r="U76" s="158">
        <v>0.10769999772310257</v>
      </c>
      <c r="V76" s="158">
        <f t="shared" si="1"/>
        <v>0.10799999907612801</v>
      </c>
      <c r="W76" s="158">
        <v>0.10830000042915344</v>
      </c>
      <c r="X76" s="158">
        <v>0.10819999873638153</v>
      </c>
      <c r="Y76" s="158">
        <v>0.10939999669790268</v>
      </c>
      <c r="Z76" s="158">
        <v>0.10899999737739563</v>
      </c>
      <c r="AA76" s="158">
        <v>0.10920000076293945</v>
      </c>
      <c r="AB76" s="158">
        <v>0.10930000245571136</v>
      </c>
      <c r="AC76" s="158">
        <v>0.10890000313520432</v>
      </c>
      <c r="AD76" s="158">
        <v>0.10890000313520432</v>
      </c>
      <c r="AE76" s="158">
        <v>0.1088000014424324</v>
      </c>
      <c r="AF76" s="158">
        <v>0.10830000042915344</v>
      </c>
    </row>
    <row r="77" spans="1:32" x14ac:dyDescent="0.2">
      <c r="A77" s="158" t="s">
        <v>228</v>
      </c>
      <c r="B77" s="158">
        <v>0.10719999670982361</v>
      </c>
      <c r="C77" s="158">
        <v>0.10660000145435333</v>
      </c>
      <c r="D77" s="158">
        <v>0.10660000145435333</v>
      </c>
      <c r="E77" s="158">
        <v>0.10660000145435333</v>
      </c>
      <c r="F77" s="158">
        <v>0.10639999806880951</v>
      </c>
      <c r="G77" s="158">
        <v>0.10649999976158142</v>
      </c>
      <c r="H77" s="158">
        <v>0.10660000145435333</v>
      </c>
      <c r="I77" s="158">
        <v>0.10620000213384628</v>
      </c>
      <c r="J77" s="158">
        <v>0.10620000213384628</v>
      </c>
      <c r="K77" s="158">
        <v>0.10620000213384628</v>
      </c>
      <c r="L77" s="158">
        <v>0.10610000044107437</v>
      </c>
      <c r="M77" s="158">
        <v>0.10589999705553055</v>
      </c>
      <c r="N77" s="158">
        <v>0.10580000281333923</v>
      </c>
      <c r="O77" s="158">
        <v>0.1054999977350235</v>
      </c>
      <c r="P77" s="158">
        <v>0.10530000180006027</v>
      </c>
      <c r="Q77" s="158">
        <v>0.10530000180006027</v>
      </c>
      <c r="R77" s="158">
        <v>0.10530000180006027</v>
      </c>
      <c r="S77" s="158">
        <v>0.10540000349283218</v>
      </c>
      <c r="T77" s="158">
        <v>0.10570000112056732</v>
      </c>
      <c r="U77" s="158">
        <v>0.10570000112056732</v>
      </c>
      <c r="V77" s="158">
        <f t="shared" si="1"/>
        <v>0.10610000044107437</v>
      </c>
      <c r="W77" s="158">
        <v>0.10649999976158142</v>
      </c>
      <c r="X77" s="158">
        <v>0.10639999806880951</v>
      </c>
      <c r="Y77" s="158">
        <v>0.10620000213384628</v>
      </c>
      <c r="Z77" s="158">
        <v>0.10580000281333923</v>
      </c>
      <c r="AA77" s="158">
        <v>0.10570000112056732</v>
      </c>
      <c r="AB77" s="158">
        <v>0.10559999942779541</v>
      </c>
      <c r="AC77" s="158">
        <v>0.10540000349283218</v>
      </c>
      <c r="AD77" s="158">
        <v>0.1054999977350235</v>
      </c>
      <c r="AE77" s="158">
        <v>0.1054999977350235</v>
      </c>
      <c r="AF77" s="158">
        <v>0.10580000281333923</v>
      </c>
    </row>
    <row r="78" spans="1:32" x14ac:dyDescent="0.2">
      <c r="A78" s="158" t="s">
        <v>229</v>
      </c>
      <c r="B78" s="158">
        <v>0.10790000110864639</v>
      </c>
      <c r="C78" s="158">
        <v>0.10760000348091125</v>
      </c>
      <c r="D78" s="158">
        <v>0.10750000178813934</v>
      </c>
      <c r="E78" s="158">
        <v>0.10750000178813934</v>
      </c>
      <c r="F78" s="158">
        <v>0.10750000178813934</v>
      </c>
      <c r="G78" s="158">
        <v>0.10760000348091125</v>
      </c>
      <c r="H78" s="158">
        <v>0.10750000178813934</v>
      </c>
      <c r="I78" s="158">
        <v>0.10750000178813934</v>
      </c>
      <c r="J78" s="158">
        <v>0.10740000009536743</v>
      </c>
      <c r="K78" s="158">
        <v>0.10740000009536743</v>
      </c>
      <c r="L78" s="158">
        <v>0.10740000009536743</v>
      </c>
      <c r="M78" s="158">
        <v>0.10719999670982361</v>
      </c>
      <c r="N78" s="158">
        <v>0.10700000077486038</v>
      </c>
      <c r="O78" s="158">
        <v>0.10670000314712524</v>
      </c>
      <c r="P78" s="158">
        <v>0.10679999738931656</v>
      </c>
      <c r="Q78" s="158">
        <v>0.10649999976158142</v>
      </c>
      <c r="R78" s="158">
        <v>0.10660000145435333</v>
      </c>
      <c r="S78" s="158">
        <v>0.10679999738931656</v>
      </c>
      <c r="T78" s="158">
        <v>0.10700000077486038</v>
      </c>
      <c r="U78" s="158">
        <v>0.10710000246763229</v>
      </c>
      <c r="V78" s="158">
        <f t="shared" si="1"/>
        <v>0.10710000246763229</v>
      </c>
      <c r="W78" s="158">
        <v>0.10710000246763229</v>
      </c>
      <c r="X78" s="158">
        <v>0.10679999738931656</v>
      </c>
      <c r="Y78" s="158">
        <v>0.10660000145435333</v>
      </c>
      <c r="Z78" s="158">
        <v>0.1062999963760376</v>
      </c>
      <c r="AA78" s="158">
        <v>0.10620000213384628</v>
      </c>
      <c r="AB78" s="158">
        <v>0.10599999874830246</v>
      </c>
      <c r="AC78" s="158">
        <v>0.10589999705553055</v>
      </c>
      <c r="AD78" s="158">
        <v>0.10599999874830246</v>
      </c>
      <c r="AE78" s="158">
        <v>0.10599999874830246</v>
      </c>
      <c r="AF78" s="158">
        <v>0.10610000044107437</v>
      </c>
    </row>
    <row r="79" spans="1:32" x14ac:dyDescent="0.2">
      <c r="A79" s="158" t="s">
        <v>230</v>
      </c>
      <c r="B79" s="158">
        <v>0.10639999806880951</v>
      </c>
      <c r="C79" s="158">
        <v>0.10589999705553055</v>
      </c>
      <c r="D79" s="158">
        <v>0.10570000112056732</v>
      </c>
      <c r="E79" s="158">
        <v>0.10570000112056732</v>
      </c>
      <c r="F79" s="158">
        <v>0.1054999977350235</v>
      </c>
      <c r="G79" s="158">
        <v>0.10559999942779541</v>
      </c>
      <c r="H79" s="158">
        <v>0.10540000349283218</v>
      </c>
      <c r="I79" s="158">
        <v>0.10530000180006027</v>
      </c>
      <c r="J79" s="158">
        <v>0.10509999841451645</v>
      </c>
      <c r="K79" s="158">
        <v>0.10520000010728836</v>
      </c>
      <c r="L79" s="158">
        <v>0.10520000010728836</v>
      </c>
      <c r="M79" s="158">
        <v>0.10499999672174454</v>
      </c>
      <c r="N79" s="158">
        <v>0.10480000078678131</v>
      </c>
      <c r="O79" s="158">
        <v>0.10450000315904617</v>
      </c>
      <c r="P79" s="158">
        <v>0.10429999977350235</v>
      </c>
      <c r="Q79" s="158">
        <v>0.10429999977350235</v>
      </c>
      <c r="R79" s="158">
        <v>0.10429999977350235</v>
      </c>
      <c r="S79" s="158">
        <v>0.10440000146627426</v>
      </c>
      <c r="T79" s="158">
        <v>0.10459999740123749</v>
      </c>
      <c r="U79" s="158">
        <v>0.1046999990940094</v>
      </c>
      <c r="V79" s="158">
        <f t="shared" si="1"/>
        <v>0.10520000010728836</v>
      </c>
      <c r="W79" s="158">
        <v>0.10570000112056732</v>
      </c>
      <c r="X79" s="158">
        <v>0.10540000349283218</v>
      </c>
      <c r="Y79" s="158">
        <v>0.10509999841451645</v>
      </c>
      <c r="Z79" s="158">
        <v>0.10499999672174454</v>
      </c>
      <c r="AA79" s="158">
        <v>0.10480000078678131</v>
      </c>
      <c r="AB79" s="158">
        <v>0.1046999990940094</v>
      </c>
      <c r="AC79" s="158">
        <v>0.10459999740123749</v>
      </c>
      <c r="AD79" s="158">
        <v>0.10459999740123749</v>
      </c>
      <c r="AE79" s="158">
        <v>0.1046999990940094</v>
      </c>
      <c r="AF79" s="158">
        <v>0.10400000214576721</v>
      </c>
    </row>
    <row r="80" spans="1:32" x14ac:dyDescent="0.2">
      <c r="A80" s="158" t="s">
        <v>231</v>
      </c>
      <c r="B80" s="158">
        <v>0.10719999670982361</v>
      </c>
      <c r="C80" s="158">
        <v>0.10679999738931656</v>
      </c>
      <c r="D80" s="158">
        <v>0.10670000314712524</v>
      </c>
      <c r="E80" s="158">
        <v>0.10660000145435333</v>
      </c>
      <c r="F80" s="158">
        <v>0.10660000145435333</v>
      </c>
      <c r="G80" s="158">
        <v>0.10679999738931656</v>
      </c>
      <c r="H80" s="158">
        <v>0.10670000314712524</v>
      </c>
      <c r="I80" s="158">
        <v>0.10670000314712524</v>
      </c>
      <c r="J80" s="158">
        <v>0.10660000145435333</v>
      </c>
      <c r="K80" s="158">
        <v>0.10679999738931656</v>
      </c>
      <c r="L80" s="158">
        <v>0.10660000145435333</v>
      </c>
      <c r="M80" s="158">
        <v>0.10639999806880951</v>
      </c>
      <c r="N80" s="158">
        <v>0.10620000213384628</v>
      </c>
      <c r="O80" s="158">
        <v>0.10599999874830246</v>
      </c>
      <c r="P80" s="158">
        <v>0.10580000281333923</v>
      </c>
      <c r="Q80" s="158">
        <v>0.10580000281333923</v>
      </c>
      <c r="R80" s="158">
        <v>0.10580000281333923</v>
      </c>
      <c r="S80" s="158">
        <v>0.10599999874830246</v>
      </c>
      <c r="T80" s="158">
        <v>0.10620000213384628</v>
      </c>
      <c r="U80" s="158">
        <v>0.1062999963760376</v>
      </c>
      <c r="V80" s="158">
        <f t="shared" si="1"/>
        <v>0.1062999963760376</v>
      </c>
      <c r="W80" s="158">
        <v>0.1062999963760376</v>
      </c>
      <c r="X80" s="158">
        <v>0.10610000044107437</v>
      </c>
      <c r="Y80" s="158">
        <v>0.10580000281333923</v>
      </c>
      <c r="Z80" s="158">
        <v>0.10559999942779541</v>
      </c>
      <c r="AA80" s="158">
        <v>0.10540000349283218</v>
      </c>
      <c r="AB80" s="158">
        <v>0.10530000180006027</v>
      </c>
      <c r="AC80" s="158">
        <v>0.10520000010728836</v>
      </c>
      <c r="AD80" s="158">
        <v>0.10520000010728836</v>
      </c>
      <c r="AE80" s="158">
        <v>0.10530000180006027</v>
      </c>
      <c r="AF80" s="158">
        <v>0.10530000180006027</v>
      </c>
    </row>
    <row r="81" spans="1:32" x14ac:dyDescent="0.2">
      <c r="A81" s="158" t="s">
        <v>232</v>
      </c>
      <c r="B81" s="158">
        <v>0.10719999670982361</v>
      </c>
      <c r="C81" s="158">
        <v>0.10660000145435333</v>
      </c>
      <c r="D81" s="158">
        <v>0.1062999963760376</v>
      </c>
      <c r="E81" s="158">
        <v>0.1062999963760376</v>
      </c>
      <c r="F81" s="158">
        <v>0.10620000213384628</v>
      </c>
      <c r="G81" s="158">
        <v>0.1062999963760376</v>
      </c>
      <c r="H81" s="158">
        <v>0.10620000213384628</v>
      </c>
      <c r="I81" s="158">
        <v>0.10610000044107437</v>
      </c>
      <c r="J81" s="158">
        <v>0.10599999874830246</v>
      </c>
      <c r="K81" s="158">
        <v>0.10599999874830246</v>
      </c>
      <c r="L81" s="158">
        <v>0.10599999874830246</v>
      </c>
      <c r="M81" s="158">
        <v>0.10570000112056732</v>
      </c>
      <c r="N81" s="158">
        <v>0.1054999977350235</v>
      </c>
      <c r="O81" s="158">
        <v>0.10520000010728836</v>
      </c>
      <c r="P81" s="158">
        <v>0.10499999672174454</v>
      </c>
      <c r="Q81" s="158">
        <v>0.10499999672174454</v>
      </c>
      <c r="R81" s="158">
        <v>0.10499999672174454</v>
      </c>
      <c r="S81" s="158">
        <v>0.10520000010728836</v>
      </c>
      <c r="T81" s="158">
        <v>0.10540000349283218</v>
      </c>
      <c r="U81" s="158">
        <v>0.1054999977350235</v>
      </c>
      <c r="V81" s="158">
        <f t="shared" si="1"/>
        <v>0.10545000061392784</v>
      </c>
      <c r="W81" s="158">
        <v>0.10540000349283218</v>
      </c>
      <c r="X81" s="158">
        <v>0.10520000010728836</v>
      </c>
      <c r="Y81" s="158">
        <v>0.10490000247955322</v>
      </c>
      <c r="Z81" s="158">
        <v>0.10459999740123749</v>
      </c>
      <c r="AA81" s="158">
        <v>0.10440000146627426</v>
      </c>
      <c r="AB81" s="158">
        <v>0.10429999977350235</v>
      </c>
      <c r="AC81" s="158">
        <v>0.10419999808073044</v>
      </c>
      <c r="AD81" s="158">
        <v>0.10419999808073044</v>
      </c>
      <c r="AE81" s="158">
        <v>0.10419999808073044</v>
      </c>
      <c r="AF81" s="158">
        <v>0.10440000146627426</v>
      </c>
    </row>
    <row r="82" spans="1:32" x14ac:dyDescent="0.2">
      <c r="A82" s="158" t="s">
        <v>233</v>
      </c>
      <c r="B82" s="158">
        <v>0.10769999772310257</v>
      </c>
      <c r="C82" s="158">
        <v>0.10729999840259552</v>
      </c>
      <c r="D82" s="158">
        <v>0.10689999908208847</v>
      </c>
      <c r="E82" s="158">
        <v>0.10689999908208847</v>
      </c>
      <c r="F82" s="158">
        <v>0.10689999908208847</v>
      </c>
      <c r="G82" s="158">
        <v>0.10719999670982361</v>
      </c>
      <c r="H82" s="158">
        <v>0.10710000246763229</v>
      </c>
      <c r="I82" s="158">
        <v>0.10710000246763229</v>
      </c>
      <c r="J82" s="158">
        <v>0.10700000077486038</v>
      </c>
      <c r="K82" s="158">
        <v>0.10700000077486038</v>
      </c>
      <c r="L82" s="158">
        <v>0.10689999908208847</v>
      </c>
      <c r="M82" s="158">
        <v>0.10670000314712524</v>
      </c>
      <c r="N82" s="158">
        <v>0.10639999806880951</v>
      </c>
      <c r="O82" s="158">
        <v>0.10620000213384628</v>
      </c>
      <c r="P82" s="158">
        <v>0.10599999874830246</v>
      </c>
      <c r="Q82" s="158">
        <v>0.10589999705553055</v>
      </c>
      <c r="R82" s="158">
        <v>0.10599999874830246</v>
      </c>
      <c r="S82" s="158">
        <v>0.10620000213384628</v>
      </c>
      <c r="T82" s="158">
        <v>0.10670000314712524</v>
      </c>
      <c r="U82" s="158">
        <v>0.10660000145435333</v>
      </c>
      <c r="V82" s="158">
        <f t="shared" si="1"/>
        <v>0.10660000145435333</v>
      </c>
      <c r="W82" s="158">
        <v>0.10660000145435333</v>
      </c>
      <c r="X82" s="158">
        <v>0.1062999963760376</v>
      </c>
      <c r="Y82" s="158">
        <v>0.10620000213384628</v>
      </c>
      <c r="Z82" s="158">
        <v>0.10559999942779541</v>
      </c>
      <c r="AA82" s="158">
        <v>0.1054999977350235</v>
      </c>
      <c r="AB82" s="158">
        <v>0.10530000180006027</v>
      </c>
      <c r="AC82" s="158">
        <v>0.10509999841451645</v>
      </c>
      <c r="AD82" s="158">
        <v>0.10509999841451645</v>
      </c>
      <c r="AE82" s="158">
        <v>0.10520000010728836</v>
      </c>
      <c r="AF82" s="158">
        <v>0.10530000180006027</v>
      </c>
    </row>
    <row r="83" spans="1:32" x14ac:dyDescent="0.2">
      <c r="A83" s="158" t="s">
        <v>234</v>
      </c>
      <c r="B83" s="158">
        <v>0.10710000246763229</v>
      </c>
      <c r="C83" s="158">
        <v>0.10679999738931656</v>
      </c>
      <c r="D83" s="158">
        <v>0.10639999806880951</v>
      </c>
      <c r="E83" s="158">
        <v>0.10639999806880951</v>
      </c>
      <c r="F83" s="158">
        <v>0.1062999963760376</v>
      </c>
      <c r="G83" s="158">
        <v>0.10649999976158142</v>
      </c>
      <c r="H83" s="158">
        <v>0.10639999806880951</v>
      </c>
      <c r="I83" s="158">
        <v>0.1062999963760376</v>
      </c>
      <c r="J83" s="158">
        <v>0.10639999806880951</v>
      </c>
      <c r="K83" s="158">
        <v>0.10620000213384628</v>
      </c>
      <c r="L83" s="158">
        <v>0.10620000213384628</v>
      </c>
      <c r="M83" s="158">
        <v>0.10599999874830246</v>
      </c>
      <c r="N83" s="158">
        <v>0.10580000281333923</v>
      </c>
      <c r="O83" s="158">
        <v>0.1054999977350235</v>
      </c>
      <c r="P83" s="158">
        <v>0.10530000180006027</v>
      </c>
      <c r="Q83" s="158">
        <v>0.10530000180006027</v>
      </c>
      <c r="R83" s="158">
        <v>0.10540000349283218</v>
      </c>
      <c r="S83" s="158">
        <v>0.10559999942779541</v>
      </c>
      <c r="T83" s="158">
        <v>0.10580000281333923</v>
      </c>
      <c r="U83" s="158">
        <v>0.10589999705553055</v>
      </c>
      <c r="V83" s="158">
        <f t="shared" si="1"/>
        <v>0.10589999705553055</v>
      </c>
      <c r="W83" s="158">
        <v>0.10589999705553055</v>
      </c>
      <c r="X83" s="158">
        <v>0.10570000112056732</v>
      </c>
      <c r="Y83" s="158">
        <v>0.10530000180006027</v>
      </c>
      <c r="Z83" s="158">
        <v>0.10509999841451645</v>
      </c>
      <c r="AA83" s="158">
        <v>0.10520000010728836</v>
      </c>
      <c r="AB83" s="158">
        <v>0.10480000078678131</v>
      </c>
      <c r="AC83" s="158">
        <v>0.10459999740123749</v>
      </c>
      <c r="AD83" s="158">
        <v>0.1046999990940094</v>
      </c>
      <c r="AE83" s="158">
        <v>0.1046999990940094</v>
      </c>
      <c r="AF83" s="158">
        <v>0.10509999841451645</v>
      </c>
    </row>
    <row r="84" spans="1:32" x14ac:dyDescent="0.2">
      <c r="A84" s="158" t="s">
        <v>235</v>
      </c>
      <c r="B84" s="158">
        <v>0.10719999670982361</v>
      </c>
      <c r="C84" s="158">
        <v>0.10679999738931656</v>
      </c>
      <c r="D84" s="158">
        <v>0.10670000314712524</v>
      </c>
      <c r="E84" s="158">
        <v>0.10649999976158142</v>
      </c>
      <c r="F84" s="158">
        <v>0.10639999806880951</v>
      </c>
      <c r="G84" s="158">
        <v>0.10670000314712524</v>
      </c>
      <c r="H84" s="158">
        <v>0.10660000145435333</v>
      </c>
      <c r="I84" s="158">
        <v>0.10639999806880951</v>
      </c>
      <c r="J84" s="158">
        <v>0.10639999806880951</v>
      </c>
      <c r="K84" s="158">
        <v>0.10639999806880951</v>
      </c>
      <c r="L84" s="158">
        <v>0.10639999806880951</v>
      </c>
      <c r="M84" s="158">
        <v>0.10610000044107437</v>
      </c>
      <c r="N84" s="158">
        <v>0.10580000281333923</v>
      </c>
      <c r="O84" s="158">
        <v>0.10559999942779541</v>
      </c>
      <c r="P84" s="158">
        <v>0.10540000349283218</v>
      </c>
      <c r="Q84" s="158">
        <v>0.10540000349283218</v>
      </c>
      <c r="R84" s="158">
        <v>0.1054999977350235</v>
      </c>
      <c r="S84" s="158">
        <v>0.10559999942779541</v>
      </c>
      <c r="T84" s="158">
        <v>0.10589999705553055</v>
      </c>
      <c r="U84" s="158">
        <v>0.10599999874830246</v>
      </c>
      <c r="V84" s="158">
        <f t="shared" si="1"/>
        <v>0.10604999959468842</v>
      </c>
      <c r="W84" s="158">
        <v>0.10610000044107437</v>
      </c>
      <c r="X84" s="158">
        <v>0.10580000281333923</v>
      </c>
      <c r="Y84" s="158">
        <v>0.1054999977350235</v>
      </c>
      <c r="Z84" s="158">
        <v>0.10520000010728836</v>
      </c>
      <c r="AA84" s="158">
        <v>0.10499999672174454</v>
      </c>
      <c r="AB84" s="158">
        <v>0.10490000247955322</v>
      </c>
      <c r="AC84" s="158">
        <v>0.1046999990940094</v>
      </c>
      <c r="AD84" s="158">
        <v>0.10480000078678131</v>
      </c>
      <c r="AE84" s="158">
        <v>0.10480000078678131</v>
      </c>
      <c r="AF84" s="158">
        <v>0.10499999672174454</v>
      </c>
    </row>
    <row r="85" spans="1:32" x14ac:dyDescent="0.2">
      <c r="A85" s="158" t="s">
        <v>236</v>
      </c>
      <c r="B85" s="158">
        <v>0.10639999806880951</v>
      </c>
      <c r="C85" s="158">
        <v>0.10599999874830246</v>
      </c>
      <c r="D85" s="158">
        <v>0.10580000281333923</v>
      </c>
      <c r="E85" s="158">
        <v>0.10580000281333923</v>
      </c>
      <c r="F85" s="158">
        <v>0.10610000044107437</v>
      </c>
      <c r="G85" s="158">
        <v>0.10620000213384628</v>
      </c>
      <c r="H85" s="158">
        <v>0.10610000044107437</v>
      </c>
      <c r="I85" s="158">
        <v>0.10599999874830246</v>
      </c>
      <c r="J85" s="158">
        <v>0.10580000281333923</v>
      </c>
      <c r="K85" s="158">
        <v>0.10580000281333923</v>
      </c>
      <c r="L85" s="158">
        <v>0.10580000281333923</v>
      </c>
      <c r="M85" s="158">
        <v>0.10559999942779541</v>
      </c>
      <c r="N85" s="158">
        <v>0.10530000180006027</v>
      </c>
      <c r="O85" s="158">
        <v>0.10490000247955322</v>
      </c>
      <c r="P85" s="158">
        <v>0.10490000247955322</v>
      </c>
      <c r="Q85" s="158">
        <v>0.10480000078678131</v>
      </c>
      <c r="R85" s="158">
        <v>0.10480000078678131</v>
      </c>
      <c r="S85" s="158">
        <v>0.10509999841451645</v>
      </c>
      <c r="T85" s="158">
        <v>0.10530000180006027</v>
      </c>
      <c r="U85" s="158">
        <v>0.10559999942779541</v>
      </c>
      <c r="V85" s="158">
        <f t="shared" si="1"/>
        <v>0.10619999840855598</v>
      </c>
      <c r="W85" s="158">
        <v>0.10679999738931656</v>
      </c>
      <c r="X85" s="158">
        <v>0.1062999963760376</v>
      </c>
      <c r="Y85" s="158">
        <v>0.10589999705553055</v>
      </c>
      <c r="Z85" s="158">
        <v>0.10580000281333923</v>
      </c>
      <c r="AA85" s="158">
        <v>0.10570000112056732</v>
      </c>
      <c r="AB85" s="158">
        <v>0.10540000349283218</v>
      </c>
      <c r="AC85" s="158">
        <v>0.1054999977350235</v>
      </c>
      <c r="AD85" s="158">
        <v>0.10520000010728836</v>
      </c>
      <c r="AE85" s="158">
        <v>0.10540000349283218</v>
      </c>
      <c r="AF85" s="158">
        <v>0.10480000078678131</v>
      </c>
    </row>
    <row r="86" spans="1:32" x14ac:dyDescent="0.2">
      <c r="A86" s="158" t="s">
        <v>237</v>
      </c>
      <c r="B86" s="158">
        <v>0.10670000314712524</v>
      </c>
      <c r="C86" s="158">
        <v>0.1062999963760376</v>
      </c>
      <c r="D86" s="158">
        <v>0.10620000213384628</v>
      </c>
      <c r="E86" s="158">
        <v>0.10610000044107437</v>
      </c>
      <c r="F86" s="158">
        <v>0.10599999874830246</v>
      </c>
      <c r="G86" s="158">
        <v>0.1062999963760376</v>
      </c>
      <c r="H86" s="158">
        <v>0.10620000213384628</v>
      </c>
      <c r="I86" s="158">
        <v>0.10610000044107437</v>
      </c>
      <c r="J86" s="158">
        <v>0.10649999976158142</v>
      </c>
      <c r="K86" s="158">
        <v>0.10599999874830246</v>
      </c>
      <c r="L86" s="158">
        <v>0.10610000044107437</v>
      </c>
      <c r="M86" s="158">
        <v>0.10589999705553055</v>
      </c>
      <c r="N86" s="158">
        <v>0.1054999977350235</v>
      </c>
      <c r="O86" s="158">
        <v>0.10520000010728836</v>
      </c>
      <c r="P86" s="158">
        <v>0.10499999672174454</v>
      </c>
      <c r="Q86" s="158">
        <v>0.10499999672174454</v>
      </c>
      <c r="R86" s="158">
        <v>0.10509999841451645</v>
      </c>
      <c r="S86" s="158">
        <v>0.10520000010728836</v>
      </c>
      <c r="T86" s="158">
        <v>0.1054999977350235</v>
      </c>
      <c r="U86" s="158">
        <v>0.10559999942779541</v>
      </c>
      <c r="V86" s="158">
        <f t="shared" si="1"/>
        <v>0.10559999942779541</v>
      </c>
      <c r="W86" s="158">
        <v>0.10559999942779541</v>
      </c>
      <c r="X86" s="158">
        <v>0.10540000349283218</v>
      </c>
      <c r="Y86" s="158">
        <v>0.10509999841451645</v>
      </c>
      <c r="Z86" s="158">
        <v>0.10480000078678131</v>
      </c>
      <c r="AA86" s="158">
        <v>0.10459999740123749</v>
      </c>
      <c r="AB86" s="158">
        <v>0.10440000146627426</v>
      </c>
      <c r="AC86" s="158">
        <v>0.10429999977350235</v>
      </c>
      <c r="AD86" s="158">
        <v>0.10429999977350235</v>
      </c>
      <c r="AE86" s="158">
        <v>0.10440000146627426</v>
      </c>
      <c r="AF86" s="158">
        <v>0.10459999740123749</v>
      </c>
    </row>
    <row r="87" spans="1:32" x14ac:dyDescent="0.2">
      <c r="A87" s="158" t="s">
        <v>238</v>
      </c>
      <c r="B87" s="158">
        <v>0.10679999738931656</v>
      </c>
      <c r="C87" s="158">
        <v>0.10649999976158142</v>
      </c>
      <c r="D87" s="158">
        <v>0.10639999806880951</v>
      </c>
      <c r="E87" s="158">
        <v>0.1062999963760376</v>
      </c>
      <c r="F87" s="158">
        <v>0.10620000213384628</v>
      </c>
      <c r="G87" s="158">
        <v>0.10639999806880951</v>
      </c>
      <c r="H87" s="158">
        <v>0.1062999963760376</v>
      </c>
      <c r="I87" s="158">
        <v>0.10620000213384628</v>
      </c>
      <c r="J87" s="158">
        <v>0.10610000044107437</v>
      </c>
      <c r="K87" s="158">
        <v>0.10610000044107437</v>
      </c>
      <c r="L87" s="158">
        <v>0.10610000044107437</v>
      </c>
      <c r="M87" s="158">
        <v>0.10580000281333923</v>
      </c>
      <c r="N87" s="158">
        <v>0.10559999942779541</v>
      </c>
      <c r="O87" s="158">
        <v>0.1054999977350235</v>
      </c>
      <c r="P87" s="158">
        <v>0.10509999841451645</v>
      </c>
      <c r="Q87" s="158">
        <v>0.10509999841451645</v>
      </c>
      <c r="R87" s="158">
        <v>0.10520000010728836</v>
      </c>
      <c r="S87" s="158">
        <v>0.10530000180006027</v>
      </c>
      <c r="T87" s="158">
        <v>0.10559999942779541</v>
      </c>
      <c r="U87" s="158">
        <v>0.10559999942779541</v>
      </c>
      <c r="V87" s="158">
        <f t="shared" si="1"/>
        <v>0.10565000027418137</v>
      </c>
      <c r="W87" s="158">
        <v>0.10570000112056732</v>
      </c>
      <c r="X87" s="158">
        <v>0.10540000349283218</v>
      </c>
      <c r="Y87" s="158">
        <v>0.10509999841451645</v>
      </c>
      <c r="Z87" s="158">
        <v>0.10490000247955322</v>
      </c>
      <c r="AA87" s="158">
        <v>0.10459999740123749</v>
      </c>
      <c r="AB87" s="158">
        <v>0.10450000315904617</v>
      </c>
      <c r="AC87" s="158">
        <v>0.10440000146627426</v>
      </c>
      <c r="AD87" s="158">
        <v>0.10440000146627426</v>
      </c>
      <c r="AE87" s="158">
        <v>0.10440000146627426</v>
      </c>
      <c r="AF87" s="158">
        <v>0.10459999740123749</v>
      </c>
    </row>
    <row r="88" spans="1:32" x14ac:dyDescent="0.2">
      <c r="A88" s="158" t="s">
        <v>239</v>
      </c>
      <c r="B88" s="158">
        <v>0.10679999738931656</v>
      </c>
      <c r="C88" s="158">
        <v>0.1062999963760376</v>
      </c>
      <c r="D88" s="158">
        <v>0.10620000213384628</v>
      </c>
      <c r="E88" s="158">
        <v>0.10610000044107437</v>
      </c>
      <c r="F88" s="158">
        <v>0.10610000044107437</v>
      </c>
      <c r="G88" s="158">
        <v>0.10620000213384628</v>
      </c>
      <c r="H88" s="158">
        <v>0.10620000213384628</v>
      </c>
      <c r="I88" s="158">
        <v>0.10599999874830246</v>
      </c>
      <c r="J88" s="158">
        <v>0.10589999705553055</v>
      </c>
      <c r="K88" s="158">
        <v>0.10589999705553055</v>
      </c>
      <c r="L88" s="158">
        <v>0.10589999705553055</v>
      </c>
      <c r="M88" s="158">
        <v>0.10570000112056732</v>
      </c>
      <c r="N88" s="158">
        <v>0.10540000349283218</v>
      </c>
      <c r="O88" s="158">
        <v>0.10520000010728836</v>
      </c>
      <c r="P88" s="158">
        <v>0.10490000247955322</v>
      </c>
      <c r="Q88" s="158">
        <v>0.10499999672174454</v>
      </c>
      <c r="R88" s="158">
        <v>0.10499999672174454</v>
      </c>
      <c r="S88" s="158">
        <v>0.10520000010728836</v>
      </c>
      <c r="T88" s="158">
        <v>0.1054999977350235</v>
      </c>
      <c r="U88" s="158">
        <v>0.1054999977350235</v>
      </c>
      <c r="V88" s="158">
        <f t="shared" si="1"/>
        <v>0.1054999977350235</v>
      </c>
      <c r="W88" s="158">
        <v>0.1054999977350235</v>
      </c>
      <c r="X88" s="158">
        <v>0.10520000010728836</v>
      </c>
      <c r="Y88" s="158">
        <v>0.10499999672174454</v>
      </c>
      <c r="Z88" s="158">
        <v>0.1046999990940094</v>
      </c>
      <c r="AA88" s="158">
        <v>0.10450000315904617</v>
      </c>
      <c r="AB88" s="158">
        <v>0.10440000146627426</v>
      </c>
      <c r="AC88" s="158">
        <v>0.10429999977350235</v>
      </c>
      <c r="AD88" s="158">
        <v>0.10419999808073044</v>
      </c>
      <c r="AE88" s="158">
        <v>0.10429999977350235</v>
      </c>
      <c r="AF88" s="158">
        <v>0.10450000315904617</v>
      </c>
    </row>
    <row r="89" spans="1:32" x14ac:dyDescent="0.2">
      <c r="A89" s="158" t="s">
        <v>240</v>
      </c>
      <c r="B89" s="158">
        <v>0.10649999976158142</v>
      </c>
      <c r="C89" s="158">
        <v>0.10610000044107437</v>
      </c>
      <c r="D89" s="158">
        <v>0.10589999705553055</v>
      </c>
      <c r="E89" s="158">
        <v>0.10589999705553055</v>
      </c>
      <c r="F89" s="158">
        <v>0.10589999705553055</v>
      </c>
      <c r="G89" s="158">
        <v>0.10599999874830246</v>
      </c>
      <c r="H89" s="158">
        <v>0.10620000213384628</v>
      </c>
      <c r="I89" s="158">
        <v>0.10570000112056732</v>
      </c>
      <c r="J89" s="158">
        <v>0.10570000112056732</v>
      </c>
      <c r="K89" s="158">
        <v>0.10559999942779541</v>
      </c>
      <c r="L89" s="158">
        <v>0.10570000112056732</v>
      </c>
      <c r="M89" s="158">
        <v>0.10540000349283218</v>
      </c>
      <c r="N89" s="158">
        <v>0.10520000010728836</v>
      </c>
      <c r="O89" s="158">
        <v>0.10490000247955322</v>
      </c>
      <c r="P89" s="158">
        <v>0.1046999990940094</v>
      </c>
      <c r="Q89" s="158">
        <v>0.1046999990940094</v>
      </c>
      <c r="R89" s="158">
        <v>0.1046999990940094</v>
      </c>
      <c r="S89" s="158">
        <v>0.10509999841451645</v>
      </c>
      <c r="T89" s="158">
        <v>0.10520000010728836</v>
      </c>
      <c r="U89" s="158">
        <v>0.10530000180006027</v>
      </c>
      <c r="V89" s="158">
        <f t="shared" si="1"/>
        <v>0.10530000180006027</v>
      </c>
      <c r="W89" s="158">
        <v>0.10530000180006027</v>
      </c>
      <c r="X89" s="158">
        <v>0.10499999672174454</v>
      </c>
      <c r="Y89" s="158">
        <v>0.10480000078678131</v>
      </c>
      <c r="Z89" s="158">
        <v>0.10450000315904617</v>
      </c>
      <c r="AA89" s="158">
        <v>0.10419999808073044</v>
      </c>
      <c r="AB89" s="158">
        <v>0.10409999638795853</v>
      </c>
      <c r="AC89" s="158">
        <v>0.10400000214576721</v>
      </c>
      <c r="AD89" s="158">
        <v>0.10400000214576721</v>
      </c>
      <c r="AE89" s="158">
        <v>0.10409999638795853</v>
      </c>
      <c r="AF89" s="158">
        <v>0.10419999808073044</v>
      </c>
    </row>
    <row r="90" spans="1:32" x14ac:dyDescent="0.2">
      <c r="A90" s="158" t="s">
        <v>241</v>
      </c>
      <c r="B90" s="158">
        <v>0.10740000009536743</v>
      </c>
      <c r="C90" s="158">
        <v>0.10700000077486038</v>
      </c>
      <c r="D90" s="158">
        <v>0.10700000077486038</v>
      </c>
      <c r="E90" s="158">
        <v>0.10670000314712524</v>
      </c>
      <c r="F90" s="158">
        <v>0.10660000145435333</v>
      </c>
      <c r="G90" s="158">
        <v>0.10689999908208847</v>
      </c>
      <c r="H90" s="158">
        <v>0.10670000314712524</v>
      </c>
      <c r="I90" s="158">
        <v>0.10660000145435333</v>
      </c>
      <c r="J90" s="158">
        <v>0.10649999976158142</v>
      </c>
      <c r="K90" s="158">
        <v>0.10649999976158142</v>
      </c>
      <c r="L90" s="158">
        <v>0.10679999738931656</v>
      </c>
      <c r="M90" s="158">
        <v>0.1062999963760376</v>
      </c>
      <c r="N90" s="158">
        <v>0.10599999874830246</v>
      </c>
      <c r="O90" s="158">
        <v>0.10580000281333923</v>
      </c>
      <c r="P90" s="158">
        <v>0.1054999977350235</v>
      </c>
      <c r="Q90" s="158">
        <v>0.1054999977350235</v>
      </c>
      <c r="R90" s="158">
        <v>0.10559999942779541</v>
      </c>
      <c r="S90" s="158">
        <v>0.10570000112056732</v>
      </c>
      <c r="T90" s="158">
        <v>0.10599999874830246</v>
      </c>
      <c r="U90" s="158">
        <v>0.10610000044107437</v>
      </c>
      <c r="V90" s="158">
        <f t="shared" si="1"/>
        <v>0.10610000044107437</v>
      </c>
      <c r="W90" s="158">
        <v>0.10610000044107437</v>
      </c>
      <c r="X90" s="158">
        <v>0.10580000281333923</v>
      </c>
      <c r="Y90" s="158">
        <v>0.1054999977350235</v>
      </c>
      <c r="Z90" s="158">
        <v>0.10530000180006027</v>
      </c>
      <c r="AA90" s="158">
        <v>0.10499999672174454</v>
      </c>
      <c r="AB90" s="158">
        <v>0.10490000247955322</v>
      </c>
      <c r="AC90" s="158">
        <v>0.10480000078678131</v>
      </c>
      <c r="AD90" s="158">
        <v>0.10490000247955322</v>
      </c>
      <c r="AE90" s="158">
        <v>0.10480000078678131</v>
      </c>
      <c r="AF90" s="158">
        <v>0.10499999672174454</v>
      </c>
    </row>
    <row r="91" spans="1:32" x14ac:dyDescent="0.2">
      <c r="A91" s="158" t="s">
        <v>242</v>
      </c>
      <c r="B91" s="158">
        <v>0.10719999670982361</v>
      </c>
      <c r="C91" s="158">
        <v>0.10660000145435333</v>
      </c>
      <c r="D91" s="158">
        <v>0.10639999806880951</v>
      </c>
      <c r="E91" s="158">
        <v>0.10639999806880951</v>
      </c>
      <c r="F91" s="158">
        <v>0.10620000213384628</v>
      </c>
      <c r="G91" s="158">
        <v>0.10639999806880951</v>
      </c>
      <c r="H91" s="158">
        <v>0.10620000213384628</v>
      </c>
      <c r="I91" s="158">
        <v>0.10610000044107437</v>
      </c>
      <c r="J91" s="158">
        <v>0.10599999874830246</v>
      </c>
      <c r="K91" s="158">
        <v>0.10610000044107437</v>
      </c>
      <c r="L91" s="158">
        <v>0.10599999874830246</v>
      </c>
      <c r="M91" s="158">
        <v>0.10580000281333923</v>
      </c>
      <c r="N91" s="158">
        <v>0.1054999977350235</v>
      </c>
      <c r="O91" s="158">
        <v>0.10540000349283218</v>
      </c>
      <c r="P91" s="158">
        <v>0.10499999672174454</v>
      </c>
      <c r="Q91" s="158">
        <v>0.10509999841451645</v>
      </c>
      <c r="R91" s="158">
        <v>0.10509999841451645</v>
      </c>
      <c r="S91" s="158">
        <v>0.10520000010728836</v>
      </c>
      <c r="T91" s="158">
        <v>0.1054999977350235</v>
      </c>
      <c r="U91" s="158">
        <v>0.10559999942779541</v>
      </c>
      <c r="V91" s="158">
        <f t="shared" si="1"/>
        <v>0.10559999942779541</v>
      </c>
      <c r="W91" s="158">
        <v>0.10559999942779541</v>
      </c>
      <c r="X91" s="158">
        <v>0.10540000349283218</v>
      </c>
      <c r="Y91" s="158">
        <v>0.10509999841451645</v>
      </c>
      <c r="Z91" s="158">
        <v>0.10490000247955322</v>
      </c>
      <c r="AA91" s="158">
        <v>0.10459999740123749</v>
      </c>
      <c r="AB91" s="158">
        <v>0.10440000146627426</v>
      </c>
      <c r="AC91" s="158">
        <v>0.10440000146627426</v>
      </c>
      <c r="AD91" s="158">
        <v>0.10440000146627426</v>
      </c>
      <c r="AE91" s="158">
        <v>0.10440000146627426</v>
      </c>
      <c r="AF91" s="158">
        <v>0.10459999740123749</v>
      </c>
    </row>
    <row r="92" spans="1:32" x14ac:dyDescent="0.2">
      <c r="A92" s="158" t="s">
        <v>243</v>
      </c>
      <c r="B92" s="158">
        <v>0.10740000009536743</v>
      </c>
      <c r="C92" s="158">
        <v>0.10679999738931656</v>
      </c>
      <c r="D92" s="158">
        <v>0.10660000145435333</v>
      </c>
      <c r="E92" s="158">
        <v>0.10639999806880951</v>
      </c>
      <c r="F92" s="158">
        <v>0.1062999963760376</v>
      </c>
      <c r="G92" s="158">
        <v>0.10649999976158142</v>
      </c>
      <c r="H92" s="158">
        <v>0.1062999963760376</v>
      </c>
      <c r="I92" s="158">
        <v>0.10620000213384628</v>
      </c>
      <c r="J92" s="158">
        <v>0.10610000044107437</v>
      </c>
      <c r="K92" s="158">
        <v>0.10610000044107437</v>
      </c>
      <c r="L92" s="158">
        <v>0.10599999874830246</v>
      </c>
      <c r="M92" s="158">
        <v>0.10580000281333923</v>
      </c>
      <c r="N92" s="158">
        <v>0.1054999977350235</v>
      </c>
      <c r="O92" s="158">
        <v>0.10530000180006027</v>
      </c>
      <c r="P92" s="158">
        <v>0.10499999672174454</v>
      </c>
      <c r="Q92" s="158">
        <v>0.10499999672174454</v>
      </c>
      <c r="R92" s="158">
        <v>0.10509999841451645</v>
      </c>
      <c r="S92" s="158">
        <v>0.10520000010728836</v>
      </c>
      <c r="T92" s="158">
        <v>0.1054999977350235</v>
      </c>
      <c r="U92" s="158">
        <v>0.10559999942779541</v>
      </c>
      <c r="V92" s="158">
        <f t="shared" si="1"/>
        <v>0.10559999942779541</v>
      </c>
      <c r="W92" s="158">
        <v>0.10559999942779541</v>
      </c>
      <c r="X92" s="158">
        <v>0.10530000180006027</v>
      </c>
      <c r="Y92" s="158">
        <v>0.10509999841451645</v>
      </c>
      <c r="Z92" s="158">
        <v>0.10480000078678131</v>
      </c>
      <c r="AA92" s="158">
        <v>0.10450000315904617</v>
      </c>
      <c r="AB92" s="158">
        <v>0.10440000146627426</v>
      </c>
      <c r="AC92" s="158">
        <v>0.10429999977350235</v>
      </c>
      <c r="AD92" s="158">
        <v>0.10429999977350235</v>
      </c>
      <c r="AE92" s="158">
        <v>0.10429999977350235</v>
      </c>
      <c r="AF92" s="158">
        <v>0.10450000315904617</v>
      </c>
    </row>
    <row r="93" spans="1:32" x14ac:dyDescent="0.2">
      <c r="A93" s="158" t="s">
        <v>244</v>
      </c>
      <c r="B93" s="158">
        <v>0.10750000178813934</v>
      </c>
      <c r="C93" s="158">
        <v>0.10639999806880951</v>
      </c>
      <c r="D93" s="158">
        <v>0.10639999806880951</v>
      </c>
      <c r="E93" s="158">
        <v>0.10670000314712524</v>
      </c>
      <c r="F93" s="158">
        <v>0.10639999806880951</v>
      </c>
      <c r="G93" s="158">
        <v>0.10660000145435333</v>
      </c>
      <c r="H93" s="158">
        <v>0.1062999963760376</v>
      </c>
      <c r="I93" s="158">
        <v>0.10620000213384628</v>
      </c>
      <c r="J93" s="158">
        <v>0.10599999874830246</v>
      </c>
      <c r="K93" s="158">
        <v>0.10599999874830246</v>
      </c>
      <c r="L93" s="158">
        <v>0.10599999874830246</v>
      </c>
      <c r="M93" s="158">
        <v>0.10570000112056732</v>
      </c>
      <c r="N93" s="158">
        <v>0.1054999977350235</v>
      </c>
      <c r="O93" s="158">
        <v>0.10530000180006027</v>
      </c>
      <c r="P93" s="158">
        <v>0.10490000247955322</v>
      </c>
      <c r="Q93" s="158">
        <v>0.10490000247955322</v>
      </c>
      <c r="R93" s="158">
        <v>0.10499999672174454</v>
      </c>
      <c r="S93" s="158">
        <v>0.10509999841451645</v>
      </c>
      <c r="T93" s="158">
        <v>0.10530000180006027</v>
      </c>
      <c r="U93" s="158">
        <v>0.10530000180006027</v>
      </c>
      <c r="V93" s="158">
        <f t="shared" si="1"/>
        <v>0.10530000180006027</v>
      </c>
      <c r="W93" s="158">
        <v>0.10530000180006027</v>
      </c>
      <c r="X93" s="158">
        <v>0.10499999672174454</v>
      </c>
      <c r="Y93" s="158">
        <v>0.1046999990940094</v>
      </c>
      <c r="Z93" s="158">
        <v>0.10450000315904617</v>
      </c>
      <c r="AA93" s="158">
        <v>0.10419999808073044</v>
      </c>
      <c r="AB93" s="158">
        <v>0.10400000214576721</v>
      </c>
      <c r="AC93" s="158">
        <v>0.10400000214576721</v>
      </c>
      <c r="AD93" s="158">
        <v>0.10409999638795853</v>
      </c>
      <c r="AE93" s="158">
        <v>0.1039000004529953</v>
      </c>
      <c r="AF93" s="158">
        <v>0.10350000113248825</v>
      </c>
    </row>
    <row r="94" spans="1:32" x14ac:dyDescent="0.2">
      <c r="A94" s="156" t="s">
        <v>352</v>
      </c>
      <c r="B94" s="156">
        <f>$B$55-AVERAGE($B$58,$B$59,$B$62,$B$66,$B$68,$B$69,$B$70,$B$71,$B$79,$B$85,$B$86,$B$87,$B$88,$B$89)</f>
        <v>6.7857227155140865E-4</v>
      </c>
      <c r="C94" s="156">
        <f>$C$55-AVERAGE($C$58,$C$59,$C$62,$C$66,$C$68,$C$69,$C$70,$C$71,$C$79,$C$85,$C$86,$C$87,$C$88,$C$89)</f>
        <v>6.6428950854710567E-4</v>
      </c>
      <c r="D94" s="156">
        <f>$D$55-AVERAGE($D$58,$D$59,$D$62,$D$66,$D$68,$D$69,$D$70,$D$71,$D$79,$D$85,$D$86,$D$87,$D$88,$D$89)</f>
        <v>8.5714033671788203E-4</v>
      </c>
      <c r="E94" s="156">
        <f>$E$55-AVERAGE($E$58,$E$59,$E$62,$E$66,$E$68,$E$69,$E$70,$E$71,$E$79,$E$85,$E$86,$E$87,$E$88,$E$89)</f>
        <v>1.3285699699606274E-3</v>
      </c>
      <c r="F94" s="156">
        <f>$F$55-AVERAGE($F$58,$F$59,$F$62,$F$66,$F$68,$F$69,$F$70,$F$71,$F$79,$F$85,$F$86,$F$87,$F$88,$F$89)</f>
        <v>1.542858247246065E-3</v>
      </c>
      <c r="G94" s="156">
        <f>$G$55-AVERAGE($G$58,$G$59,$G$62,$G$66,$G$68,$G$69,$G$70,$G$71,$G$79,$G$85,$G$86,$G$87,$G$88,$G$89)</f>
        <v>2.199996794973097E-3</v>
      </c>
      <c r="H94" s="156">
        <f>$H$55-AVERAGE($H$58,$H$59,$H$62,$H$66,$H$68,$H$69,$H$70,$H$71,$H$79,$H$85,$H$86,$H$87,$H$88,$H$89)</f>
        <v>2.8785706630774927E-3</v>
      </c>
      <c r="I94" s="156">
        <f>$I$55-AVERAGE($I$58,$I$59,$I$62,$I$66,$I$68,$I$69,$I$70,$I$71,$I$79,$I$85,$I$86,$I$87,$I$88,$I$89)</f>
        <v>4.0214301220008325E-3</v>
      </c>
      <c r="J94" s="156">
        <f>$J$55-AVERAGE($J$58,$J$59,$J$62,$J$66,$J$68,$J$69,$J$70,$J$71,$J$79,$J$85,$J$86,$J$87,$J$88,$J$89)</f>
        <v>5.0714255443641137E-3</v>
      </c>
      <c r="K94" s="156">
        <f>$K$55-AVERAGE($K$58,$K$59,$K$62,$K$66,$K$68,$K$69,$K$70,$K$71,$K$79,$K$85,$K$86,$K$87,$K$88,$K$89)</f>
        <v>6.821432283946452E-3</v>
      </c>
      <c r="L94" s="156">
        <f>$L$55-AVERAGE($L$58,$L$59,$L$62,$L$66,$L$68,$L$69,$L$70,$L$71,$L$79,$L$85,$L$86,$L$87,$L$88,$L$89)</f>
        <v>9.3000009655952454E-3</v>
      </c>
      <c r="M94" s="156">
        <f>$M$55-AVERAGE($M$58,$M$59,$M$62,$M$66,$M$68,$M$69,$M$70,$M$71,$M$79,$M$85,$M$86,$M$87,$M$88,$M$89)</f>
        <v>1.2664287750210085E-2</v>
      </c>
      <c r="N94" s="156">
        <f>$N$55-AVERAGE($N$58,$N$59,$N$62,$N$66,$N$68,$N$69,$N$70,$N$71,$N$79,$N$85,$N$86,$N$87,$N$88,$N$89)</f>
        <v>1.8207139202526632E-2</v>
      </c>
      <c r="O94" s="156">
        <f>$O$55-AVERAGE($O$58,$O$59,$O$62,$O$66,$O$68,$O$69,$O$70,$O$71,$O$79,$O$85,$O$86,$O$87,$O$88,$O$89)</f>
        <v>2.5078569671937403E-2</v>
      </c>
      <c r="P94" s="156">
        <f>$P$55-AVERAGE($P$58,$P$59,$P$62,$P$66,$P$68,$P$69,$P$70,$P$71,$P$79,$P$85,$P$86,$P$87,$P$88,$P$89)</f>
        <v>3.5378576921565194E-2</v>
      </c>
      <c r="Q94" s="156">
        <f>$Q$55-AVERAGE($Q$58,$Q$59,$Q$62,$Q$66,$Q$68,$Q$69,$Q$70,$Q$71,$Q$79,$Q$85,$Q$86,$Q$87,$Q$88,$Q$89)</f>
        <v>4.9778567893164496E-2</v>
      </c>
      <c r="R94" s="156">
        <f>$R$55-AVERAGE($R$58,$R$59,$R$62,$R$66,$R$68,$R$69,$R$70,$R$71,$R$79,$R$85,$R$86,$R$87,$R$88,$R$89)</f>
        <v>7.1671423103128157E-2</v>
      </c>
      <c r="S94" s="156">
        <f>$S$55-AVERAGE($S$58,$S$59,$S$62,$S$66,$S$68,$S$69,$S$70,$S$71,$S$79,$S$85,$S$86,$S$87,$S$88,$S$89)</f>
        <v>0.10205000159995896</v>
      </c>
      <c r="T94" s="156">
        <f>$T$55-AVERAGE($T$58,$T$59,$T$62,$T$66,$T$68,$T$69,$T$70,$T$71,$T$79,$T$85,$T$86,$T$87,$T$88,$T$89)</f>
        <v>0.13804285920092038</v>
      </c>
      <c r="U94" s="156">
        <f>$U$55-AVERAGE($U$58,$U$59,$U$62,$U$66,$U$68,$U$69,$U$70,$U$71,$U$79,$U$85,$U$86,$U$87,$U$88,$U$89)</f>
        <v>0.17887858035308973</v>
      </c>
      <c r="V94" s="156">
        <f>$V$55-AVERAGE($V$58,$V$59,$V$62,$V$66,$V$68,$V$69,$V$70,$V$71,$V$79,$V$85,$V$86,$V$87,$V$88,$V$89)</f>
        <v>0.22049643498446259</v>
      </c>
      <c r="W94" s="156">
        <f>$W$55-AVERAGE($W$58,$W$59,$W$62,$W$66,$W$68,$W$69,$W$70,$W$71,$W$79,$W$85,$W$86,$W$87,$W$88,$W$89)</f>
        <v>0.26211428961583549</v>
      </c>
      <c r="X94" s="156">
        <f>$X$55-AVERAGE($X$58,$X$59,$X$62,$X$66,$X$68,$X$69,$X$70,$X$71,$X$79,$X$85,$X$86,$X$87,$X$88,$X$89)</f>
        <v>0.30056429707578247</v>
      </c>
      <c r="Y94" s="156">
        <f>$Y$55-AVERAGE($Y$58,$Y$59,$Y$62,$Y$66,$Y$68,$Y$69,$Y$70,$Y$71,$Y$79,$Y$85,$Y$86,$Y$87,$Y$88,$Y$89)</f>
        <v>0.33645714819431305</v>
      </c>
      <c r="Z94" s="156">
        <f>$Z$55-AVERAGE($Z$58,$Z$59,$Z$62,$Z$66,$Z$68,$Z$69,$Z$70,$Z$71,$Z$79,$Z$85,$Z$86,$Z$87,$Z$88,$Z$89)</f>
        <v>0.35936428766165462</v>
      </c>
      <c r="AA94" s="156">
        <f>$AA$55-AVERAGE($AA$58,$AA$59,$AA$62,$AA$66,$AA$68,$AA$69,$AA$70,$AA$71,$AA$79,$AA$85,$AA$86,$AA$87,$AA$88,$AA$89)</f>
        <v>0.3656214305332729</v>
      </c>
      <c r="AB94" s="156">
        <f>$AB$55-AVERAGE($AB$58,$AB$59,$AB$62,$AB$66,$AB$68,$AB$69,$AB$70,$AB$71,$AB$79,$AB$85,$AB$86,$AB$87,$AB$88,$AB$89)</f>
        <v>0.36949286343795912</v>
      </c>
      <c r="AC94" s="156">
        <f>$AC$55-AVERAGE($AC$58,$AC$59,$AC$62,$AC$66,$AC$68,$AC$69,$AC$70,$AC$71,$AC$79,$AC$85,$AC$86,$AC$87,$AC$88,$AC$89)</f>
        <v>0.36872856478605953</v>
      </c>
      <c r="AD94" s="156">
        <f>$AD$55-AVERAGE($AD$58,$AD$59,$AD$62,$AD$66,$AD$68,$AD$69,$AD$70,$AD$71,$AD$79,$AD$85,$AD$86,$AD$87,$AD$88,$AD$89)</f>
        <v>0.36699284985661507</v>
      </c>
      <c r="AE94" s="156">
        <f>$AE$55-AVERAGE($AE$58,$AE$59,$AE$62,$AE$66,$AE$68,$AE$69,$AE$70,$AE$71,$AE$79,$AE$85,$AE$86,$AE$87,$AE$88,$AE$89)</f>
        <v>0.3684714319450515</v>
      </c>
      <c r="AF94" s="156">
        <f>$AF$55-AVERAGE($AF$58,$AF$59,$AF$62,$AF$66,$AF$68,$AF$69,$AF$70,$AF$71,$AF$79,$AF$85,$AF$86,$AF$87,$AF$88,$AF$89)</f>
        <v>0.37242856621742249</v>
      </c>
    </row>
    <row r="95" spans="1:32" x14ac:dyDescent="0.2">
      <c r="A95" s="157" t="s">
        <v>353</v>
      </c>
      <c r="B95" s="157">
        <f>$B$56-AVERAGE($B$58,$B$62,$B$66)</f>
        <v>6.6666553417842056E-4</v>
      </c>
      <c r="C95" s="157">
        <f>$C$56-AVERAGE($C$58,$C$62,$C$66)</f>
        <v>5.9999773899714615E-4</v>
      </c>
      <c r="D95" s="157">
        <f>$D$56-AVERAGE($D$58,$D$62,$D$66)</f>
        <v>8.0000112454096939E-4</v>
      </c>
      <c r="E95" s="157">
        <f>$E$56-AVERAGE($E$58,$E$62,$E$66)</f>
        <v>1.1333326498667445E-3</v>
      </c>
      <c r="F95" s="157">
        <f>$F$56-AVERAGE($F$58,$F$62,$F$66)</f>
        <v>1.7333328723907471E-3</v>
      </c>
      <c r="G95" s="157">
        <f>$G$56-AVERAGE($G$58,$G$62,$G$66)</f>
        <v>2.4666686852772984E-3</v>
      </c>
      <c r="H95" s="157">
        <f>$H$56-AVERAGE($H$58,$H$62,$H$66)</f>
        <v>3.2999987403551784E-3</v>
      </c>
      <c r="I95" s="157">
        <f>$I$56-AVERAGE($I$58,$I$62,$I$66)</f>
        <v>4.3666685620943752E-3</v>
      </c>
      <c r="J95" s="157">
        <f>$J$56-AVERAGE($J$58,$J$62,$J$66)</f>
        <v>5.7000021139780727E-3</v>
      </c>
      <c r="K95" s="157">
        <f>$K$56-AVERAGE($K$58,$K$62,$K$66)</f>
        <v>7.6000044743220058E-3</v>
      </c>
      <c r="L95" s="157">
        <f>$L$56-AVERAGE($L$58,$L$62,$L$66)</f>
        <v>1.0000000397364303E-2</v>
      </c>
      <c r="M95" s="157">
        <f>$M$56-AVERAGE($M$58,$M$62,$M$66)</f>
        <v>1.3800002634525299E-2</v>
      </c>
      <c r="N95" s="157">
        <f>$N$56-AVERAGE($N$58,$N$62,$N$66)</f>
        <v>1.9033332665761307E-2</v>
      </c>
      <c r="O95" s="157">
        <f>$O$56-AVERAGE($O$58,$O$62,$O$66)</f>
        <v>2.7033341427644089E-2</v>
      </c>
      <c r="P95" s="157">
        <f>$P$56-AVERAGE($P$58,$P$62,$P$66)</f>
        <v>3.8200000921885177E-2</v>
      </c>
      <c r="Q95" s="157">
        <f>$Q$56-AVERAGE($Q$58,$Q$62,$Q$66)</f>
        <v>5.4599995414416E-2</v>
      </c>
      <c r="R95" s="157">
        <f>$R$56-AVERAGE($R$58,$R$62,$R$66)</f>
        <v>8.0266664425532028E-2</v>
      </c>
      <c r="S95" s="157">
        <f>$S$56-AVERAGE($S$58,$S$62,$S$66)</f>
        <v>0.11256666978200276</v>
      </c>
      <c r="T95" s="157">
        <f>$T$56-AVERAGE($T$58,$T$62,$T$66)</f>
        <v>0.14963332315285999</v>
      </c>
      <c r="U95" s="157">
        <f>$U$56-AVERAGE($U$58,$U$62,$U$66)</f>
        <v>0.19126666337251663</v>
      </c>
      <c r="V95" s="157">
        <f>$V$56-AVERAGE($V$58,$V$62,$V$66)</f>
        <v>0.23116666699449223</v>
      </c>
      <c r="W95" s="157">
        <f>$W$56-AVERAGE($W$58,$W$62,$W$66)</f>
        <v>0.27106667061646778</v>
      </c>
      <c r="X95" s="157">
        <f>$X$56-AVERAGE($X$58,$X$62,$X$66)</f>
        <v>0.30729999144872028</v>
      </c>
      <c r="Y95" s="157">
        <f>$Y$56-AVERAGE($Y$58,$Y$62,$Y$66)</f>
        <v>0.33799999952316284</v>
      </c>
      <c r="Z95" s="157">
        <f>$Z$56-AVERAGE($Z$58,$Z$62,$Z$66)</f>
        <v>0.34453333914279938</v>
      </c>
      <c r="AA95" s="157">
        <f>$AA$56-AVERAGE($AA$58,$AA$62,$AA$66)</f>
        <v>0.35013332962989807</v>
      </c>
      <c r="AB95" s="157">
        <f>$AB$56-AVERAGE($AB$58,$AB$62,$AB$66)</f>
        <v>0.35113334655761719</v>
      </c>
      <c r="AC95" s="157">
        <f>$AC$56-AVERAGE($AC$58,$AC$62,$AC$66)</f>
        <v>0.34789998829364777</v>
      </c>
      <c r="AD95" s="157">
        <f>$AD$56-AVERAGE($AD$58,$AD$62,$AD$66)</f>
        <v>0.35019999742507935</v>
      </c>
      <c r="AE95" s="157">
        <f>$AE$56-AVERAGE($AE$58,$AE$62,$AE$66)</f>
        <v>0.35389999796946842</v>
      </c>
      <c r="AF95" s="157">
        <f>$AF$56-AVERAGE($AF$58,$AF$62,$AF$66)</f>
        <v>0.36060000707705814</v>
      </c>
    </row>
    <row r="96" spans="1:32" x14ac:dyDescent="0.2">
      <c r="A96" s="168" t="s">
        <v>354</v>
      </c>
      <c r="B96" s="168">
        <f>$B$57-AVERAGE($B$58)</f>
        <v>7.9999864101409912E-4</v>
      </c>
      <c r="C96" s="168">
        <f>$C$57-AVERAGE($C$58)</f>
        <v>7.9999864101409912E-4</v>
      </c>
      <c r="D96" s="168">
        <f>$D$57-AVERAGE($D$58)</f>
        <v>9.0000033378601074E-4</v>
      </c>
      <c r="E96" s="168">
        <f>$E$57-AVERAGE($E$58)</f>
        <v>1.1999979615211487E-3</v>
      </c>
      <c r="F96" s="168">
        <f>$F$57-AVERAGE($F$58)</f>
        <v>1.9000023603439331E-3</v>
      </c>
      <c r="G96" s="168">
        <f>$G$57-AVERAGE($G$58)</f>
        <v>2.6999935507774353E-3</v>
      </c>
      <c r="H96" s="168">
        <f>$H$57-AVERAGE($H$58)</f>
        <v>3.2999962568283081E-3</v>
      </c>
      <c r="I96" s="168">
        <f>$I$57-AVERAGE($I$58)</f>
        <v>4.3999999761581421E-3</v>
      </c>
      <c r="J96" s="168">
        <f>$J$57-AVERAGE($J$58)</f>
        <v>5.5000036954879761E-3</v>
      </c>
      <c r="K96" s="168">
        <f>$K$57-AVERAGE($K$58)</f>
        <v>7.2000026702880859E-3</v>
      </c>
      <c r="L96" s="168">
        <f>$L$57-AVERAGE($L$58)</f>
        <v>9.3000009655952454E-3</v>
      </c>
      <c r="M96" s="168">
        <f>$M$57-AVERAGE($M$58)</f>
        <v>1.260000467300415E-2</v>
      </c>
      <c r="N96" s="168">
        <f>$N$57-AVERAGE($N$58)</f>
        <v>1.7099998891353607E-2</v>
      </c>
      <c r="O96" s="168">
        <f>$O$57-AVERAGE($O$58)</f>
        <v>2.3499995470046997E-2</v>
      </c>
      <c r="P96" s="168">
        <f>$P$57-AVERAGE($P$58)</f>
        <v>3.309999406337738E-2</v>
      </c>
      <c r="Q96" s="168">
        <f>$Q$57-AVERAGE($Q$58)</f>
        <v>4.7700002789497375E-2</v>
      </c>
      <c r="R96" s="168">
        <f>$R$57-AVERAGE($R$58)</f>
        <v>6.9700002670288086E-2</v>
      </c>
      <c r="S96" s="168">
        <f>$S$57-AVERAGE($S$58)</f>
        <v>0.10019998997449875</v>
      </c>
      <c r="T96" s="168">
        <f>$T$57-AVERAGE($T$58)</f>
        <v>0.1362999901175499</v>
      </c>
      <c r="U96" s="168">
        <f>$U$57-AVERAGE($U$58)</f>
        <v>0.17620000243186951</v>
      </c>
      <c r="V96" s="168">
        <f>$V$57-AVERAGE($V$58)</f>
        <v>0.21765000745654106</v>
      </c>
      <c r="W96" s="168">
        <f>$W$57-AVERAGE($W$58)</f>
        <v>0.25910001248121262</v>
      </c>
      <c r="X96" s="168">
        <f>$X$57-AVERAGE($X$58)</f>
        <v>0.29549998790025711</v>
      </c>
      <c r="Y96" s="168">
        <f>$Y$57-AVERAGE($Y$58)</f>
        <v>0.32810001075267792</v>
      </c>
      <c r="Z96" s="168">
        <f>$Z$57-AVERAGE($Z$58)</f>
        <v>0.34319998323917389</v>
      </c>
      <c r="AA96" s="168">
        <f>$AA$57-AVERAGE($AA$58)</f>
        <v>0.34950000047683716</v>
      </c>
      <c r="AB96" s="168">
        <f>$AB$57-AVERAGE($AB$58)</f>
        <v>0.35190001130104065</v>
      </c>
      <c r="AC96" s="168">
        <f>$AC$57-AVERAGE($AC$58)</f>
        <v>0.34989999234676361</v>
      </c>
      <c r="AD96" s="168">
        <f>$AD$57-AVERAGE($AD$58)</f>
        <v>0.34939999878406525</v>
      </c>
      <c r="AE96" s="168">
        <f>$AE$57-AVERAGE($AE$58)</f>
        <v>0.35179999470710754</v>
      </c>
      <c r="AF96" s="168">
        <f>$AF$57-AVERAGE($AF$58)</f>
        <v>0.35820001363754272</v>
      </c>
    </row>
    <row r="97" spans="1:32" x14ac:dyDescent="0.2">
      <c r="A97" t="s">
        <v>355</v>
      </c>
      <c r="H97">
        <f>INDEX(LOGEST($B$94:$H$94,$B$54:$H$54,TRUE,TRUE), 3)</f>
        <v>0.96680331680745935</v>
      </c>
      <c r="I97">
        <f>INDEX(LOGEST($B$94:$I$94,$B$54:$I$54,TRUE,TRUE), 3)</f>
        <v>0.97672723547703222</v>
      </c>
      <c r="J97">
        <f>INDEX(LOGEST($B$94:$J$94,$B$54:$J$54,TRUE,TRUE), 3)</f>
        <v>0.98370903105322771</v>
      </c>
      <c r="K97">
        <f>INDEX(LOGEST($B$94:$K$94,$B$54:$K$54,TRUE,TRUE), 3)</f>
        <v>0.98811639168128229</v>
      </c>
      <c r="L97">
        <f>INDEX(LOGEST($B$94:$L$94,$B$54:$L$54,TRUE,TRUE), 3)</f>
        <v>0.99093790508355217</v>
      </c>
      <c r="M97">
        <f>INDEX(LOGEST($B$94:$M$94,$B$54:$M$54,TRUE,TRUE), 3)</f>
        <v>0.99282437970218085</v>
      </c>
      <c r="N97">
        <f>INDEX(LOGEST($B$94:$N$94,$B$54:$N$54,TRUE,TRUE), 3)</f>
        <v>0.99366029279049828</v>
      </c>
      <c r="O97">
        <f>INDEX(LOGEST($B$94:$O$94,$B$54:$O$54,TRUE,TRUE), 3)</f>
        <v>0.99437894669095639</v>
      </c>
      <c r="P97">
        <f>INDEX(LOGEST($B$94:$P$94,$B$54:$P$54,TRUE,TRUE), 3)</f>
        <v>0.99481231326498087</v>
      </c>
      <c r="Q97">
        <f>INDEX(LOGEST($B$94:$Q$94,$B$54:$Q$54,TRUE,TRUE), 3)</f>
        <v>0.99513182230231056</v>
      </c>
      <c r="R97">
        <f>INDEX(LOGEST($B$94:$R$94,$B$54:$R$54,TRUE,TRUE), 3)</f>
        <v>0.99523577451881784</v>
      </c>
      <c r="S97">
        <f>INDEX(LOGEST($B$94:$S$94,$B$54:$S$54,TRUE,TRUE), 3)</f>
        <v>0.99532938295903783</v>
      </c>
      <c r="T97">
        <f>INDEX(LOGEST($B$94:$T$94,$B$54:$T$54,TRUE,TRUE), 3)</f>
        <v>0.99569993636761167</v>
      </c>
      <c r="U97">
        <f>INDEX(LOGEST($B$94:$U$94,$B$54:$U$54,TRUE,TRUE), 3)</f>
        <v>0.99625100235423614</v>
      </c>
      <c r="V97">
        <f>INDEX(LOGEST($B$94:$V$94,$B$54:$V$54,TRUE,TRUE), 3)</f>
        <v>0.99674175798902565</v>
      </c>
      <c r="W97" s="155">
        <f>INDEX(LOGEST($B$94:$W$94,$B$54:$W$54,TRUE,TRUE), 3)</f>
        <v>0.99687637407297292</v>
      </c>
      <c r="X97">
        <f>INDEX(LOGEST($B$94:$X$94,$B$54:$X$54,TRUE,TRUE), 3)</f>
        <v>0.99639155592970519</v>
      </c>
      <c r="Y97">
        <f>INDEX(LOGEST($B$94:$Y$94,$B$54:$Y$54,TRUE,TRUE), 3)</f>
        <v>0.99513192794840966</v>
      </c>
      <c r="Z97">
        <f>INDEX(LOGEST($B$94:$Z$94,$B$54:$Z$54,TRUE,TRUE), 3)</f>
        <v>0.99276773146881869</v>
      </c>
      <c r="AA97">
        <f>INDEX(LOGEST($B$94:$AA$94,$B$54:$AA$54,TRUE,TRUE), 3)</f>
        <v>0.98888908743562898</v>
      </c>
      <c r="AB97">
        <f>INDEX(LOGEST($B$94:$AB$94,$B$54:$AB$54,TRUE,TRUE), 3)</f>
        <v>0.9835813208443589</v>
      </c>
      <c r="AC97">
        <f>INDEX(LOGEST($B$94:$AC$94,$B$54:$AC$54,TRUE,TRUE), 3)</f>
        <v>0.97687375652813846</v>
      </c>
      <c r="AD97">
        <f>INDEX(LOGEST($B$94:$AD$94,$B$54:$AD$54,TRUE,TRUE), 3)</f>
        <v>0.96894754376731107</v>
      </c>
      <c r="AE97">
        <f>INDEX(LOGEST($B$94:$AE$94,$B$54:$AE$54,TRUE,TRUE), 3)</f>
        <v>0.96016226689436368</v>
      </c>
      <c r="AF97">
        <f>INDEX(LOGEST($B$94:$AF$94,$B$54:$AF$54,TRUE,TRUE), 3)</f>
        <v>0.95081314526235994</v>
      </c>
    </row>
    <row r="98" spans="1:32" x14ac:dyDescent="0.2">
      <c r="A98" t="s">
        <v>356</v>
      </c>
      <c r="H98">
        <f>INDEX(LOGEST($B$95:$H$95,$B$54:$H$54,TRUE,TRUE), 3)</f>
        <v>0.9495034010667962</v>
      </c>
      <c r="I98">
        <f>INDEX(LOGEST($B$95:$I$95,$B$54:$I$54,TRUE,TRUE), 3)</f>
        <v>0.96626328835336983</v>
      </c>
      <c r="J98">
        <f>INDEX(LOGEST($B$95:$J$95,$B$54:$J$54,TRUE,TRUE), 3)</f>
        <v>0.97599083784394447</v>
      </c>
      <c r="K98">
        <f>INDEX(LOGEST($B$95:$K$95,$B$54:$K$54,TRUE,TRUE), 3)</f>
        <v>0.98223585227160848</v>
      </c>
      <c r="L98">
        <f>INDEX(LOGEST($B$95:$L$95,$B$54:$L$54,TRUE,TRUE), 3)</f>
        <v>0.98633162862209234</v>
      </c>
      <c r="M98">
        <f>INDEX(LOGEST($B$95:$M$95,$B$54:$M$54,TRUE,TRUE), 3)</f>
        <v>0.98943529266878305</v>
      </c>
      <c r="N98">
        <f>INDEX(LOGEST($B$95:$N$95,$B$54:$N$54,TRUE,TRUE), 3)</f>
        <v>0.99169889966984603</v>
      </c>
      <c r="O98">
        <f>INDEX(LOGEST($B$95:$O$95,$B$54:$O$54,TRUE,TRUE), 3)</f>
        <v>0.9932814179910221</v>
      </c>
      <c r="P98">
        <f>INDEX(LOGEST($B$95:$P$95,$B$54:$P$54,TRUE,TRUE), 3)</f>
        <v>0.9943704703714259</v>
      </c>
      <c r="Q98">
        <f>INDEX(LOGEST($B$95:$Q$95,$B$54:$Q$54,TRUE,TRUE), 3)</f>
        <v>0.99507798566923233</v>
      </c>
      <c r="R98">
        <f>INDEX(LOGEST($B$95:$R$95,$B$54:$R$54,TRUE,TRUE), 3)</f>
        <v>0.9953853400968885</v>
      </c>
      <c r="S98">
        <f>INDEX(LOGEST($B$95:$S$95,$B$54:$S$54,TRUE,TRUE), 3)</f>
        <v>0.9957321731609865</v>
      </c>
      <c r="T98">
        <f>INDEX(LOGEST($B$95:$T$95,$B$54:$T$54,TRUE,TRUE), 3)</f>
        <v>0.99625796401341005</v>
      </c>
      <c r="U98">
        <f>INDEX(LOGEST($B$95:$U$95,$B$54:$U$54,TRUE,TRUE), 3)</f>
        <v>0.99679250188210278</v>
      </c>
      <c r="V98" s="155">
        <f>INDEX(LOGEST($B$95:$V$95,$B$54:$V$54,TRUE,TRUE), 3)</f>
        <v>0.9970613520902516</v>
      </c>
      <c r="W98">
        <f>INDEX(LOGEST($B$95:$W$95,$B$54:$W$54,TRUE,TRUE), 3)</f>
        <v>0.99680028501154483</v>
      </c>
      <c r="X98">
        <f>INDEX(LOGEST($B$95:$X$95,$B$54:$X$54,TRUE,TRUE), 3)</f>
        <v>0.9957835392199742</v>
      </c>
      <c r="Y98">
        <f>INDEX(LOGEST($B$95:$Y$95,$B$54:$Y$54,TRUE,TRUE), 3)</f>
        <v>0.99383200214093681</v>
      </c>
      <c r="Z98">
        <f>INDEX(LOGEST($B$95:$Z$95,$B$54:$Z$54,TRUE,TRUE), 3)</f>
        <v>0.99026298272889468</v>
      </c>
      <c r="AA98">
        <f>INDEX(LOGEST($B$95:$AA$95,$B$54:$AA$54,TRUE,TRUE), 3)</f>
        <v>0.98519961138569268</v>
      </c>
      <c r="AB98">
        <f>INDEX(LOGEST($B$95:$AB$95,$B$54:$AB$54,TRUE,TRUE), 3)</f>
        <v>0.97867271941787681</v>
      </c>
      <c r="AC98">
        <f>INDEX(LOGEST($B$95:$AC$95,$B$54:$AC$54,TRUE,TRUE), 3)</f>
        <v>0.97072770696413746</v>
      </c>
      <c r="AD98">
        <f>INDEX(LOGEST($B$95:$AD$95,$B$54:$AD$54,TRUE,TRUE), 3)</f>
        <v>0.96187582518158032</v>
      </c>
      <c r="AE98">
        <f>INDEX(LOGEST($B$95:$AE$95,$B$54:$AE$54,TRUE,TRUE), 3)</f>
        <v>0.95238395385424124</v>
      </c>
      <c r="AF98">
        <f>INDEX(LOGEST($B$95:$AF$95,$B$54:$AF$54,TRUE,TRUE), 3)</f>
        <v>0.94256374122931563</v>
      </c>
    </row>
    <row r="99" spans="1:32" x14ac:dyDescent="0.2">
      <c r="A99" t="s">
        <v>357</v>
      </c>
      <c r="H99">
        <f>INDEX(LOGEST($B$96:$H$96,$B$54:$H$54,TRUE,TRUE), 3)</f>
        <v>0.93755623686505407</v>
      </c>
      <c r="I99">
        <f>INDEX(LOGEST($B$96:$I$96,$B$54:$I$54,TRUE,TRUE), 3)</f>
        <v>0.9583700854262247</v>
      </c>
      <c r="J99">
        <f>INDEX(LOGEST($B$96:$J$96,$B$54:$J$54,TRUE,TRUE), 3)</f>
        <v>0.97036985919865848</v>
      </c>
      <c r="K99">
        <f>INDEX(LOGEST($B$96:$K$96,$B$54:$K$54,TRUE,TRUE), 3)</f>
        <v>0.97821802930036872</v>
      </c>
      <c r="L99">
        <f>INDEX(LOGEST($B$96:$L$96,$B$54:$L$54,TRUE,TRUE), 3)</f>
        <v>0.9834458632219657</v>
      </c>
      <c r="M99">
        <f>INDEX(LOGEST($B$96:$M$96,$B$54:$M$54,TRUE,TRUE), 3)</f>
        <v>0.98726408621448325</v>
      </c>
      <c r="N99">
        <f>INDEX(LOGEST($B$96:$N$96,$B$54:$N$54,TRUE,TRUE), 3)</f>
        <v>0.98995250776516819</v>
      </c>
      <c r="O99">
        <f>INDEX(LOGEST($B$96:$O$96,$B$54:$O$54,TRUE,TRUE), 3)</f>
        <v>0.99179132508669365</v>
      </c>
      <c r="P99">
        <f>INDEX(LOGEST($B$96:$P$96,$B$54:$P$54,TRUE,TRUE), 3)</f>
        <v>0.99289142726452873</v>
      </c>
      <c r="Q99">
        <f>INDEX(LOGEST($B$96:$Q$96,$B$54:$Q$54,TRUE,TRUE), 3)</f>
        <v>0.99332708128048464</v>
      </c>
      <c r="R99">
        <f>INDEX(LOGEST($B$96:$R$96,$B$54:$R$54,TRUE,TRUE), 3)</f>
        <v>0.99326508153279458</v>
      </c>
      <c r="S99">
        <f>INDEX(LOGEST($B$96:$S$96,$B$54:$S$54,TRUE,TRUE), 3)</f>
        <v>0.99314817802070976</v>
      </c>
      <c r="T99">
        <f>INDEX(LOGEST($B$96:$T$96,$B$54:$T$54,TRUE,TRUE), 3)</f>
        <v>0.99347383881019125</v>
      </c>
      <c r="U99">
        <f>INDEX(LOGEST($B$96:$U$96,$B$54:$U$54,TRUE,TRUE), 3)</f>
        <v>0.9941862257872135</v>
      </c>
      <c r="V99">
        <f>INDEX(LOGEST($B$96:$V$96,$B$54:$V$54,TRUE,TRUE), 3)</f>
        <v>0.994976273944714</v>
      </c>
      <c r="W99" s="155">
        <f>INDEX(LOGEST($B$96:$W$96,$B$54:$W$54,TRUE,TRUE), 3)</f>
        <v>0.99549888547959076</v>
      </c>
      <c r="X99">
        <f>INDEX(LOGEST($B$96:$X$96,$B$54:$X$54,TRUE,TRUE), 3)</f>
        <v>0.99542212520791451</v>
      </c>
      <c r="Y99">
        <f>INDEX(LOGEST($B$96:$Y$96,$B$54:$Y$54,TRUE,TRUE), 3)</f>
        <v>0.99452255889915298</v>
      </c>
      <c r="Z99">
        <f>INDEX(LOGEST($B$96:$Z$96,$B$54:$Z$54,TRUE,TRUE), 3)</f>
        <v>0.99232205665606676</v>
      </c>
      <c r="AA99">
        <f>INDEX(LOGEST($B$96:$AA$96,$B$54:$AA$54,TRUE,TRUE), 3)</f>
        <v>0.98861224860185126</v>
      </c>
      <c r="AB99">
        <f>INDEX(LOGEST($B$96:$AB$96,$B$54:$AB$54,TRUE,TRUE), 3)</f>
        <v>0.98341208633753641</v>
      </c>
      <c r="AC99">
        <f>INDEX(LOGEST($B$96:$AC$96,$B$54:$AC$54,TRUE,TRUE), 3)</f>
        <v>0.97674579667038164</v>
      </c>
      <c r="AD99">
        <f>INDEX(LOGEST($B$96:$AD$96,$B$54:$AD$54,TRUE,TRUE), 3)</f>
        <v>0.96890807990674743</v>
      </c>
      <c r="AE99">
        <f>INDEX(LOGEST($B$96:$AE$96,$B$54:$AE$54,TRUE,TRUE), 3)</f>
        <v>0.96025141800418945</v>
      </c>
      <c r="AF99">
        <f>INDEX(LOGEST($B$96:$AF$96,$B$54:$AF$54,TRUE,TRUE), 3)</f>
        <v>0.9511495965238449</v>
      </c>
    </row>
    <row r="100" spans="1:32" s="160" customFormat="1" x14ac:dyDescent="0.2">
      <c r="A100" s="160" t="s">
        <v>358</v>
      </c>
      <c r="B100" s="160">
        <f>$K$43*EXP($J$49*$B$54)</f>
        <v>4.9112201631966923E-4</v>
      </c>
      <c r="C100" s="160">
        <f>$K$43*EXP($J$49*$C$54)</f>
        <v>6.6649644819204157E-4</v>
      </c>
      <c r="D100" s="160">
        <f>$K$43*EXP($J$49*$D$54)</f>
        <v>9.0449521848246233E-4</v>
      </c>
      <c r="E100" s="160">
        <f>$K$43*EXP($J$49*$E$54)</f>
        <v>1.2274808102531853E-3</v>
      </c>
      <c r="F100" s="160">
        <f>$K$43*EXP($J$49*$F$54)</f>
        <v>1.6658011106656068E-3</v>
      </c>
      <c r="G100" s="160">
        <f>$K$43*EXP($J$49*$G$54)</f>
        <v>2.2606409135817024E-3</v>
      </c>
      <c r="H100" s="160">
        <f>$K$43*EXP($J$49*$H$54)</f>
        <v>3.0678916633195808E-3</v>
      </c>
      <c r="I100" s="160">
        <f>$K$43*EXP($J$49*$I$54)</f>
        <v>4.1634030426148981E-3</v>
      </c>
      <c r="J100" s="160">
        <f>$K$43*EXP($J$49*$J$54)</f>
        <v>5.650109846610101E-3</v>
      </c>
      <c r="K100" s="160">
        <f>$K$43*EXP($J$49*$K$54)</f>
        <v>7.6677037875031483E-3</v>
      </c>
      <c r="L100" s="160">
        <f>$K$43*EXP($J$49*$L$54)</f>
        <v>1.0405758997440491E-2</v>
      </c>
      <c r="M100" s="160">
        <f>$K$43*EXP($J$49*$M$54)</f>
        <v>1.4121544508447046E-2</v>
      </c>
      <c r="N100" s="160">
        <f>$K$43*EXP($J$49*$N$54)</f>
        <v>1.9164197378884314E-2</v>
      </c>
      <c r="O100" s="160">
        <f>$K$43*EXP($J$49*$O$54)</f>
        <v>2.6007527785445107E-2</v>
      </c>
      <c r="P100" s="160">
        <f>$K$43*EXP($J$49*$P$54)</f>
        <v>3.529453846347709E-2</v>
      </c>
      <c r="Q100" s="160">
        <f>$K$43*EXP($J$49*$Q$54)</f>
        <v>4.7897841564433968E-2</v>
      </c>
      <c r="R100" s="160">
        <f>$K$43*EXP($J$49*$R$54)</f>
        <v>6.5001649728489028E-2</v>
      </c>
      <c r="S100" s="160">
        <f>$K$43*EXP($J$49*$S$54)</f>
        <v>8.8213045294353337E-2</v>
      </c>
      <c r="T100" s="160">
        <f>$K$43*EXP($J$49*$T$54)</f>
        <v>0.11971298255670455</v>
      </c>
      <c r="U100" s="160">
        <f>$K$43*EXP($J$49*$U$54)</f>
        <v>0.16246121131858529</v>
      </c>
      <c r="V100" s="160">
        <f>$K$43*EXP($J$49*$V$54)</f>
        <v>0.22047437645787563</v>
      </c>
      <c r="W100" s="160">
        <f>$K$43*EXP($J$49*$W$54)</f>
        <v>0.29920342388169968</v>
      </c>
    </row>
    <row r="101" spans="1:32" s="161" customFormat="1" x14ac:dyDescent="0.2">
      <c r="A101" s="161" t="s">
        <v>359</v>
      </c>
      <c r="B101" s="161">
        <f>$Q$43*EXP($P$49*$B$54)</f>
        <v>4.8322072812898232E-4</v>
      </c>
      <c r="C101" s="161">
        <f>$Q$43*EXP($P$49*$C$54)</f>
        <v>6.6095754702941525E-4</v>
      </c>
      <c r="D101" s="161">
        <f>$Q$43*EXP($P$49*$D$54)</f>
        <v>9.0406899692956229E-4</v>
      </c>
      <c r="E101" s="161">
        <f>$Q$43*EXP($P$49*$E$54)</f>
        <v>1.2366009812319306E-3</v>
      </c>
      <c r="F101" s="161">
        <f>$Q$43*EXP($P$49*$F$54)</f>
        <v>1.6914438964030917E-3</v>
      </c>
      <c r="G101" s="161">
        <f>$Q$43*EXP($P$49*$G$54)</f>
        <v>2.3135857872513539E-3</v>
      </c>
      <c r="H101" s="161">
        <f>$Q$43*EXP($P$49*$H$54)</f>
        <v>3.1645620681561518E-3</v>
      </c>
      <c r="I101" s="161">
        <f>$Q$43*EXP($P$49*$I$54)</f>
        <v>4.3285419275981831E-3</v>
      </c>
      <c r="J101" s="161">
        <f>$Q$43*EXP($P$49*$J$54)</f>
        <v>5.9206534160008411E-3</v>
      </c>
      <c r="K101" s="161">
        <f>$Q$43*EXP($P$49*$K$54)</f>
        <v>8.0983706427566488E-3</v>
      </c>
      <c r="L101" s="161">
        <f>$Q$43*EXP($P$49*$L$54)</f>
        <v>1.1077089378381795E-2</v>
      </c>
      <c r="M101" s="161">
        <f>$Q$43*EXP($P$49*$M$54)</f>
        <v>1.5151431628583937E-2</v>
      </c>
      <c r="N101" s="161">
        <f>$Q$43*EXP($P$49*$N$54)</f>
        <v>2.0724386393746876E-2</v>
      </c>
      <c r="O101" s="161">
        <f>$Q$43*EXP($P$49*$O$54)</f>
        <v>2.8347168896373245E-2</v>
      </c>
      <c r="P101" s="161">
        <f>$Q$43*EXP($P$49*$P$54)</f>
        <v>3.8773740711665568E-2</v>
      </c>
      <c r="Q101" s="161">
        <f>$Q$43*EXP($P$49*$Q$54)</f>
        <v>5.3035383331272209E-2</v>
      </c>
      <c r="R101" s="161">
        <f>$Q$43*EXP($P$49*$R$54)</f>
        <v>7.2542701154669209E-2</v>
      </c>
      <c r="S101" s="161">
        <f>$Q$43*EXP($P$49*$S$54)</f>
        <v>9.9225142919117104E-2</v>
      </c>
      <c r="T101" s="161">
        <f>$Q$43*EXP($P$49*$T$54)</f>
        <v>0.13572184148929353</v>
      </c>
      <c r="U101" s="161">
        <f>$Q$43*EXP($P$49*$U$54)</f>
        <v>0.18564264777386383</v>
      </c>
      <c r="V101" s="161">
        <f>$Q$43*EXP($P$49*$V$54)</f>
        <v>0.25392517736512937</v>
      </c>
    </row>
    <row r="102" spans="1:32" s="169" customFormat="1" x14ac:dyDescent="0.2">
      <c r="A102" s="169" t="s">
        <v>360</v>
      </c>
      <c r="B102" s="169">
        <f>$W$43*EXP($V$49*$B$54)</f>
        <v>5.6000323152845071E-4</v>
      </c>
      <c r="C102" s="169">
        <f>$W$43*EXP($V$49*$C$54)</f>
        <v>7.5291484694511857E-4</v>
      </c>
      <c r="D102" s="169">
        <f>$W$43*EXP($V$49*$D$54)</f>
        <v>1.012281242026353E-3</v>
      </c>
      <c r="E102" s="169">
        <f>$W$43*EXP($V$49*$E$54)</f>
        <v>1.3609949612709779E-3</v>
      </c>
      <c r="F102" s="169">
        <f>$W$43*EXP($V$49*$F$54)</f>
        <v>1.8298346424923371E-3</v>
      </c>
      <c r="G102" s="169">
        <f>$W$43*EXP($V$49*$G$54)</f>
        <v>2.4601816422143265E-3</v>
      </c>
      <c r="H102" s="169">
        <f>$W$43*EXP($V$49*$H$54)</f>
        <v>3.3076724924414745E-3</v>
      </c>
      <c r="I102" s="169">
        <f>$W$43*EXP($V$49*$I$54)</f>
        <v>4.4471095668393969E-3</v>
      </c>
      <c r="J102" s="169">
        <f>$W$43*EXP($V$49*$J$54)</f>
        <v>5.9790633881278777E-3</v>
      </c>
      <c r="K102" s="169">
        <f>$W$43*EXP($V$49*$K$54)</f>
        <v>8.03874931839345E-3</v>
      </c>
      <c r="L102" s="169">
        <f>$W$43*EXP($V$49*$L$54)</f>
        <v>1.0807962118663035E-2</v>
      </c>
      <c r="M102" s="169">
        <f>$W$43*EXP($V$49*$M$54)</f>
        <v>1.4531121761836473E-2</v>
      </c>
      <c r="N102" s="169">
        <f>$W$43*EXP($V$49*$N$54)</f>
        <v>1.9536846756031904E-2</v>
      </c>
      <c r="O102" s="169">
        <f>$W$43*EXP($V$49*$O$54)</f>
        <v>2.6266959111932688E-2</v>
      </c>
      <c r="P102" s="169">
        <f>$W$43*EXP($V$49*$P$54)</f>
        <v>3.5315481029451416E-2</v>
      </c>
      <c r="Q102" s="169">
        <f>$W$43*EXP($V$49*$Q$54)</f>
        <v>4.7481065281552402E-2</v>
      </c>
      <c r="R102" s="169">
        <f>$W$43*EXP($V$49*$R$54)</f>
        <v>6.3837486976063978E-2</v>
      </c>
      <c r="S102" s="169">
        <f>$W$43*EXP($V$49*$S$54)</f>
        <v>8.5828418533871131E-2</v>
      </c>
      <c r="T102" s="169">
        <f>$W$43*EXP($V$49*$T$54)</f>
        <v>0.11539485303967945</v>
      </c>
      <c r="U102" s="169">
        <f>$W$43*EXP($V$49*$U$54)</f>
        <v>0.1551464227759741</v>
      </c>
      <c r="V102" s="169">
        <f>$W$43*EXP($V$49*$V$54)</f>
        <v>0.20859173408630696</v>
      </c>
      <c r="W102" s="169">
        <f>$W$43*EXP($V$49*$W$54)</f>
        <v>0.28044804869242923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637EE-9C92-2844-A0F7-2E356E7CFF57}">
  <sheetPr codeName="Sheet47"/>
  <dimension ref="A42:AF102"/>
  <sheetViews>
    <sheetView workbookViewId="0"/>
  </sheetViews>
  <sheetFormatPr baseColWidth="10" defaultRowHeight="15" x14ac:dyDescent="0.2"/>
  <sheetData>
    <row r="42" spans="9:24" x14ac:dyDescent="0.2">
      <c r="I42" t="s">
        <v>249</v>
      </c>
      <c r="O42" t="s">
        <v>249</v>
      </c>
      <c r="U42" t="s">
        <v>249</v>
      </c>
    </row>
    <row r="43" spans="9:24" x14ac:dyDescent="0.2">
      <c r="I43" t="s">
        <v>250</v>
      </c>
      <c r="J43" s="159">
        <f t="array" ref="J43:K47">LOGEST($B$94:$P$94,$B$54:$P$54,TRUE,TRUE)</f>
        <v>1.0004740090554063</v>
      </c>
      <c r="K43" s="159">
        <v>3.5756680140882539E-4</v>
      </c>
      <c r="L43" t="s">
        <v>255</v>
      </c>
      <c r="O43" t="s">
        <v>250</v>
      </c>
      <c r="P43" s="159">
        <f t="array" ref="P43:Q47">LOGEST($B$95:$R$95,$B$54:$R$54,TRUE,TRUE)</f>
        <v>1.0004325208502669</v>
      </c>
      <c r="Q43" s="159">
        <v>5.0421944778860023E-4</v>
      </c>
      <c r="R43" t="s">
        <v>255</v>
      </c>
      <c r="U43" t="s">
        <v>250</v>
      </c>
      <c r="V43" s="159">
        <f t="array" ref="V43:W47">LOGEST($B$96:$S$96,$B$54:$S$54,TRUE,TRUE)</f>
        <v>1.0004158357804804</v>
      </c>
      <c r="W43" s="159">
        <v>5.6611821071809803E-4</v>
      </c>
      <c r="X43" t="s">
        <v>255</v>
      </c>
    </row>
    <row r="44" spans="9:24" x14ac:dyDescent="0.2">
      <c r="I44" t="s">
        <v>251</v>
      </c>
      <c r="J44" s="159">
        <v>8.9003405446546902E-6</v>
      </c>
      <c r="K44" s="159">
        <v>6.5899903285869824E-2</v>
      </c>
      <c r="L44" t="s">
        <v>256</v>
      </c>
      <c r="O44" t="s">
        <v>251</v>
      </c>
      <c r="P44" s="159">
        <v>1.2707414182948491E-5</v>
      </c>
      <c r="Q44" s="159">
        <v>0.10729742096169974</v>
      </c>
      <c r="R44" t="s">
        <v>256</v>
      </c>
      <c r="U44" t="s">
        <v>251</v>
      </c>
      <c r="V44" s="159">
        <v>1.1299876524874023E-5</v>
      </c>
      <c r="W44" s="159">
        <v>0.10128550954892016</v>
      </c>
      <c r="X44" t="s">
        <v>256</v>
      </c>
    </row>
    <row r="45" spans="9:24" x14ac:dyDescent="0.2">
      <c r="I45" t="s">
        <v>252</v>
      </c>
      <c r="J45" s="159">
        <v>0.9954354052583495</v>
      </c>
      <c r="K45" s="159">
        <v>0.13405295793086835</v>
      </c>
      <c r="L45" t="s">
        <v>257</v>
      </c>
      <c r="O45" t="s">
        <v>252</v>
      </c>
      <c r="P45" s="159">
        <v>0.98721237383323324</v>
      </c>
      <c r="Q45" s="159">
        <v>0.23103513384855998</v>
      </c>
      <c r="R45" t="s">
        <v>257</v>
      </c>
      <c r="U45" t="s">
        <v>252</v>
      </c>
      <c r="V45" s="159">
        <v>0.98831843239224182</v>
      </c>
      <c r="W45" s="159">
        <v>0.2238779648458975</v>
      </c>
      <c r="X45" t="s">
        <v>257</v>
      </c>
    </row>
    <row r="46" spans="9:24" x14ac:dyDescent="0.2">
      <c r="I46" t="s">
        <v>253</v>
      </c>
      <c r="J46" s="159">
        <v>2835.0074871442635</v>
      </c>
      <c r="K46" s="159">
        <v>13</v>
      </c>
      <c r="L46" t="s">
        <v>258</v>
      </c>
      <c r="O46" t="s">
        <v>253</v>
      </c>
      <c r="P46" s="159">
        <v>1158.0089544674754</v>
      </c>
      <c r="Q46" s="159">
        <v>15</v>
      </c>
      <c r="R46" t="s">
        <v>258</v>
      </c>
      <c r="U46" t="s">
        <v>253</v>
      </c>
      <c r="V46" s="159">
        <v>1353.6791849557726</v>
      </c>
      <c r="W46" s="159">
        <v>16</v>
      </c>
      <c r="X46" t="s">
        <v>258</v>
      </c>
    </row>
    <row r="47" spans="9:24" x14ac:dyDescent="0.2">
      <c r="I47" t="s">
        <v>254</v>
      </c>
      <c r="J47" s="159">
        <v>50.94563887303935</v>
      </c>
      <c r="K47" s="159">
        <v>0.23361254189019703</v>
      </c>
      <c r="L47" t="s">
        <v>259</v>
      </c>
      <c r="O47" t="s">
        <v>254</v>
      </c>
      <c r="P47" s="159">
        <v>61.811313862562187</v>
      </c>
      <c r="Q47" s="159">
        <v>0.80065849608633044</v>
      </c>
      <c r="R47" t="s">
        <v>259</v>
      </c>
      <c r="U47" t="s">
        <v>254</v>
      </c>
      <c r="V47" s="159">
        <v>67.848218935437075</v>
      </c>
      <c r="W47" s="159">
        <v>0.80194149029665474</v>
      </c>
      <c r="X47" t="s">
        <v>259</v>
      </c>
    </row>
    <row r="49" spans="1:32" x14ac:dyDescent="0.2">
      <c r="I49" t="s">
        <v>260</v>
      </c>
      <c r="J49">
        <f>LN($J$43)</f>
        <v>4.7389674860221111E-4</v>
      </c>
      <c r="O49" t="s">
        <v>260</v>
      </c>
      <c r="P49">
        <f>LN($P$43)</f>
        <v>4.3242734008637669E-4</v>
      </c>
      <c r="U49" t="s">
        <v>260</v>
      </c>
      <c r="V49">
        <f>LN($V$43)</f>
        <v>4.1574934474348759E-4</v>
      </c>
    </row>
    <row r="50" spans="1:32" x14ac:dyDescent="0.2">
      <c r="I50" t="s">
        <v>261</v>
      </c>
      <c r="J50">
        <f>ROUND(LN(2)/$J$49, 1)</f>
        <v>1462.7</v>
      </c>
      <c r="O50" t="s">
        <v>261</v>
      </c>
      <c r="P50">
        <f>ROUND(LN(2)/$P$49, 1)</f>
        <v>1602.9</v>
      </c>
      <c r="U50" t="s">
        <v>261</v>
      </c>
      <c r="V50">
        <f>ROUND(LN(2)/$V$49, 1)</f>
        <v>1667.2</v>
      </c>
    </row>
    <row r="51" spans="1:32" x14ac:dyDescent="0.2">
      <c r="I51" t="s">
        <v>204</v>
      </c>
      <c r="J51" s="155">
        <f>ROUND($J$50/60, 1)</f>
        <v>24.4</v>
      </c>
      <c r="O51" t="s">
        <v>204</v>
      </c>
      <c r="P51" s="155">
        <f>ROUND($P$50/60, 1)</f>
        <v>26.7</v>
      </c>
      <c r="U51" t="s">
        <v>204</v>
      </c>
      <c r="V51" s="155">
        <f>ROUND($V$50/60, 1)</f>
        <v>27.8</v>
      </c>
    </row>
    <row r="54" spans="1:32" x14ac:dyDescent="0.2">
      <c r="A54" t="s">
        <v>206</v>
      </c>
      <c r="B54" s="166">
        <v>0</v>
      </c>
      <c r="C54" s="166">
        <v>900.1</v>
      </c>
      <c r="D54" s="166">
        <v>1800.2</v>
      </c>
      <c r="E54" s="166">
        <v>2700.3</v>
      </c>
      <c r="F54" s="166">
        <v>3600.4</v>
      </c>
      <c r="G54" s="166">
        <v>4500.5</v>
      </c>
      <c r="H54" s="166">
        <v>5400.6</v>
      </c>
      <c r="I54" s="166">
        <v>6300.7</v>
      </c>
      <c r="J54" s="166">
        <v>7200.8</v>
      </c>
      <c r="K54" s="166">
        <v>8100.9</v>
      </c>
      <c r="L54" s="166">
        <v>9001</v>
      </c>
      <c r="M54" s="166">
        <v>9901.1</v>
      </c>
      <c r="N54" s="166">
        <v>10801.2</v>
      </c>
      <c r="O54" s="166">
        <v>11701.3</v>
      </c>
      <c r="P54" s="166">
        <v>12601.4</v>
      </c>
      <c r="Q54" s="166">
        <v>13501.5</v>
      </c>
      <c r="R54" s="166">
        <v>14401.6</v>
      </c>
      <c r="S54" s="166">
        <v>15301.7</v>
      </c>
      <c r="T54" s="166">
        <v>16201.8</v>
      </c>
      <c r="U54" s="166">
        <v>17101.900000000001</v>
      </c>
      <c r="V54" s="166">
        <v>18002</v>
      </c>
      <c r="W54" s="166">
        <v>18902.099999999999</v>
      </c>
      <c r="X54" s="166">
        <v>19802.2</v>
      </c>
      <c r="Y54" s="166">
        <v>20702.3</v>
      </c>
      <c r="Z54" s="166">
        <v>21602.400000000001</v>
      </c>
      <c r="AA54" s="166">
        <v>22502.5</v>
      </c>
      <c r="AB54" s="166">
        <v>23402.6</v>
      </c>
      <c r="AC54" s="166">
        <v>24302.7</v>
      </c>
      <c r="AD54" s="166">
        <v>25202.799999999999</v>
      </c>
      <c r="AE54" s="166">
        <v>26102.9</v>
      </c>
      <c r="AF54" s="166">
        <v>27003</v>
      </c>
    </row>
    <row r="55" spans="1:32" x14ac:dyDescent="0.2">
      <c r="A55" s="156" t="s">
        <v>361</v>
      </c>
      <c r="B55" s="156">
        <v>0.10660000145435333</v>
      </c>
      <c r="C55" s="156">
        <v>0.1062999963760376</v>
      </c>
      <c r="D55" s="156">
        <v>0.10649999976158142</v>
      </c>
      <c r="E55" s="156">
        <v>0.10700000077486038</v>
      </c>
      <c r="F55" s="156">
        <v>0.10740000009536743</v>
      </c>
      <c r="G55" s="156">
        <v>0.10840000212192535</v>
      </c>
      <c r="H55" s="156">
        <v>0.10980000346899033</v>
      </c>
      <c r="I55" s="156">
        <v>0.11209999769926071</v>
      </c>
      <c r="J55" s="156">
        <v>0.11640000343322754</v>
      </c>
      <c r="K55" s="156">
        <v>0.12300000339746475</v>
      </c>
      <c r="L55" s="156">
        <v>0.13379999995231628</v>
      </c>
      <c r="M55" s="156">
        <v>0.14869999885559082</v>
      </c>
      <c r="N55" s="156">
        <v>0.16949999332427979</v>
      </c>
      <c r="O55" s="156">
        <v>0.19699999690055847</v>
      </c>
      <c r="P55" s="156">
        <v>0.23100000619888306</v>
      </c>
      <c r="Q55" s="156">
        <v>0.26829999685287476</v>
      </c>
      <c r="R55" s="156">
        <v>0.31369999051094055</v>
      </c>
      <c r="S55" s="156">
        <v>0.35969999432563782</v>
      </c>
      <c r="T55" s="156">
        <v>0.39620000123977661</v>
      </c>
      <c r="U55" s="156">
        <v>0.42480000853538513</v>
      </c>
      <c r="V55" s="156">
        <f t="shared" ref="V55:V57" si="0">AVERAGE(U55,W55)</f>
        <v>0.43170000612735748</v>
      </c>
      <c r="W55" s="156">
        <v>0.43860000371932983</v>
      </c>
      <c r="X55" s="156">
        <v>0.43759998679161072</v>
      </c>
      <c r="Y55" s="156">
        <v>0.43290001153945923</v>
      </c>
      <c r="Z55" s="156">
        <v>0.42820000648498535</v>
      </c>
      <c r="AA55" s="156">
        <v>0.4260999858379364</v>
      </c>
      <c r="AB55" s="156">
        <v>0.42519998550415039</v>
      </c>
      <c r="AC55" s="156">
        <v>0.42820000648498535</v>
      </c>
      <c r="AD55" s="156">
        <v>0.43160000443458557</v>
      </c>
      <c r="AE55" s="156">
        <v>0.43790000677108765</v>
      </c>
      <c r="AF55" s="156">
        <v>0.44740000367164612</v>
      </c>
    </row>
    <row r="56" spans="1:32" x14ac:dyDescent="0.2">
      <c r="A56" s="157" t="s">
        <v>362</v>
      </c>
      <c r="B56" s="157">
        <v>0.10620000213384628</v>
      </c>
      <c r="C56" s="157">
        <v>0.10639999806880951</v>
      </c>
      <c r="D56" s="157">
        <v>0.10610000044107437</v>
      </c>
      <c r="E56" s="157">
        <v>0.10660000145435333</v>
      </c>
      <c r="F56" s="157">
        <v>0.10710000246763229</v>
      </c>
      <c r="G56" s="157">
        <v>0.1080000028014183</v>
      </c>
      <c r="H56" s="157">
        <v>0.10930000245571136</v>
      </c>
      <c r="I56" s="157">
        <v>0.11180000007152557</v>
      </c>
      <c r="J56" s="157">
        <v>0.11580000072717667</v>
      </c>
      <c r="K56" s="157">
        <v>0.12269999831914902</v>
      </c>
      <c r="L56" s="157">
        <v>0.13330000638961792</v>
      </c>
      <c r="M56" s="157">
        <v>0.14810000360012054</v>
      </c>
      <c r="N56" s="157">
        <v>0.16899999976158142</v>
      </c>
      <c r="O56" s="157">
        <v>0.19670000672340393</v>
      </c>
      <c r="P56" s="157">
        <v>0.23109999299049377</v>
      </c>
      <c r="Q56" s="157">
        <v>0.26989999413490295</v>
      </c>
      <c r="R56" s="157">
        <v>0.31279999017715454</v>
      </c>
      <c r="S56" s="157">
        <v>0.36000001430511475</v>
      </c>
      <c r="T56" s="157">
        <v>0.39649999141693115</v>
      </c>
      <c r="U56" s="157">
        <v>0.42519998550415039</v>
      </c>
      <c r="V56" s="157">
        <f t="shared" si="0"/>
        <v>0.43274998664855957</v>
      </c>
      <c r="W56" s="157">
        <v>0.44029998779296875</v>
      </c>
      <c r="X56" s="157">
        <v>0.44020000100135803</v>
      </c>
      <c r="Y56" s="157">
        <v>0.43450000882148743</v>
      </c>
      <c r="Z56" s="157">
        <v>0.43009999394416809</v>
      </c>
      <c r="AA56" s="157">
        <v>0.42599999904632568</v>
      </c>
      <c r="AB56" s="157">
        <v>0.42640000581741333</v>
      </c>
      <c r="AC56" s="157">
        <v>0.42649999260902405</v>
      </c>
      <c r="AD56" s="157">
        <v>0.43140000104904175</v>
      </c>
      <c r="AE56" s="157">
        <v>0.43639999628067017</v>
      </c>
      <c r="AF56" s="157">
        <v>0.44620001316070557</v>
      </c>
    </row>
    <row r="57" spans="1:32" x14ac:dyDescent="0.2">
      <c r="A57" s="168" t="s">
        <v>363</v>
      </c>
      <c r="B57" s="168">
        <v>0.10570000112056732</v>
      </c>
      <c r="C57" s="168">
        <v>0.10570000112056732</v>
      </c>
      <c r="D57" s="168">
        <v>0.10570000112056732</v>
      </c>
      <c r="E57" s="168">
        <v>0.10599999874830246</v>
      </c>
      <c r="F57" s="168">
        <v>0.10689999908208847</v>
      </c>
      <c r="G57" s="168">
        <v>0.10729999840259552</v>
      </c>
      <c r="H57" s="168">
        <v>0.10859999805688858</v>
      </c>
      <c r="I57" s="168">
        <v>0.11219999939203262</v>
      </c>
      <c r="J57" s="168">
        <v>0.11469999700784683</v>
      </c>
      <c r="K57" s="168">
        <v>0.12129999697208405</v>
      </c>
      <c r="L57" s="168">
        <v>0.13140000402927399</v>
      </c>
      <c r="M57" s="168">
        <v>0.14679999649524689</v>
      </c>
      <c r="N57" s="168">
        <v>0.16539999842643738</v>
      </c>
      <c r="O57" s="168">
        <v>0.19220000505447388</v>
      </c>
      <c r="P57" s="168">
        <v>0.22560000419616699</v>
      </c>
      <c r="Q57" s="168">
        <v>0.26399999856948853</v>
      </c>
      <c r="R57" s="168">
        <v>0.30799999833106995</v>
      </c>
      <c r="S57" s="168">
        <v>0.35550001263618469</v>
      </c>
      <c r="T57" s="168">
        <v>0.39419999718666077</v>
      </c>
      <c r="U57" s="168">
        <v>0.42410001158714294</v>
      </c>
      <c r="V57" s="168">
        <f t="shared" si="0"/>
        <v>0.43355000019073486</v>
      </c>
      <c r="W57" s="168">
        <v>0.44299998879432678</v>
      </c>
      <c r="X57" s="168">
        <v>0.44470000267028809</v>
      </c>
      <c r="Y57" s="168">
        <v>0.44040000438690186</v>
      </c>
      <c r="Z57" s="168">
        <v>0.43619999289512634</v>
      </c>
      <c r="AA57" s="168">
        <v>0.43299999833106995</v>
      </c>
      <c r="AB57" s="168">
        <v>0.43079999089241028</v>
      </c>
      <c r="AC57" s="168">
        <v>0.43509998917579651</v>
      </c>
      <c r="AD57" s="168">
        <v>0.4357999861240387</v>
      </c>
      <c r="AE57" s="168">
        <v>0.44310000538825989</v>
      </c>
      <c r="AF57" s="168">
        <v>0.44909998774528503</v>
      </c>
    </row>
    <row r="58" spans="1:32" x14ac:dyDescent="0.2">
      <c r="A58" s="158" t="s">
        <v>209</v>
      </c>
      <c r="B58" s="158">
        <v>0.10480000078678131</v>
      </c>
      <c r="C58" s="158">
        <v>0.1046999990940094</v>
      </c>
      <c r="D58" s="158">
        <v>0.1046999990940094</v>
      </c>
      <c r="E58" s="158">
        <v>0.10480000078678131</v>
      </c>
      <c r="F58" s="158">
        <v>0.10459999740123749</v>
      </c>
      <c r="G58" s="158">
        <v>0.10450000315904617</v>
      </c>
      <c r="H58" s="158">
        <v>0.10440000146627426</v>
      </c>
      <c r="I58" s="158">
        <v>0.10429999977350235</v>
      </c>
      <c r="J58" s="158">
        <v>0.10419999808073044</v>
      </c>
      <c r="K58" s="158">
        <v>0.10419999808073044</v>
      </c>
      <c r="L58" s="158">
        <v>0.10419999808073044</v>
      </c>
      <c r="M58" s="158">
        <v>0.10409999638795853</v>
      </c>
      <c r="N58" s="158">
        <v>0.10400000214576721</v>
      </c>
      <c r="O58" s="158">
        <v>0.1039000004529953</v>
      </c>
      <c r="P58" s="158">
        <v>0.10379999876022339</v>
      </c>
      <c r="Q58" s="158">
        <v>0.10379999876022339</v>
      </c>
      <c r="R58" s="158">
        <v>0.1039000004529953</v>
      </c>
      <c r="S58" s="158">
        <v>0.10360000282526016</v>
      </c>
      <c r="T58" s="158">
        <v>0.10360000282526016</v>
      </c>
      <c r="U58" s="158">
        <v>0.10379999876022339</v>
      </c>
      <c r="V58" s="158">
        <f>AVERAGE(U58,W58)</f>
        <v>0.10359999909996986</v>
      </c>
      <c r="W58" s="158">
        <v>0.10339999943971634</v>
      </c>
      <c r="X58" s="158">
        <v>0.10329999774694443</v>
      </c>
      <c r="Y58" s="158">
        <v>0.10320000350475311</v>
      </c>
      <c r="Z58" s="158">
        <v>0.10320000350475311</v>
      </c>
      <c r="AA58" s="158">
        <v>0.1031000018119812</v>
      </c>
      <c r="AB58" s="158">
        <v>0.1031000018119812</v>
      </c>
      <c r="AC58" s="158">
        <v>0.10300000011920929</v>
      </c>
      <c r="AD58" s="158">
        <v>0.10300000011920929</v>
      </c>
      <c r="AE58" s="158">
        <v>0.10289999842643738</v>
      </c>
      <c r="AF58" s="158">
        <v>0.10289999842643738</v>
      </c>
    </row>
    <row r="59" spans="1:32" x14ac:dyDescent="0.2">
      <c r="A59" s="158" t="s">
        <v>210</v>
      </c>
      <c r="B59" s="158">
        <v>0.10660000145435333</v>
      </c>
      <c r="C59" s="158">
        <v>0.10649999976158142</v>
      </c>
      <c r="D59" s="158">
        <v>0.10649999976158142</v>
      </c>
      <c r="E59" s="158">
        <v>0.10649999976158142</v>
      </c>
      <c r="F59" s="158">
        <v>0.10639999806880951</v>
      </c>
      <c r="G59" s="158">
        <v>0.1062999963760376</v>
      </c>
      <c r="H59" s="158">
        <v>0.1062999963760376</v>
      </c>
      <c r="I59" s="158">
        <v>0.10610000044107437</v>
      </c>
      <c r="J59" s="158">
        <v>0.10610000044107437</v>
      </c>
      <c r="K59" s="158">
        <v>0.10610000044107437</v>
      </c>
      <c r="L59" s="158">
        <v>0.10610000044107437</v>
      </c>
      <c r="M59" s="158">
        <v>0.10599999874830246</v>
      </c>
      <c r="N59" s="158">
        <v>0.10589999705553055</v>
      </c>
      <c r="O59" s="158">
        <v>0.10589999705553055</v>
      </c>
      <c r="P59" s="158">
        <v>0.10570000112056732</v>
      </c>
      <c r="Q59" s="158">
        <v>0.10570000112056732</v>
      </c>
      <c r="R59" s="158">
        <v>0.10570000112056732</v>
      </c>
      <c r="S59" s="158">
        <v>0.10559999942779541</v>
      </c>
      <c r="T59" s="158">
        <v>0.10559999942779541</v>
      </c>
      <c r="U59" s="158">
        <v>0.10559999942779541</v>
      </c>
      <c r="V59" s="158">
        <f t="shared" ref="V59:V93" si="1">AVERAGE(U59,W59)</f>
        <v>0.1055000014603138</v>
      </c>
      <c r="W59" s="158">
        <v>0.10540000349283218</v>
      </c>
      <c r="X59" s="158">
        <v>0.10540000349283218</v>
      </c>
      <c r="Y59" s="158">
        <v>0.10530000180006027</v>
      </c>
      <c r="Z59" s="158">
        <v>0.10530000180006027</v>
      </c>
      <c r="AA59" s="158">
        <v>0.10520000010728836</v>
      </c>
      <c r="AB59" s="158">
        <v>0.10520000010728836</v>
      </c>
      <c r="AC59" s="158">
        <v>0.10520000010728836</v>
      </c>
      <c r="AD59" s="158">
        <v>0.10509999841451645</v>
      </c>
      <c r="AE59" s="158">
        <v>0.10509999841451645</v>
      </c>
      <c r="AF59" s="158">
        <v>0.10509999841451645</v>
      </c>
    </row>
    <row r="60" spans="1:32" x14ac:dyDescent="0.2">
      <c r="A60" s="158" t="s">
        <v>211</v>
      </c>
      <c r="B60" s="158">
        <v>0.10740000009536743</v>
      </c>
      <c r="C60" s="158">
        <v>0.10740000009536743</v>
      </c>
      <c r="D60" s="158">
        <v>0.10729999840259552</v>
      </c>
      <c r="E60" s="158">
        <v>0.10729999840259552</v>
      </c>
      <c r="F60" s="158">
        <v>0.10719999670982361</v>
      </c>
      <c r="G60" s="158">
        <v>0.10719999670982361</v>
      </c>
      <c r="H60" s="158">
        <v>0.10710000246763229</v>
      </c>
      <c r="I60" s="158">
        <v>0.10689999908208847</v>
      </c>
      <c r="J60" s="158">
        <v>0.10689999908208847</v>
      </c>
      <c r="K60" s="158">
        <v>0.10710000246763229</v>
      </c>
      <c r="L60" s="158">
        <v>0.10679999738931656</v>
      </c>
      <c r="M60" s="158">
        <v>0.10670000314712524</v>
      </c>
      <c r="N60" s="158">
        <v>0.10670000314712524</v>
      </c>
      <c r="O60" s="158">
        <v>0.10660000145435333</v>
      </c>
      <c r="P60" s="158">
        <v>0.10649999976158142</v>
      </c>
      <c r="Q60" s="158">
        <v>0.10649999976158142</v>
      </c>
      <c r="R60" s="158">
        <v>0.10639999806880951</v>
      </c>
      <c r="S60" s="158">
        <v>0.1062999963760376</v>
      </c>
      <c r="T60" s="158">
        <v>0.1062999963760376</v>
      </c>
      <c r="U60" s="158">
        <v>0.1062999963760376</v>
      </c>
      <c r="V60" s="158">
        <f t="shared" si="1"/>
        <v>0.10624999925494194</v>
      </c>
      <c r="W60" s="158">
        <v>0.10620000213384628</v>
      </c>
      <c r="X60" s="158">
        <v>0.10610000044107437</v>
      </c>
      <c r="Y60" s="158">
        <v>0.10610000044107437</v>
      </c>
      <c r="Z60" s="158">
        <v>0.10599999874830246</v>
      </c>
      <c r="AA60" s="158">
        <v>0.10589999705553055</v>
      </c>
      <c r="AB60" s="158">
        <v>0.10589999705553055</v>
      </c>
      <c r="AC60" s="158">
        <v>0.10599999874830246</v>
      </c>
      <c r="AD60" s="158">
        <v>0.10580000281333923</v>
      </c>
      <c r="AE60" s="158">
        <v>0.10580000281333923</v>
      </c>
      <c r="AF60" s="158">
        <v>0.10580000281333923</v>
      </c>
    </row>
    <row r="61" spans="1:32" x14ac:dyDescent="0.2">
      <c r="A61" s="158" t="s">
        <v>212</v>
      </c>
      <c r="B61" s="158">
        <v>0.10700000077486038</v>
      </c>
      <c r="C61" s="158">
        <v>0.10689999908208847</v>
      </c>
      <c r="D61" s="158">
        <v>0.10679999738931656</v>
      </c>
      <c r="E61" s="158">
        <v>0.10689999908208847</v>
      </c>
      <c r="F61" s="158">
        <v>0.10670000314712524</v>
      </c>
      <c r="G61" s="158">
        <v>0.10689999908208847</v>
      </c>
      <c r="H61" s="158">
        <v>0.10660000145435333</v>
      </c>
      <c r="I61" s="158">
        <v>0.10639999806880951</v>
      </c>
      <c r="J61" s="158">
        <v>0.10639999806880951</v>
      </c>
      <c r="K61" s="158">
        <v>0.1062999963760376</v>
      </c>
      <c r="L61" s="158">
        <v>0.1062999963760376</v>
      </c>
      <c r="M61" s="158">
        <v>0.1062999963760376</v>
      </c>
      <c r="N61" s="158">
        <v>0.10620000213384628</v>
      </c>
      <c r="O61" s="158">
        <v>0.10610000044107437</v>
      </c>
      <c r="P61" s="158">
        <v>0.10599999874830246</v>
      </c>
      <c r="Q61" s="158">
        <v>0.10599999874830246</v>
      </c>
      <c r="R61" s="158">
        <v>0.10599999874830246</v>
      </c>
      <c r="S61" s="158">
        <v>0.10580000281333923</v>
      </c>
      <c r="T61" s="158">
        <v>0.10580000281333923</v>
      </c>
      <c r="U61" s="158">
        <v>0.10580000281333923</v>
      </c>
      <c r="V61" s="158">
        <f t="shared" si="1"/>
        <v>0.10575000196695328</v>
      </c>
      <c r="W61" s="158">
        <v>0.10570000112056732</v>
      </c>
      <c r="X61" s="158">
        <v>0.10559999942779541</v>
      </c>
      <c r="Y61" s="158">
        <v>0.10559999942779541</v>
      </c>
      <c r="Z61" s="158">
        <v>0.10559999942779541</v>
      </c>
      <c r="AA61" s="158">
        <v>0.10540000349283218</v>
      </c>
      <c r="AB61" s="158">
        <v>0.10540000349283218</v>
      </c>
      <c r="AC61" s="158">
        <v>0.10540000349283218</v>
      </c>
      <c r="AD61" s="158">
        <v>0.10540000349283218</v>
      </c>
      <c r="AE61" s="158">
        <v>0.10530000180006027</v>
      </c>
      <c r="AF61" s="158">
        <v>0.10530000180006027</v>
      </c>
    </row>
    <row r="62" spans="1:32" x14ac:dyDescent="0.2">
      <c r="A62" s="158" t="s">
        <v>213</v>
      </c>
      <c r="B62" s="158">
        <v>0.10570000112056732</v>
      </c>
      <c r="C62" s="158">
        <v>0.1054999977350235</v>
      </c>
      <c r="D62" s="158">
        <v>0.1054999977350235</v>
      </c>
      <c r="E62" s="158">
        <v>0.1054999977350235</v>
      </c>
      <c r="F62" s="158">
        <v>0.10540000349283218</v>
      </c>
      <c r="G62" s="158">
        <v>0.10530000180006027</v>
      </c>
      <c r="H62" s="158">
        <v>0.10520000010728836</v>
      </c>
      <c r="I62" s="158">
        <v>0.10520000010728836</v>
      </c>
      <c r="J62" s="158">
        <v>0.10499999672174454</v>
      </c>
      <c r="K62" s="158">
        <v>0.10499999672174454</v>
      </c>
      <c r="L62" s="158">
        <v>0.10499999672174454</v>
      </c>
      <c r="M62" s="158">
        <v>0.10490000247955322</v>
      </c>
      <c r="N62" s="158">
        <v>0.10490000247955322</v>
      </c>
      <c r="O62" s="158">
        <v>0.10480000078678131</v>
      </c>
      <c r="P62" s="158">
        <v>0.10459999740123749</v>
      </c>
      <c r="Q62" s="158">
        <v>0.10459999740123749</v>
      </c>
      <c r="R62" s="158">
        <v>0.10459999740123749</v>
      </c>
      <c r="S62" s="158">
        <v>0.10440000146627426</v>
      </c>
      <c r="T62" s="158">
        <v>0.10450000315904617</v>
      </c>
      <c r="U62" s="158">
        <v>0.10450000315904617</v>
      </c>
      <c r="V62" s="158">
        <f t="shared" si="1"/>
        <v>0.10445000231266022</v>
      </c>
      <c r="W62" s="158">
        <v>0.10440000146627426</v>
      </c>
      <c r="X62" s="158">
        <v>0.10440000146627426</v>
      </c>
      <c r="Y62" s="158">
        <v>0.10429999977350235</v>
      </c>
      <c r="Z62" s="158">
        <v>0.10419999808073044</v>
      </c>
      <c r="AA62" s="158">
        <v>0.10419999808073044</v>
      </c>
      <c r="AB62" s="158">
        <v>0.10419999808073044</v>
      </c>
      <c r="AC62" s="158">
        <v>0.10440000146627426</v>
      </c>
      <c r="AD62" s="158">
        <v>0.10409999638795853</v>
      </c>
      <c r="AE62" s="158">
        <v>0.10400000214576721</v>
      </c>
      <c r="AF62" s="158">
        <v>0.10400000214576721</v>
      </c>
    </row>
    <row r="63" spans="1:32" x14ac:dyDescent="0.2">
      <c r="A63" s="158" t="s">
        <v>214</v>
      </c>
      <c r="B63" s="158">
        <v>0.10689999908208847</v>
      </c>
      <c r="C63" s="158">
        <v>0.10679999738931656</v>
      </c>
      <c r="D63" s="158">
        <v>0.10679999738931656</v>
      </c>
      <c r="E63" s="158">
        <v>0.10679999738931656</v>
      </c>
      <c r="F63" s="158">
        <v>0.10670000314712524</v>
      </c>
      <c r="G63" s="158">
        <v>0.10660000145435333</v>
      </c>
      <c r="H63" s="158">
        <v>0.10649999976158142</v>
      </c>
      <c r="I63" s="158">
        <v>0.1062999963760376</v>
      </c>
      <c r="J63" s="158">
        <v>0.1062999963760376</v>
      </c>
      <c r="K63" s="158">
        <v>0.10620000213384628</v>
      </c>
      <c r="L63" s="158">
        <v>0.1062999963760376</v>
      </c>
      <c r="M63" s="158">
        <v>0.10620000213384628</v>
      </c>
      <c r="N63" s="158">
        <v>0.10610000044107437</v>
      </c>
      <c r="O63" s="158">
        <v>0.10610000044107437</v>
      </c>
      <c r="P63" s="158">
        <v>0.10580000281333923</v>
      </c>
      <c r="Q63" s="158">
        <v>0.10589999705553055</v>
      </c>
      <c r="R63" s="158">
        <v>0.10580000281333923</v>
      </c>
      <c r="S63" s="158">
        <v>0.10570000112056732</v>
      </c>
      <c r="T63" s="158">
        <v>0.10570000112056732</v>
      </c>
      <c r="U63" s="158">
        <v>0.10570000112056732</v>
      </c>
      <c r="V63" s="158">
        <f t="shared" si="1"/>
        <v>0.10565000027418137</v>
      </c>
      <c r="W63" s="158">
        <v>0.10559999942779541</v>
      </c>
      <c r="X63" s="158">
        <v>0.1054999977350235</v>
      </c>
      <c r="Y63" s="158">
        <v>0.1054999977350235</v>
      </c>
      <c r="Z63" s="158">
        <v>0.10540000349283218</v>
      </c>
      <c r="AA63" s="158">
        <v>0.10540000349283218</v>
      </c>
      <c r="AB63" s="158">
        <v>0.10540000349283218</v>
      </c>
      <c r="AC63" s="158">
        <v>0.10540000349283218</v>
      </c>
      <c r="AD63" s="158">
        <v>0.10530000180006027</v>
      </c>
      <c r="AE63" s="158">
        <v>0.10520000010728836</v>
      </c>
      <c r="AF63" s="158">
        <v>0.10530000180006027</v>
      </c>
    </row>
    <row r="64" spans="1:32" x14ac:dyDescent="0.2">
      <c r="A64" s="158" t="s">
        <v>215</v>
      </c>
      <c r="B64" s="158">
        <v>0.10819999873638153</v>
      </c>
      <c r="C64" s="158">
        <v>0.10790000110864639</v>
      </c>
      <c r="D64" s="158">
        <v>0.10779999941587448</v>
      </c>
      <c r="E64" s="158">
        <v>0.1080000028014183</v>
      </c>
      <c r="F64" s="158">
        <v>0.10760000348091125</v>
      </c>
      <c r="G64" s="158">
        <v>0.10750000178813934</v>
      </c>
      <c r="H64" s="158">
        <v>0.10740000009536743</v>
      </c>
      <c r="I64" s="158">
        <v>0.10719999670982361</v>
      </c>
      <c r="J64" s="158">
        <v>0.10719999670982361</v>
      </c>
      <c r="K64" s="158">
        <v>0.10710000246763229</v>
      </c>
      <c r="L64" s="158">
        <v>0.10719999670982361</v>
      </c>
      <c r="M64" s="158">
        <v>0.10700000077486038</v>
      </c>
      <c r="N64" s="158">
        <v>0.10700000077486038</v>
      </c>
      <c r="O64" s="158">
        <v>0.10700000077486038</v>
      </c>
      <c r="P64" s="158">
        <v>0.10679999738931656</v>
      </c>
      <c r="Q64" s="158">
        <v>0.10679999738931656</v>
      </c>
      <c r="R64" s="158">
        <v>0.10670000314712524</v>
      </c>
      <c r="S64" s="158">
        <v>0.10660000145435333</v>
      </c>
      <c r="T64" s="158">
        <v>0.10660000145435333</v>
      </c>
      <c r="U64" s="158">
        <v>0.10660000145435333</v>
      </c>
      <c r="V64" s="158">
        <f t="shared" si="1"/>
        <v>0.10655000060796738</v>
      </c>
      <c r="W64" s="158">
        <v>0.10649999976158142</v>
      </c>
      <c r="X64" s="158">
        <v>0.10649999976158142</v>
      </c>
      <c r="Y64" s="158">
        <v>0.1062999963760376</v>
      </c>
      <c r="Z64" s="158">
        <v>0.1062999963760376</v>
      </c>
      <c r="AA64" s="158">
        <v>0.1062999963760376</v>
      </c>
      <c r="AB64" s="158">
        <v>0.1062999963760376</v>
      </c>
      <c r="AC64" s="158">
        <v>0.1062999963760376</v>
      </c>
      <c r="AD64" s="158">
        <v>0.10620000213384628</v>
      </c>
      <c r="AE64" s="158">
        <v>0.10610000044107437</v>
      </c>
      <c r="AF64" s="158">
        <v>0.10610000044107437</v>
      </c>
    </row>
    <row r="65" spans="1:32" x14ac:dyDescent="0.2">
      <c r="A65" s="158" t="s">
        <v>216</v>
      </c>
      <c r="B65" s="158">
        <v>0.10639999806880951</v>
      </c>
      <c r="C65" s="158">
        <v>0.10599999874830246</v>
      </c>
      <c r="D65" s="158">
        <v>0.10589999705553055</v>
      </c>
      <c r="E65" s="158">
        <v>0.10840000212192535</v>
      </c>
      <c r="F65" s="158">
        <v>0.10869999974966049</v>
      </c>
      <c r="G65" s="158">
        <v>0.10819999873638153</v>
      </c>
      <c r="H65" s="158">
        <v>0.10819999873638153</v>
      </c>
      <c r="I65" s="158">
        <v>0.1080000028014183</v>
      </c>
      <c r="J65" s="158">
        <v>0.10779999941587448</v>
      </c>
      <c r="K65" s="158">
        <v>0.1080000028014183</v>
      </c>
      <c r="L65" s="158">
        <v>0.10830000042915344</v>
      </c>
      <c r="M65" s="158">
        <v>0.1080000028014183</v>
      </c>
      <c r="N65" s="158">
        <v>0.10809999704360962</v>
      </c>
      <c r="O65" s="158">
        <v>0.10779999941587448</v>
      </c>
      <c r="P65" s="158">
        <v>0.10740000009536743</v>
      </c>
      <c r="Q65" s="158">
        <v>0.10760000348091125</v>
      </c>
      <c r="R65" s="158">
        <v>0.10760000348091125</v>
      </c>
      <c r="S65" s="158">
        <v>0.1080000028014183</v>
      </c>
      <c r="T65" s="158">
        <v>0.10750000178813934</v>
      </c>
      <c r="U65" s="158">
        <v>0.10750000178813934</v>
      </c>
      <c r="V65" s="158">
        <f t="shared" si="1"/>
        <v>0.1075500026345253</v>
      </c>
      <c r="W65" s="158">
        <v>0.10760000348091125</v>
      </c>
      <c r="X65" s="158">
        <v>0.10779999941587448</v>
      </c>
      <c r="Y65" s="158">
        <v>0.10740000009536743</v>
      </c>
      <c r="Z65" s="158">
        <v>0.10750000178813934</v>
      </c>
      <c r="AA65" s="158">
        <v>0.10920000076293945</v>
      </c>
      <c r="AB65" s="158">
        <v>0.10830000042915344</v>
      </c>
      <c r="AC65" s="158">
        <v>0.10909999907016754</v>
      </c>
      <c r="AD65" s="158">
        <v>0.10819999873638153</v>
      </c>
      <c r="AE65" s="158">
        <v>0.10740000009536743</v>
      </c>
      <c r="AF65" s="158">
        <v>0.10849999636411667</v>
      </c>
    </row>
    <row r="66" spans="1:32" x14ac:dyDescent="0.2">
      <c r="A66" s="158" t="s">
        <v>217</v>
      </c>
      <c r="B66" s="158">
        <v>0.10580000281333923</v>
      </c>
      <c r="C66" s="158">
        <v>0.10570000112056732</v>
      </c>
      <c r="D66" s="158">
        <v>0.10570000112056732</v>
      </c>
      <c r="E66" s="158">
        <v>0.10580000281333923</v>
      </c>
      <c r="F66" s="158">
        <v>0.1054999977350235</v>
      </c>
      <c r="G66" s="158">
        <v>0.10559999942779541</v>
      </c>
      <c r="H66" s="158">
        <v>0.10540000349283218</v>
      </c>
      <c r="I66" s="158">
        <v>0.10530000180006027</v>
      </c>
      <c r="J66" s="158">
        <v>0.10520000010728836</v>
      </c>
      <c r="K66" s="158">
        <v>0.10520000010728836</v>
      </c>
      <c r="L66" s="158">
        <v>0.10520000010728836</v>
      </c>
      <c r="M66" s="158">
        <v>0.10509999841451645</v>
      </c>
      <c r="N66" s="158">
        <v>0.10509999841451645</v>
      </c>
      <c r="O66" s="158">
        <v>0.10499999672174454</v>
      </c>
      <c r="P66" s="158">
        <v>0.10480000078678131</v>
      </c>
      <c r="Q66" s="158">
        <v>0.10480000078678131</v>
      </c>
      <c r="R66" s="158">
        <v>0.10480000078678131</v>
      </c>
      <c r="S66" s="158">
        <v>0.1046999990940094</v>
      </c>
      <c r="T66" s="158">
        <v>0.1046999990940094</v>
      </c>
      <c r="U66" s="158">
        <v>0.1046999990940094</v>
      </c>
      <c r="V66" s="158">
        <f t="shared" si="1"/>
        <v>0.10464999824762344</v>
      </c>
      <c r="W66" s="158">
        <v>0.10459999740123749</v>
      </c>
      <c r="X66" s="158">
        <v>0.10459999740123749</v>
      </c>
      <c r="Y66" s="158">
        <v>0.10450000315904617</v>
      </c>
      <c r="Z66" s="158">
        <v>0.10450000315904617</v>
      </c>
      <c r="AA66" s="158">
        <v>0.10429999977350235</v>
      </c>
      <c r="AB66" s="158">
        <v>0.10429999977350235</v>
      </c>
      <c r="AC66" s="158">
        <v>0.10429999977350235</v>
      </c>
      <c r="AD66" s="158">
        <v>0.10429999977350235</v>
      </c>
      <c r="AE66" s="158">
        <v>0.10419999808073044</v>
      </c>
      <c r="AF66" s="158">
        <v>0.10419999808073044</v>
      </c>
    </row>
    <row r="67" spans="1:32" x14ac:dyDescent="0.2">
      <c r="A67" s="158" t="s">
        <v>218</v>
      </c>
      <c r="B67" s="158">
        <v>0.10999999940395355</v>
      </c>
      <c r="C67" s="158">
        <v>0.10859999805688858</v>
      </c>
      <c r="D67" s="158">
        <v>0.1088000014424324</v>
      </c>
      <c r="E67" s="158">
        <v>0.10869999974966049</v>
      </c>
      <c r="F67" s="158">
        <v>0.10859999805688858</v>
      </c>
      <c r="G67" s="158">
        <v>0.10890000313520432</v>
      </c>
      <c r="H67" s="158">
        <v>0.10849999636411667</v>
      </c>
      <c r="I67" s="158">
        <v>0.10830000042915344</v>
      </c>
      <c r="J67" s="158">
        <v>0.10840000212192535</v>
      </c>
      <c r="K67" s="158">
        <v>0.10809999704360962</v>
      </c>
      <c r="L67" s="158">
        <v>0.10869999974966049</v>
      </c>
      <c r="M67" s="158">
        <v>0.10849999636411667</v>
      </c>
      <c r="N67" s="158">
        <v>0.10859999805688858</v>
      </c>
      <c r="O67" s="158">
        <v>0.10849999636411667</v>
      </c>
      <c r="P67" s="158">
        <v>0.1080000028014183</v>
      </c>
      <c r="Q67" s="158">
        <v>0.10769999772310257</v>
      </c>
      <c r="R67" s="158">
        <v>0.10769999772310257</v>
      </c>
      <c r="S67" s="158">
        <v>0.1080000028014183</v>
      </c>
      <c r="T67" s="158">
        <v>0.10769999772310257</v>
      </c>
      <c r="U67" s="158">
        <v>0.10809999704360962</v>
      </c>
      <c r="V67" s="158">
        <f t="shared" si="1"/>
        <v>0.10794999822974205</v>
      </c>
      <c r="W67" s="158">
        <v>0.10779999941587448</v>
      </c>
      <c r="X67" s="158">
        <v>0.10740000009536743</v>
      </c>
      <c r="Y67" s="158">
        <v>0.10750000178813934</v>
      </c>
      <c r="Z67" s="158">
        <v>0.10750000178813934</v>
      </c>
      <c r="AA67" s="158">
        <v>0.10620000213384628</v>
      </c>
      <c r="AB67" s="158">
        <v>0.10670000314712524</v>
      </c>
      <c r="AC67" s="158">
        <v>0.10620000213384628</v>
      </c>
      <c r="AD67" s="158">
        <v>0.10700000077486038</v>
      </c>
      <c r="AE67" s="158">
        <v>0.10679999738931656</v>
      </c>
      <c r="AF67" s="158">
        <v>0.10639999806880951</v>
      </c>
    </row>
    <row r="68" spans="1:32" x14ac:dyDescent="0.2">
      <c r="A68" s="158" t="s">
        <v>219</v>
      </c>
      <c r="B68" s="158">
        <v>0.10649999976158142</v>
      </c>
      <c r="C68" s="158">
        <v>0.10620000213384628</v>
      </c>
      <c r="D68" s="158">
        <v>0.10610000044107437</v>
      </c>
      <c r="E68" s="158">
        <v>0.10639999806880951</v>
      </c>
      <c r="F68" s="158">
        <v>0.10620000213384628</v>
      </c>
      <c r="G68" s="158">
        <v>0.10620000213384628</v>
      </c>
      <c r="H68" s="158">
        <v>0.10610000044107437</v>
      </c>
      <c r="I68" s="158">
        <v>0.10589999705553055</v>
      </c>
      <c r="J68" s="158">
        <v>0.10610000044107437</v>
      </c>
      <c r="K68" s="158">
        <v>0.10589999705553055</v>
      </c>
      <c r="L68" s="158">
        <v>0.10589999705553055</v>
      </c>
      <c r="M68" s="158">
        <v>0.10570000112056732</v>
      </c>
      <c r="N68" s="158">
        <v>0.10570000112056732</v>
      </c>
      <c r="O68" s="158">
        <v>0.10559999942779541</v>
      </c>
      <c r="P68" s="158">
        <v>0.10540000349283218</v>
      </c>
      <c r="Q68" s="158">
        <v>0.10540000349283218</v>
      </c>
      <c r="R68" s="158">
        <v>0.10540000349283218</v>
      </c>
      <c r="S68" s="158">
        <v>0.10530000180006027</v>
      </c>
      <c r="T68" s="158">
        <v>0.10530000180006027</v>
      </c>
      <c r="U68" s="158">
        <v>0.10530000180006027</v>
      </c>
      <c r="V68" s="158">
        <f t="shared" si="1"/>
        <v>0.10525000095367432</v>
      </c>
      <c r="W68" s="158">
        <v>0.10520000010728836</v>
      </c>
      <c r="X68" s="158">
        <v>0.10509999841451645</v>
      </c>
      <c r="Y68" s="158">
        <v>0.10499999672174454</v>
      </c>
      <c r="Z68" s="158">
        <v>0.10520000010728836</v>
      </c>
      <c r="AA68" s="158">
        <v>0.10490000247955322</v>
      </c>
      <c r="AB68" s="158">
        <v>0.10490000247955322</v>
      </c>
      <c r="AC68" s="158">
        <v>0.10490000247955322</v>
      </c>
      <c r="AD68" s="158">
        <v>0.10480000078678131</v>
      </c>
      <c r="AE68" s="158">
        <v>0.10499999672174454</v>
      </c>
      <c r="AF68" s="158">
        <v>0.10480000078678131</v>
      </c>
    </row>
    <row r="69" spans="1:32" x14ac:dyDescent="0.2">
      <c r="A69" s="158" t="s">
        <v>220</v>
      </c>
      <c r="B69" s="158">
        <v>0.10679999738931656</v>
      </c>
      <c r="C69" s="158">
        <v>0.10660000145435333</v>
      </c>
      <c r="D69" s="158">
        <v>0.10649999976158142</v>
      </c>
      <c r="E69" s="158">
        <v>0.10649999976158142</v>
      </c>
      <c r="F69" s="158">
        <v>0.1062999963760376</v>
      </c>
      <c r="G69" s="158">
        <v>0.10620000213384628</v>
      </c>
      <c r="H69" s="158">
        <v>0.10610000044107437</v>
      </c>
      <c r="I69" s="158">
        <v>0.10599999874830246</v>
      </c>
      <c r="J69" s="158">
        <v>0.10589999705553055</v>
      </c>
      <c r="K69" s="158">
        <v>0.10589999705553055</v>
      </c>
      <c r="L69" s="158">
        <v>0.10589999705553055</v>
      </c>
      <c r="M69" s="158">
        <v>0.10580000281333923</v>
      </c>
      <c r="N69" s="158">
        <v>0.10570000112056732</v>
      </c>
      <c r="O69" s="158">
        <v>0.10559999942779541</v>
      </c>
      <c r="P69" s="158">
        <v>0.10540000349283218</v>
      </c>
      <c r="Q69" s="158">
        <v>0.10540000349283218</v>
      </c>
      <c r="R69" s="158">
        <v>0.10530000180006027</v>
      </c>
      <c r="S69" s="158">
        <v>0.10520000010728836</v>
      </c>
      <c r="T69" s="158">
        <v>0.10520000010728836</v>
      </c>
      <c r="U69" s="158">
        <v>0.10520000010728836</v>
      </c>
      <c r="V69" s="158">
        <f t="shared" si="1"/>
        <v>0.10509999841451645</v>
      </c>
      <c r="W69" s="158">
        <v>0.10499999672174454</v>
      </c>
      <c r="X69" s="158">
        <v>0.10499999672174454</v>
      </c>
      <c r="Y69" s="158">
        <v>0.10480000078678131</v>
      </c>
      <c r="Z69" s="158">
        <v>0.10480000078678131</v>
      </c>
      <c r="AA69" s="158">
        <v>0.10459999740123749</v>
      </c>
      <c r="AB69" s="158">
        <v>0.10459999740123749</v>
      </c>
      <c r="AC69" s="158">
        <v>0.10459999740123749</v>
      </c>
      <c r="AD69" s="158">
        <v>0.10450000315904617</v>
      </c>
      <c r="AE69" s="158">
        <v>0.10440000146627426</v>
      </c>
      <c r="AF69" s="158">
        <v>0.10440000146627426</v>
      </c>
    </row>
    <row r="70" spans="1:32" x14ac:dyDescent="0.2">
      <c r="A70" s="158" t="s">
        <v>221</v>
      </c>
      <c r="B70" s="158">
        <v>0.10620000213384628</v>
      </c>
      <c r="C70" s="158">
        <v>0.10610000044107437</v>
      </c>
      <c r="D70" s="158">
        <v>0.10599999874830246</v>
      </c>
      <c r="E70" s="158">
        <v>0.10610000044107437</v>
      </c>
      <c r="F70" s="158">
        <v>0.10589999705553055</v>
      </c>
      <c r="G70" s="158">
        <v>0.10599999874830246</v>
      </c>
      <c r="H70" s="158">
        <v>0.10589999705553055</v>
      </c>
      <c r="I70" s="158">
        <v>0.10580000281333923</v>
      </c>
      <c r="J70" s="158">
        <v>0.10570000112056732</v>
      </c>
      <c r="K70" s="158">
        <v>0.10570000112056732</v>
      </c>
      <c r="L70" s="158">
        <v>0.10580000281333923</v>
      </c>
      <c r="M70" s="158">
        <v>0.10570000112056732</v>
      </c>
      <c r="N70" s="158">
        <v>0.10559999942779541</v>
      </c>
      <c r="O70" s="158">
        <v>0.10540000349283218</v>
      </c>
      <c r="P70" s="158">
        <v>0.10530000180006027</v>
      </c>
      <c r="Q70" s="158">
        <v>0.10530000180006027</v>
      </c>
      <c r="R70" s="158">
        <v>0.10520000010728836</v>
      </c>
      <c r="S70" s="158">
        <v>0.10530000180006027</v>
      </c>
      <c r="T70" s="158">
        <v>0.10530000180006027</v>
      </c>
      <c r="U70" s="158">
        <v>0.10540000349283218</v>
      </c>
      <c r="V70" s="158">
        <f t="shared" si="1"/>
        <v>0.10530000180006027</v>
      </c>
      <c r="W70" s="158">
        <v>0.10520000010728836</v>
      </c>
      <c r="X70" s="158">
        <v>0.10520000010728836</v>
      </c>
      <c r="Y70" s="158">
        <v>0.10499999672174454</v>
      </c>
      <c r="Z70" s="158">
        <v>0.10490000247955322</v>
      </c>
      <c r="AA70" s="158">
        <v>0.10490000247955322</v>
      </c>
      <c r="AB70" s="158">
        <v>0.10480000078678131</v>
      </c>
      <c r="AC70" s="158">
        <v>0.1046999990940094</v>
      </c>
      <c r="AD70" s="158">
        <v>0.10480000078678131</v>
      </c>
      <c r="AE70" s="158">
        <v>0.1046999990940094</v>
      </c>
      <c r="AF70" s="158">
        <v>0.10480000078678131</v>
      </c>
    </row>
    <row r="71" spans="1:32" x14ac:dyDescent="0.2">
      <c r="A71" s="158" t="s">
        <v>222</v>
      </c>
      <c r="B71" s="158">
        <v>0.10649999976158142</v>
      </c>
      <c r="C71" s="158">
        <v>0.10610000044107437</v>
      </c>
      <c r="D71" s="158">
        <v>0.10599999874830246</v>
      </c>
      <c r="E71" s="158">
        <v>0.10610000044107437</v>
      </c>
      <c r="F71" s="158">
        <v>0.10589999705553055</v>
      </c>
      <c r="G71" s="158">
        <v>0.10580000281333923</v>
      </c>
      <c r="H71" s="158">
        <v>0.10570000112056732</v>
      </c>
      <c r="I71" s="158">
        <v>0.10559999942779541</v>
      </c>
      <c r="J71" s="158">
        <v>0.1054999977350235</v>
      </c>
      <c r="K71" s="158">
        <v>0.1054999977350235</v>
      </c>
      <c r="L71" s="158">
        <v>0.1054999977350235</v>
      </c>
      <c r="M71" s="158">
        <v>0.10540000349283218</v>
      </c>
      <c r="N71" s="158">
        <v>0.10540000349283218</v>
      </c>
      <c r="O71" s="158">
        <v>0.10530000180006027</v>
      </c>
      <c r="P71" s="158">
        <v>0.10499999672174454</v>
      </c>
      <c r="Q71" s="158">
        <v>0.10499999672174454</v>
      </c>
      <c r="R71" s="158">
        <v>0.10499999672174454</v>
      </c>
      <c r="S71" s="158">
        <v>0.10490000247955322</v>
      </c>
      <c r="T71" s="158">
        <v>0.10490000247955322</v>
      </c>
      <c r="U71" s="158">
        <v>0.10490000247955322</v>
      </c>
      <c r="V71" s="158">
        <f t="shared" si="1"/>
        <v>0.10485000163316727</v>
      </c>
      <c r="W71" s="158">
        <v>0.10480000078678131</v>
      </c>
      <c r="X71" s="158">
        <v>0.10480000078678131</v>
      </c>
      <c r="Y71" s="158">
        <v>0.1046999990940094</v>
      </c>
      <c r="Z71" s="158">
        <v>0.10450000315904617</v>
      </c>
      <c r="AA71" s="158">
        <v>0.10450000315904617</v>
      </c>
      <c r="AB71" s="158">
        <v>0.10450000315904617</v>
      </c>
      <c r="AC71" s="158">
        <v>0.10440000146627426</v>
      </c>
      <c r="AD71" s="158">
        <v>0.10440000146627426</v>
      </c>
      <c r="AE71" s="158">
        <v>0.10440000146627426</v>
      </c>
      <c r="AF71" s="158">
        <v>0.10429999977350235</v>
      </c>
    </row>
    <row r="72" spans="1:32" x14ac:dyDescent="0.2">
      <c r="A72" s="158" t="s">
        <v>223</v>
      </c>
      <c r="B72" s="158">
        <v>0.10710000246763229</v>
      </c>
      <c r="C72" s="158">
        <v>0.10689999908208847</v>
      </c>
      <c r="D72" s="158">
        <v>0.10679999738931656</v>
      </c>
      <c r="E72" s="158">
        <v>0.10679999738931656</v>
      </c>
      <c r="F72" s="158">
        <v>0.10689999908208847</v>
      </c>
      <c r="G72" s="158">
        <v>0.10670000314712524</v>
      </c>
      <c r="H72" s="158">
        <v>0.10670000314712524</v>
      </c>
      <c r="I72" s="158">
        <v>0.10649999976158142</v>
      </c>
      <c r="J72" s="158">
        <v>0.10649999976158142</v>
      </c>
      <c r="K72" s="158">
        <v>0.10639999806880951</v>
      </c>
      <c r="L72" s="158">
        <v>0.10649999976158142</v>
      </c>
      <c r="M72" s="158">
        <v>0.10639999806880951</v>
      </c>
      <c r="N72" s="158">
        <v>0.1062999963760376</v>
      </c>
      <c r="O72" s="158">
        <v>0.10620000213384628</v>
      </c>
      <c r="P72" s="158">
        <v>0.10610000044107437</v>
      </c>
      <c r="Q72" s="158">
        <v>0.10599999874830246</v>
      </c>
      <c r="R72" s="158">
        <v>0.10599999874830246</v>
      </c>
      <c r="S72" s="158">
        <v>0.10610000044107437</v>
      </c>
      <c r="T72" s="158">
        <v>0.10610000044107437</v>
      </c>
      <c r="U72" s="158">
        <v>0.10610000044107437</v>
      </c>
      <c r="V72" s="158">
        <f t="shared" si="1"/>
        <v>0.10610000044107437</v>
      </c>
      <c r="W72" s="158">
        <v>0.10610000044107437</v>
      </c>
      <c r="X72" s="158">
        <v>0.10599999874830246</v>
      </c>
      <c r="Y72" s="158">
        <v>0.10589999705553055</v>
      </c>
      <c r="Z72" s="158">
        <v>0.10580000281333923</v>
      </c>
      <c r="AA72" s="158">
        <v>0.10589999705553055</v>
      </c>
      <c r="AB72" s="158">
        <v>0.10559999942779541</v>
      </c>
      <c r="AC72" s="158">
        <v>0.10559999942779541</v>
      </c>
      <c r="AD72" s="158">
        <v>0.10559999942779541</v>
      </c>
      <c r="AE72" s="158">
        <v>0.10559999942779541</v>
      </c>
      <c r="AF72" s="158">
        <v>0.10589999705553055</v>
      </c>
    </row>
    <row r="73" spans="1:32" x14ac:dyDescent="0.2">
      <c r="A73" s="158" t="s">
        <v>224</v>
      </c>
      <c r="B73" s="158">
        <v>0.10710000246763229</v>
      </c>
      <c r="C73" s="158">
        <v>0.10679999738931656</v>
      </c>
      <c r="D73" s="158">
        <v>0.10670000314712524</v>
      </c>
      <c r="E73" s="158">
        <v>0.10670000314712524</v>
      </c>
      <c r="F73" s="158">
        <v>0.10660000145435333</v>
      </c>
      <c r="G73" s="158">
        <v>0.10660000145435333</v>
      </c>
      <c r="H73" s="158">
        <v>0.10639999806880951</v>
      </c>
      <c r="I73" s="158">
        <v>0.1062999963760376</v>
      </c>
      <c r="J73" s="158">
        <v>0.10620000213384628</v>
      </c>
      <c r="K73" s="158">
        <v>0.10620000213384628</v>
      </c>
      <c r="L73" s="158">
        <v>0.10620000213384628</v>
      </c>
      <c r="M73" s="158">
        <v>0.10599999874830246</v>
      </c>
      <c r="N73" s="158">
        <v>0.10589999705553055</v>
      </c>
      <c r="O73" s="158">
        <v>0.10570000112056732</v>
      </c>
      <c r="P73" s="158">
        <v>0.1054999977350235</v>
      </c>
      <c r="Q73" s="158">
        <v>0.1054999977350235</v>
      </c>
      <c r="R73" s="158">
        <v>0.1054999977350235</v>
      </c>
      <c r="S73" s="158">
        <v>0.1054999977350235</v>
      </c>
      <c r="T73" s="158">
        <v>0.10559999942779541</v>
      </c>
      <c r="U73" s="158">
        <v>0.10570000112056732</v>
      </c>
      <c r="V73" s="158">
        <f t="shared" si="1"/>
        <v>0.10559999942779541</v>
      </c>
      <c r="W73" s="158">
        <v>0.1054999977350235</v>
      </c>
      <c r="X73" s="158">
        <v>0.10540000349283218</v>
      </c>
      <c r="Y73" s="158">
        <v>0.10520000010728836</v>
      </c>
      <c r="Z73" s="158">
        <v>0.10509999841451645</v>
      </c>
      <c r="AA73" s="158">
        <v>0.10490000247955322</v>
      </c>
      <c r="AB73" s="158">
        <v>0.10480000078678131</v>
      </c>
      <c r="AC73" s="158">
        <v>0.10480000078678131</v>
      </c>
      <c r="AD73" s="158">
        <v>0.10480000078678131</v>
      </c>
      <c r="AE73" s="158">
        <v>0.1046999990940094</v>
      </c>
      <c r="AF73" s="158">
        <v>0.10490000247955322</v>
      </c>
    </row>
    <row r="74" spans="1:32" x14ac:dyDescent="0.2">
      <c r="A74" s="158" t="s">
        <v>225</v>
      </c>
      <c r="B74" s="158">
        <v>0.10719999670982361</v>
      </c>
      <c r="C74" s="158">
        <v>0.10719999670982361</v>
      </c>
      <c r="D74" s="158">
        <v>0.10719999670982361</v>
      </c>
      <c r="E74" s="158">
        <v>0.10729999840259552</v>
      </c>
      <c r="F74" s="158">
        <v>0.10729999840259552</v>
      </c>
      <c r="G74" s="158">
        <v>0.10740000009536743</v>
      </c>
      <c r="H74" s="158">
        <v>0.10729999840259552</v>
      </c>
      <c r="I74" s="158">
        <v>0.10729999840259552</v>
      </c>
      <c r="J74" s="158">
        <v>0.10719999670982361</v>
      </c>
      <c r="K74" s="158">
        <v>0.10719999670982361</v>
      </c>
      <c r="L74" s="158">
        <v>0.10719999670982361</v>
      </c>
      <c r="M74" s="158">
        <v>0.10729999840259552</v>
      </c>
      <c r="N74" s="158">
        <v>0.10689999908208847</v>
      </c>
      <c r="O74" s="158">
        <v>0.10679999738931656</v>
      </c>
      <c r="P74" s="158">
        <v>0.10660000145435333</v>
      </c>
      <c r="Q74" s="158">
        <v>0.10660000145435333</v>
      </c>
      <c r="R74" s="158">
        <v>0.10660000145435333</v>
      </c>
      <c r="S74" s="158">
        <v>0.10670000314712524</v>
      </c>
      <c r="T74" s="158">
        <v>0.10679999738931656</v>
      </c>
      <c r="U74" s="158">
        <v>0.10689999908208847</v>
      </c>
      <c r="V74" s="158">
        <f t="shared" si="1"/>
        <v>0.10684999823570251</v>
      </c>
      <c r="W74" s="158">
        <v>0.10679999738931656</v>
      </c>
      <c r="X74" s="158">
        <v>0.10679999738931656</v>
      </c>
      <c r="Y74" s="158">
        <v>0.10649999976158142</v>
      </c>
      <c r="Z74" s="158">
        <v>0.1062999963760376</v>
      </c>
      <c r="AA74" s="158">
        <v>0.10620000213384628</v>
      </c>
      <c r="AB74" s="158">
        <v>0.10610000044107437</v>
      </c>
      <c r="AC74" s="158">
        <v>0.10610000044107437</v>
      </c>
      <c r="AD74" s="158">
        <v>0.10610000044107437</v>
      </c>
      <c r="AE74" s="158">
        <v>0.10610000044107437</v>
      </c>
      <c r="AF74" s="158">
        <v>0.10620000213384628</v>
      </c>
    </row>
    <row r="75" spans="1:32" x14ac:dyDescent="0.2">
      <c r="A75" s="158" t="s">
        <v>226</v>
      </c>
      <c r="B75" s="158">
        <v>0.10740000009536743</v>
      </c>
      <c r="C75" s="158">
        <v>0.10710000246763229</v>
      </c>
      <c r="D75" s="158">
        <v>0.10710000246763229</v>
      </c>
      <c r="E75" s="158">
        <v>0.10700000077486038</v>
      </c>
      <c r="F75" s="158">
        <v>0.10689999908208847</v>
      </c>
      <c r="G75" s="158">
        <v>0.10719999670982361</v>
      </c>
      <c r="H75" s="158">
        <v>0.10679999738931656</v>
      </c>
      <c r="I75" s="158">
        <v>0.10670000314712524</v>
      </c>
      <c r="J75" s="158">
        <v>0.10670000314712524</v>
      </c>
      <c r="K75" s="158">
        <v>0.10670000314712524</v>
      </c>
      <c r="L75" s="158">
        <v>0.10670000314712524</v>
      </c>
      <c r="M75" s="158">
        <v>0.10649999976158142</v>
      </c>
      <c r="N75" s="158">
        <v>0.10639999806880951</v>
      </c>
      <c r="O75" s="158">
        <v>0.10620000213384628</v>
      </c>
      <c r="P75" s="158">
        <v>0.10599999874830246</v>
      </c>
      <c r="Q75" s="158">
        <v>0.10599999874830246</v>
      </c>
      <c r="R75" s="158">
        <v>0.10599999874830246</v>
      </c>
      <c r="S75" s="158">
        <v>0.10599999874830246</v>
      </c>
      <c r="T75" s="158">
        <v>0.10610000044107437</v>
      </c>
      <c r="U75" s="158">
        <v>0.10620000213384628</v>
      </c>
      <c r="V75" s="158">
        <f t="shared" si="1"/>
        <v>0.10615000128746033</v>
      </c>
      <c r="W75" s="158">
        <v>0.10610000044107437</v>
      </c>
      <c r="X75" s="158">
        <v>0.10599999874830246</v>
      </c>
      <c r="Y75" s="158">
        <v>0.10570000112056732</v>
      </c>
      <c r="Z75" s="158">
        <v>0.1054999977350235</v>
      </c>
      <c r="AA75" s="158">
        <v>0.10540000349283218</v>
      </c>
      <c r="AB75" s="158">
        <v>0.10540000349283218</v>
      </c>
      <c r="AC75" s="158">
        <v>0.10530000180006027</v>
      </c>
      <c r="AD75" s="158">
        <v>0.10540000349283218</v>
      </c>
      <c r="AE75" s="158">
        <v>0.10530000180006027</v>
      </c>
      <c r="AF75" s="158">
        <v>0.1054999977350235</v>
      </c>
    </row>
    <row r="76" spans="1:32" x14ac:dyDescent="0.2">
      <c r="A76" s="158" t="s">
        <v>227</v>
      </c>
      <c r="B76" s="158">
        <v>0.10859999805688858</v>
      </c>
      <c r="C76" s="158">
        <v>0.10819999873638153</v>
      </c>
      <c r="D76" s="158">
        <v>0.10809999704360962</v>
      </c>
      <c r="E76" s="158">
        <v>0.10819999873638153</v>
      </c>
      <c r="F76" s="158">
        <v>0.10809999704360962</v>
      </c>
      <c r="G76" s="158">
        <v>0.10819999873638153</v>
      </c>
      <c r="H76" s="158">
        <v>0.10809999704360962</v>
      </c>
      <c r="I76" s="158">
        <v>0.1080000028014183</v>
      </c>
      <c r="J76" s="158">
        <v>0.1080000028014183</v>
      </c>
      <c r="K76" s="158">
        <v>0.1080000028014183</v>
      </c>
      <c r="L76" s="158">
        <v>0.1080000028014183</v>
      </c>
      <c r="M76" s="158">
        <v>0.10779999941587448</v>
      </c>
      <c r="N76" s="158">
        <v>0.10769999772310257</v>
      </c>
      <c r="O76" s="158">
        <v>0.10750000178813934</v>
      </c>
      <c r="P76" s="158">
        <v>0.10729999840259552</v>
      </c>
      <c r="Q76" s="158">
        <v>0.10760000348091125</v>
      </c>
      <c r="R76" s="158">
        <v>0.10729999840259552</v>
      </c>
      <c r="S76" s="158">
        <v>0.10760000348091125</v>
      </c>
      <c r="T76" s="158">
        <v>0.10760000348091125</v>
      </c>
      <c r="U76" s="158">
        <v>0.10769999772310257</v>
      </c>
      <c r="V76" s="158">
        <f t="shared" si="1"/>
        <v>0.10799999907612801</v>
      </c>
      <c r="W76" s="158">
        <v>0.10830000042915344</v>
      </c>
      <c r="X76" s="158">
        <v>0.10819999873638153</v>
      </c>
      <c r="Y76" s="158">
        <v>0.10939999669790268</v>
      </c>
      <c r="Z76" s="158">
        <v>0.10899999737739563</v>
      </c>
      <c r="AA76" s="158">
        <v>0.10920000076293945</v>
      </c>
      <c r="AB76" s="158">
        <v>0.10930000245571136</v>
      </c>
      <c r="AC76" s="158">
        <v>0.10890000313520432</v>
      </c>
      <c r="AD76" s="158">
        <v>0.10890000313520432</v>
      </c>
      <c r="AE76" s="158">
        <v>0.1088000014424324</v>
      </c>
      <c r="AF76" s="158">
        <v>0.10830000042915344</v>
      </c>
    </row>
    <row r="77" spans="1:32" x14ac:dyDescent="0.2">
      <c r="A77" s="158" t="s">
        <v>228</v>
      </c>
      <c r="B77" s="158">
        <v>0.10719999670982361</v>
      </c>
      <c r="C77" s="158">
        <v>0.10660000145435333</v>
      </c>
      <c r="D77" s="158">
        <v>0.10660000145435333</v>
      </c>
      <c r="E77" s="158">
        <v>0.10660000145435333</v>
      </c>
      <c r="F77" s="158">
        <v>0.10639999806880951</v>
      </c>
      <c r="G77" s="158">
        <v>0.10649999976158142</v>
      </c>
      <c r="H77" s="158">
        <v>0.10660000145435333</v>
      </c>
      <c r="I77" s="158">
        <v>0.10620000213384628</v>
      </c>
      <c r="J77" s="158">
        <v>0.10620000213384628</v>
      </c>
      <c r="K77" s="158">
        <v>0.10620000213384628</v>
      </c>
      <c r="L77" s="158">
        <v>0.10610000044107437</v>
      </c>
      <c r="M77" s="158">
        <v>0.10589999705553055</v>
      </c>
      <c r="N77" s="158">
        <v>0.10580000281333923</v>
      </c>
      <c r="O77" s="158">
        <v>0.1054999977350235</v>
      </c>
      <c r="P77" s="158">
        <v>0.10530000180006027</v>
      </c>
      <c r="Q77" s="158">
        <v>0.10530000180006027</v>
      </c>
      <c r="R77" s="158">
        <v>0.10530000180006027</v>
      </c>
      <c r="S77" s="158">
        <v>0.10540000349283218</v>
      </c>
      <c r="T77" s="158">
        <v>0.10570000112056732</v>
      </c>
      <c r="U77" s="158">
        <v>0.10570000112056732</v>
      </c>
      <c r="V77" s="158">
        <f t="shared" si="1"/>
        <v>0.10610000044107437</v>
      </c>
      <c r="W77" s="158">
        <v>0.10649999976158142</v>
      </c>
      <c r="X77" s="158">
        <v>0.10639999806880951</v>
      </c>
      <c r="Y77" s="158">
        <v>0.10620000213384628</v>
      </c>
      <c r="Z77" s="158">
        <v>0.10580000281333923</v>
      </c>
      <c r="AA77" s="158">
        <v>0.10570000112056732</v>
      </c>
      <c r="AB77" s="158">
        <v>0.10559999942779541</v>
      </c>
      <c r="AC77" s="158">
        <v>0.10540000349283218</v>
      </c>
      <c r="AD77" s="158">
        <v>0.1054999977350235</v>
      </c>
      <c r="AE77" s="158">
        <v>0.1054999977350235</v>
      </c>
      <c r="AF77" s="158">
        <v>0.10580000281333923</v>
      </c>
    </row>
    <row r="78" spans="1:32" x14ac:dyDescent="0.2">
      <c r="A78" s="158" t="s">
        <v>229</v>
      </c>
      <c r="B78" s="158">
        <v>0.10790000110864639</v>
      </c>
      <c r="C78" s="158">
        <v>0.10760000348091125</v>
      </c>
      <c r="D78" s="158">
        <v>0.10750000178813934</v>
      </c>
      <c r="E78" s="158">
        <v>0.10750000178813934</v>
      </c>
      <c r="F78" s="158">
        <v>0.10750000178813934</v>
      </c>
      <c r="G78" s="158">
        <v>0.10760000348091125</v>
      </c>
      <c r="H78" s="158">
        <v>0.10750000178813934</v>
      </c>
      <c r="I78" s="158">
        <v>0.10750000178813934</v>
      </c>
      <c r="J78" s="158">
        <v>0.10740000009536743</v>
      </c>
      <c r="K78" s="158">
        <v>0.10740000009536743</v>
      </c>
      <c r="L78" s="158">
        <v>0.10740000009536743</v>
      </c>
      <c r="M78" s="158">
        <v>0.10719999670982361</v>
      </c>
      <c r="N78" s="158">
        <v>0.10700000077486038</v>
      </c>
      <c r="O78" s="158">
        <v>0.10670000314712524</v>
      </c>
      <c r="P78" s="158">
        <v>0.10679999738931656</v>
      </c>
      <c r="Q78" s="158">
        <v>0.10649999976158142</v>
      </c>
      <c r="R78" s="158">
        <v>0.10660000145435333</v>
      </c>
      <c r="S78" s="158">
        <v>0.10679999738931656</v>
      </c>
      <c r="T78" s="158">
        <v>0.10700000077486038</v>
      </c>
      <c r="U78" s="158">
        <v>0.10710000246763229</v>
      </c>
      <c r="V78" s="158">
        <f t="shared" si="1"/>
        <v>0.10710000246763229</v>
      </c>
      <c r="W78" s="158">
        <v>0.10710000246763229</v>
      </c>
      <c r="X78" s="158">
        <v>0.10679999738931656</v>
      </c>
      <c r="Y78" s="158">
        <v>0.10660000145435333</v>
      </c>
      <c r="Z78" s="158">
        <v>0.1062999963760376</v>
      </c>
      <c r="AA78" s="158">
        <v>0.10620000213384628</v>
      </c>
      <c r="AB78" s="158">
        <v>0.10599999874830246</v>
      </c>
      <c r="AC78" s="158">
        <v>0.10589999705553055</v>
      </c>
      <c r="AD78" s="158">
        <v>0.10599999874830246</v>
      </c>
      <c r="AE78" s="158">
        <v>0.10599999874830246</v>
      </c>
      <c r="AF78" s="158">
        <v>0.10610000044107437</v>
      </c>
    </row>
    <row r="79" spans="1:32" x14ac:dyDescent="0.2">
      <c r="A79" s="158" t="s">
        <v>230</v>
      </c>
      <c r="B79" s="158">
        <v>0.10639999806880951</v>
      </c>
      <c r="C79" s="158">
        <v>0.10589999705553055</v>
      </c>
      <c r="D79" s="158">
        <v>0.10570000112056732</v>
      </c>
      <c r="E79" s="158">
        <v>0.10570000112056732</v>
      </c>
      <c r="F79" s="158">
        <v>0.1054999977350235</v>
      </c>
      <c r="G79" s="158">
        <v>0.10559999942779541</v>
      </c>
      <c r="H79" s="158">
        <v>0.10540000349283218</v>
      </c>
      <c r="I79" s="158">
        <v>0.10530000180006027</v>
      </c>
      <c r="J79" s="158">
        <v>0.10509999841451645</v>
      </c>
      <c r="K79" s="158">
        <v>0.10520000010728836</v>
      </c>
      <c r="L79" s="158">
        <v>0.10520000010728836</v>
      </c>
      <c r="M79" s="158">
        <v>0.10499999672174454</v>
      </c>
      <c r="N79" s="158">
        <v>0.10480000078678131</v>
      </c>
      <c r="O79" s="158">
        <v>0.10450000315904617</v>
      </c>
      <c r="P79" s="158">
        <v>0.10429999977350235</v>
      </c>
      <c r="Q79" s="158">
        <v>0.10429999977350235</v>
      </c>
      <c r="R79" s="158">
        <v>0.10429999977350235</v>
      </c>
      <c r="S79" s="158">
        <v>0.10440000146627426</v>
      </c>
      <c r="T79" s="158">
        <v>0.10459999740123749</v>
      </c>
      <c r="U79" s="158">
        <v>0.1046999990940094</v>
      </c>
      <c r="V79" s="158">
        <f t="shared" si="1"/>
        <v>0.10520000010728836</v>
      </c>
      <c r="W79" s="158">
        <v>0.10570000112056732</v>
      </c>
      <c r="X79" s="158">
        <v>0.10540000349283218</v>
      </c>
      <c r="Y79" s="158">
        <v>0.10509999841451645</v>
      </c>
      <c r="Z79" s="158">
        <v>0.10499999672174454</v>
      </c>
      <c r="AA79" s="158">
        <v>0.10480000078678131</v>
      </c>
      <c r="AB79" s="158">
        <v>0.1046999990940094</v>
      </c>
      <c r="AC79" s="158">
        <v>0.10459999740123749</v>
      </c>
      <c r="AD79" s="158">
        <v>0.10459999740123749</v>
      </c>
      <c r="AE79" s="158">
        <v>0.1046999990940094</v>
      </c>
      <c r="AF79" s="158">
        <v>0.10400000214576721</v>
      </c>
    </row>
    <row r="80" spans="1:32" x14ac:dyDescent="0.2">
      <c r="A80" s="158" t="s">
        <v>231</v>
      </c>
      <c r="B80" s="158">
        <v>0.10719999670982361</v>
      </c>
      <c r="C80" s="158">
        <v>0.10679999738931656</v>
      </c>
      <c r="D80" s="158">
        <v>0.10670000314712524</v>
      </c>
      <c r="E80" s="158">
        <v>0.10660000145435333</v>
      </c>
      <c r="F80" s="158">
        <v>0.10660000145435333</v>
      </c>
      <c r="G80" s="158">
        <v>0.10679999738931656</v>
      </c>
      <c r="H80" s="158">
        <v>0.10670000314712524</v>
      </c>
      <c r="I80" s="158">
        <v>0.10670000314712524</v>
      </c>
      <c r="J80" s="158">
        <v>0.10660000145435333</v>
      </c>
      <c r="K80" s="158">
        <v>0.10679999738931656</v>
      </c>
      <c r="L80" s="158">
        <v>0.10660000145435333</v>
      </c>
      <c r="M80" s="158">
        <v>0.10639999806880951</v>
      </c>
      <c r="N80" s="158">
        <v>0.10620000213384628</v>
      </c>
      <c r="O80" s="158">
        <v>0.10599999874830246</v>
      </c>
      <c r="P80" s="158">
        <v>0.10580000281333923</v>
      </c>
      <c r="Q80" s="158">
        <v>0.10580000281333923</v>
      </c>
      <c r="R80" s="158">
        <v>0.10580000281333923</v>
      </c>
      <c r="S80" s="158">
        <v>0.10599999874830246</v>
      </c>
      <c r="T80" s="158">
        <v>0.10620000213384628</v>
      </c>
      <c r="U80" s="158">
        <v>0.1062999963760376</v>
      </c>
      <c r="V80" s="158">
        <f t="shared" si="1"/>
        <v>0.1062999963760376</v>
      </c>
      <c r="W80" s="158">
        <v>0.1062999963760376</v>
      </c>
      <c r="X80" s="158">
        <v>0.10610000044107437</v>
      </c>
      <c r="Y80" s="158">
        <v>0.10580000281333923</v>
      </c>
      <c r="Z80" s="158">
        <v>0.10559999942779541</v>
      </c>
      <c r="AA80" s="158">
        <v>0.10540000349283218</v>
      </c>
      <c r="AB80" s="158">
        <v>0.10530000180006027</v>
      </c>
      <c r="AC80" s="158">
        <v>0.10520000010728836</v>
      </c>
      <c r="AD80" s="158">
        <v>0.10520000010728836</v>
      </c>
      <c r="AE80" s="158">
        <v>0.10530000180006027</v>
      </c>
      <c r="AF80" s="158">
        <v>0.10530000180006027</v>
      </c>
    </row>
    <row r="81" spans="1:32" x14ac:dyDescent="0.2">
      <c r="A81" s="158" t="s">
        <v>232</v>
      </c>
      <c r="B81" s="158">
        <v>0.10719999670982361</v>
      </c>
      <c r="C81" s="158">
        <v>0.10660000145435333</v>
      </c>
      <c r="D81" s="158">
        <v>0.1062999963760376</v>
      </c>
      <c r="E81" s="158">
        <v>0.1062999963760376</v>
      </c>
      <c r="F81" s="158">
        <v>0.10620000213384628</v>
      </c>
      <c r="G81" s="158">
        <v>0.1062999963760376</v>
      </c>
      <c r="H81" s="158">
        <v>0.10620000213384628</v>
      </c>
      <c r="I81" s="158">
        <v>0.10610000044107437</v>
      </c>
      <c r="J81" s="158">
        <v>0.10599999874830246</v>
      </c>
      <c r="K81" s="158">
        <v>0.10599999874830246</v>
      </c>
      <c r="L81" s="158">
        <v>0.10599999874830246</v>
      </c>
      <c r="M81" s="158">
        <v>0.10570000112056732</v>
      </c>
      <c r="N81" s="158">
        <v>0.1054999977350235</v>
      </c>
      <c r="O81" s="158">
        <v>0.10520000010728836</v>
      </c>
      <c r="P81" s="158">
        <v>0.10499999672174454</v>
      </c>
      <c r="Q81" s="158">
        <v>0.10499999672174454</v>
      </c>
      <c r="R81" s="158">
        <v>0.10499999672174454</v>
      </c>
      <c r="S81" s="158">
        <v>0.10520000010728836</v>
      </c>
      <c r="T81" s="158">
        <v>0.10540000349283218</v>
      </c>
      <c r="U81" s="158">
        <v>0.1054999977350235</v>
      </c>
      <c r="V81" s="158">
        <f t="shared" si="1"/>
        <v>0.10545000061392784</v>
      </c>
      <c r="W81" s="158">
        <v>0.10540000349283218</v>
      </c>
      <c r="X81" s="158">
        <v>0.10520000010728836</v>
      </c>
      <c r="Y81" s="158">
        <v>0.10490000247955322</v>
      </c>
      <c r="Z81" s="158">
        <v>0.10459999740123749</v>
      </c>
      <c r="AA81" s="158">
        <v>0.10440000146627426</v>
      </c>
      <c r="AB81" s="158">
        <v>0.10429999977350235</v>
      </c>
      <c r="AC81" s="158">
        <v>0.10419999808073044</v>
      </c>
      <c r="AD81" s="158">
        <v>0.10419999808073044</v>
      </c>
      <c r="AE81" s="158">
        <v>0.10419999808073044</v>
      </c>
      <c r="AF81" s="158">
        <v>0.10440000146627426</v>
      </c>
    </row>
    <row r="82" spans="1:32" x14ac:dyDescent="0.2">
      <c r="A82" s="158" t="s">
        <v>233</v>
      </c>
      <c r="B82" s="158">
        <v>0.10769999772310257</v>
      </c>
      <c r="C82" s="158">
        <v>0.10729999840259552</v>
      </c>
      <c r="D82" s="158">
        <v>0.10689999908208847</v>
      </c>
      <c r="E82" s="158">
        <v>0.10689999908208847</v>
      </c>
      <c r="F82" s="158">
        <v>0.10689999908208847</v>
      </c>
      <c r="G82" s="158">
        <v>0.10719999670982361</v>
      </c>
      <c r="H82" s="158">
        <v>0.10710000246763229</v>
      </c>
      <c r="I82" s="158">
        <v>0.10710000246763229</v>
      </c>
      <c r="J82" s="158">
        <v>0.10700000077486038</v>
      </c>
      <c r="K82" s="158">
        <v>0.10700000077486038</v>
      </c>
      <c r="L82" s="158">
        <v>0.10689999908208847</v>
      </c>
      <c r="M82" s="158">
        <v>0.10670000314712524</v>
      </c>
      <c r="N82" s="158">
        <v>0.10639999806880951</v>
      </c>
      <c r="O82" s="158">
        <v>0.10620000213384628</v>
      </c>
      <c r="P82" s="158">
        <v>0.10599999874830246</v>
      </c>
      <c r="Q82" s="158">
        <v>0.10589999705553055</v>
      </c>
      <c r="R82" s="158">
        <v>0.10599999874830246</v>
      </c>
      <c r="S82" s="158">
        <v>0.10620000213384628</v>
      </c>
      <c r="T82" s="158">
        <v>0.10670000314712524</v>
      </c>
      <c r="U82" s="158">
        <v>0.10660000145435333</v>
      </c>
      <c r="V82" s="158">
        <f t="shared" si="1"/>
        <v>0.10660000145435333</v>
      </c>
      <c r="W82" s="158">
        <v>0.10660000145435333</v>
      </c>
      <c r="X82" s="158">
        <v>0.1062999963760376</v>
      </c>
      <c r="Y82" s="158">
        <v>0.10620000213384628</v>
      </c>
      <c r="Z82" s="158">
        <v>0.10559999942779541</v>
      </c>
      <c r="AA82" s="158">
        <v>0.1054999977350235</v>
      </c>
      <c r="AB82" s="158">
        <v>0.10530000180006027</v>
      </c>
      <c r="AC82" s="158">
        <v>0.10509999841451645</v>
      </c>
      <c r="AD82" s="158">
        <v>0.10509999841451645</v>
      </c>
      <c r="AE82" s="158">
        <v>0.10520000010728836</v>
      </c>
      <c r="AF82" s="158">
        <v>0.10530000180006027</v>
      </c>
    </row>
    <row r="83" spans="1:32" x14ac:dyDescent="0.2">
      <c r="A83" s="158" t="s">
        <v>234</v>
      </c>
      <c r="B83" s="158">
        <v>0.10710000246763229</v>
      </c>
      <c r="C83" s="158">
        <v>0.10679999738931656</v>
      </c>
      <c r="D83" s="158">
        <v>0.10639999806880951</v>
      </c>
      <c r="E83" s="158">
        <v>0.10639999806880951</v>
      </c>
      <c r="F83" s="158">
        <v>0.1062999963760376</v>
      </c>
      <c r="G83" s="158">
        <v>0.10649999976158142</v>
      </c>
      <c r="H83" s="158">
        <v>0.10639999806880951</v>
      </c>
      <c r="I83" s="158">
        <v>0.1062999963760376</v>
      </c>
      <c r="J83" s="158">
        <v>0.10639999806880951</v>
      </c>
      <c r="K83" s="158">
        <v>0.10620000213384628</v>
      </c>
      <c r="L83" s="158">
        <v>0.10620000213384628</v>
      </c>
      <c r="M83" s="158">
        <v>0.10599999874830246</v>
      </c>
      <c r="N83" s="158">
        <v>0.10580000281333923</v>
      </c>
      <c r="O83" s="158">
        <v>0.1054999977350235</v>
      </c>
      <c r="P83" s="158">
        <v>0.10530000180006027</v>
      </c>
      <c r="Q83" s="158">
        <v>0.10530000180006027</v>
      </c>
      <c r="R83" s="158">
        <v>0.10540000349283218</v>
      </c>
      <c r="S83" s="158">
        <v>0.10559999942779541</v>
      </c>
      <c r="T83" s="158">
        <v>0.10580000281333923</v>
      </c>
      <c r="U83" s="158">
        <v>0.10589999705553055</v>
      </c>
      <c r="V83" s="158">
        <f t="shared" si="1"/>
        <v>0.10589999705553055</v>
      </c>
      <c r="W83" s="158">
        <v>0.10589999705553055</v>
      </c>
      <c r="X83" s="158">
        <v>0.10570000112056732</v>
      </c>
      <c r="Y83" s="158">
        <v>0.10530000180006027</v>
      </c>
      <c r="Z83" s="158">
        <v>0.10509999841451645</v>
      </c>
      <c r="AA83" s="158">
        <v>0.10520000010728836</v>
      </c>
      <c r="AB83" s="158">
        <v>0.10480000078678131</v>
      </c>
      <c r="AC83" s="158">
        <v>0.10459999740123749</v>
      </c>
      <c r="AD83" s="158">
        <v>0.1046999990940094</v>
      </c>
      <c r="AE83" s="158">
        <v>0.1046999990940094</v>
      </c>
      <c r="AF83" s="158">
        <v>0.10509999841451645</v>
      </c>
    </row>
    <row r="84" spans="1:32" x14ac:dyDescent="0.2">
      <c r="A84" s="158" t="s">
        <v>235</v>
      </c>
      <c r="B84" s="158">
        <v>0.10719999670982361</v>
      </c>
      <c r="C84" s="158">
        <v>0.10679999738931656</v>
      </c>
      <c r="D84" s="158">
        <v>0.10670000314712524</v>
      </c>
      <c r="E84" s="158">
        <v>0.10649999976158142</v>
      </c>
      <c r="F84" s="158">
        <v>0.10639999806880951</v>
      </c>
      <c r="G84" s="158">
        <v>0.10670000314712524</v>
      </c>
      <c r="H84" s="158">
        <v>0.10660000145435333</v>
      </c>
      <c r="I84" s="158">
        <v>0.10639999806880951</v>
      </c>
      <c r="J84" s="158">
        <v>0.10639999806880951</v>
      </c>
      <c r="K84" s="158">
        <v>0.10639999806880951</v>
      </c>
      <c r="L84" s="158">
        <v>0.10639999806880951</v>
      </c>
      <c r="M84" s="158">
        <v>0.10610000044107437</v>
      </c>
      <c r="N84" s="158">
        <v>0.10580000281333923</v>
      </c>
      <c r="O84" s="158">
        <v>0.10559999942779541</v>
      </c>
      <c r="P84" s="158">
        <v>0.10540000349283218</v>
      </c>
      <c r="Q84" s="158">
        <v>0.10540000349283218</v>
      </c>
      <c r="R84" s="158">
        <v>0.1054999977350235</v>
      </c>
      <c r="S84" s="158">
        <v>0.10559999942779541</v>
      </c>
      <c r="T84" s="158">
        <v>0.10589999705553055</v>
      </c>
      <c r="U84" s="158">
        <v>0.10599999874830246</v>
      </c>
      <c r="V84" s="158">
        <f t="shared" si="1"/>
        <v>0.10604999959468842</v>
      </c>
      <c r="W84" s="158">
        <v>0.10610000044107437</v>
      </c>
      <c r="X84" s="158">
        <v>0.10580000281333923</v>
      </c>
      <c r="Y84" s="158">
        <v>0.1054999977350235</v>
      </c>
      <c r="Z84" s="158">
        <v>0.10520000010728836</v>
      </c>
      <c r="AA84" s="158">
        <v>0.10499999672174454</v>
      </c>
      <c r="AB84" s="158">
        <v>0.10490000247955322</v>
      </c>
      <c r="AC84" s="158">
        <v>0.1046999990940094</v>
      </c>
      <c r="AD84" s="158">
        <v>0.10480000078678131</v>
      </c>
      <c r="AE84" s="158">
        <v>0.10480000078678131</v>
      </c>
      <c r="AF84" s="158">
        <v>0.10499999672174454</v>
      </c>
    </row>
    <row r="85" spans="1:32" x14ac:dyDescent="0.2">
      <c r="A85" s="158" t="s">
        <v>236</v>
      </c>
      <c r="B85" s="158">
        <v>0.10639999806880951</v>
      </c>
      <c r="C85" s="158">
        <v>0.10599999874830246</v>
      </c>
      <c r="D85" s="158">
        <v>0.10580000281333923</v>
      </c>
      <c r="E85" s="158">
        <v>0.10580000281333923</v>
      </c>
      <c r="F85" s="158">
        <v>0.10610000044107437</v>
      </c>
      <c r="G85" s="158">
        <v>0.10620000213384628</v>
      </c>
      <c r="H85" s="158">
        <v>0.10610000044107437</v>
      </c>
      <c r="I85" s="158">
        <v>0.10599999874830246</v>
      </c>
      <c r="J85" s="158">
        <v>0.10580000281333923</v>
      </c>
      <c r="K85" s="158">
        <v>0.10580000281333923</v>
      </c>
      <c r="L85" s="158">
        <v>0.10580000281333923</v>
      </c>
      <c r="M85" s="158">
        <v>0.10559999942779541</v>
      </c>
      <c r="N85" s="158">
        <v>0.10530000180006027</v>
      </c>
      <c r="O85" s="158">
        <v>0.10490000247955322</v>
      </c>
      <c r="P85" s="158">
        <v>0.10490000247955322</v>
      </c>
      <c r="Q85" s="158">
        <v>0.10480000078678131</v>
      </c>
      <c r="R85" s="158">
        <v>0.10480000078678131</v>
      </c>
      <c r="S85" s="158">
        <v>0.10509999841451645</v>
      </c>
      <c r="T85" s="158">
        <v>0.10530000180006027</v>
      </c>
      <c r="U85" s="158">
        <v>0.10559999942779541</v>
      </c>
      <c r="V85" s="158">
        <f t="shared" si="1"/>
        <v>0.10619999840855598</v>
      </c>
      <c r="W85" s="158">
        <v>0.10679999738931656</v>
      </c>
      <c r="X85" s="158">
        <v>0.1062999963760376</v>
      </c>
      <c r="Y85" s="158">
        <v>0.10589999705553055</v>
      </c>
      <c r="Z85" s="158">
        <v>0.10580000281333923</v>
      </c>
      <c r="AA85" s="158">
        <v>0.10570000112056732</v>
      </c>
      <c r="AB85" s="158">
        <v>0.10540000349283218</v>
      </c>
      <c r="AC85" s="158">
        <v>0.1054999977350235</v>
      </c>
      <c r="AD85" s="158">
        <v>0.10520000010728836</v>
      </c>
      <c r="AE85" s="158">
        <v>0.10540000349283218</v>
      </c>
      <c r="AF85" s="158">
        <v>0.10480000078678131</v>
      </c>
    </row>
    <row r="86" spans="1:32" x14ac:dyDescent="0.2">
      <c r="A86" s="158" t="s">
        <v>237</v>
      </c>
      <c r="B86" s="158">
        <v>0.10670000314712524</v>
      </c>
      <c r="C86" s="158">
        <v>0.1062999963760376</v>
      </c>
      <c r="D86" s="158">
        <v>0.10620000213384628</v>
      </c>
      <c r="E86" s="158">
        <v>0.10610000044107437</v>
      </c>
      <c r="F86" s="158">
        <v>0.10599999874830246</v>
      </c>
      <c r="G86" s="158">
        <v>0.1062999963760376</v>
      </c>
      <c r="H86" s="158">
        <v>0.10620000213384628</v>
      </c>
      <c r="I86" s="158">
        <v>0.10610000044107437</v>
      </c>
      <c r="J86" s="158">
        <v>0.10649999976158142</v>
      </c>
      <c r="K86" s="158">
        <v>0.10599999874830246</v>
      </c>
      <c r="L86" s="158">
        <v>0.10610000044107437</v>
      </c>
      <c r="M86" s="158">
        <v>0.10589999705553055</v>
      </c>
      <c r="N86" s="158">
        <v>0.1054999977350235</v>
      </c>
      <c r="O86" s="158">
        <v>0.10520000010728836</v>
      </c>
      <c r="P86" s="158">
        <v>0.10499999672174454</v>
      </c>
      <c r="Q86" s="158">
        <v>0.10499999672174454</v>
      </c>
      <c r="R86" s="158">
        <v>0.10509999841451645</v>
      </c>
      <c r="S86" s="158">
        <v>0.10520000010728836</v>
      </c>
      <c r="T86" s="158">
        <v>0.1054999977350235</v>
      </c>
      <c r="U86" s="158">
        <v>0.10559999942779541</v>
      </c>
      <c r="V86" s="158">
        <f t="shared" si="1"/>
        <v>0.10559999942779541</v>
      </c>
      <c r="W86" s="158">
        <v>0.10559999942779541</v>
      </c>
      <c r="X86" s="158">
        <v>0.10540000349283218</v>
      </c>
      <c r="Y86" s="158">
        <v>0.10509999841451645</v>
      </c>
      <c r="Z86" s="158">
        <v>0.10480000078678131</v>
      </c>
      <c r="AA86" s="158">
        <v>0.10459999740123749</v>
      </c>
      <c r="AB86" s="158">
        <v>0.10440000146627426</v>
      </c>
      <c r="AC86" s="158">
        <v>0.10429999977350235</v>
      </c>
      <c r="AD86" s="158">
        <v>0.10429999977350235</v>
      </c>
      <c r="AE86" s="158">
        <v>0.10440000146627426</v>
      </c>
      <c r="AF86" s="158">
        <v>0.10459999740123749</v>
      </c>
    </row>
    <row r="87" spans="1:32" x14ac:dyDescent="0.2">
      <c r="A87" s="158" t="s">
        <v>238</v>
      </c>
      <c r="B87" s="158">
        <v>0.10679999738931656</v>
      </c>
      <c r="C87" s="158">
        <v>0.10649999976158142</v>
      </c>
      <c r="D87" s="158">
        <v>0.10639999806880951</v>
      </c>
      <c r="E87" s="158">
        <v>0.1062999963760376</v>
      </c>
      <c r="F87" s="158">
        <v>0.10620000213384628</v>
      </c>
      <c r="G87" s="158">
        <v>0.10639999806880951</v>
      </c>
      <c r="H87" s="158">
        <v>0.1062999963760376</v>
      </c>
      <c r="I87" s="158">
        <v>0.10620000213384628</v>
      </c>
      <c r="J87" s="158">
        <v>0.10610000044107437</v>
      </c>
      <c r="K87" s="158">
        <v>0.10610000044107437</v>
      </c>
      <c r="L87" s="158">
        <v>0.10610000044107437</v>
      </c>
      <c r="M87" s="158">
        <v>0.10580000281333923</v>
      </c>
      <c r="N87" s="158">
        <v>0.10559999942779541</v>
      </c>
      <c r="O87" s="158">
        <v>0.1054999977350235</v>
      </c>
      <c r="P87" s="158">
        <v>0.10509999841451645</v>
      </c>
      <c r="Q87" s="158">
        <v>0.10509999841451645</v>
      </c>
      <c r="R87" s="158">
        <v>0.10520000010728836</v>
      </c>
      <c r="S87" s="158">
        <v>0.10530000180006027</v>
      </c>
      <c r="T87" s="158">
        <v>0.10559999942779541</v>
      </c>
      <c r="U87" s="158">
        <v>0.10559999942779541</v>
      </c>
      <c r="V87" s="158">
        <f t="shared" si="1"/>
        <v>0.10565000027418137</v>
      </c>
      <c r="W87" s="158">
        <v>0.10570000112056732</v>
      </c>
      <c r="X87" s="158">
        <v>0.10540000349283218</v>
      </c>
      <c r="Y87" s="158">
        <v>0.10509999841451645</v>
      </c>
      <c r="Z87" s="158">
        <v>0.10490000247955322</v>
      </c>
      <c r="AA87" s="158">
        <v>0.10459999740123749</v>
      </c>
      <c r="AB87" s="158">
        <v>0.10450000315904617</v>
      </c>
      <c r="AC87" s="158">
        <v>0.10440000146627426</v>
      </c>
      <c r="AD87" s="158">
        <v>0.10440000146627426</v>
      </c>
      <c r="AE87" s="158">
        <v>0.10440000146627426</v>
      </c>
      <c r="AF87" s="158">
        <v>0.10459999740123749</v>
      </c>
    </row>
    <row r="88" spans="1:32" x14ac:dyDescent="0.2">
      <c r="A88" s="158" t="s">
        <v>239</v>
      </c>
      <c r="B88" s="158">
        <v>0.10679999738931656</v>
      </c>
      <c r="C88" s="158">
        <v>0.1062999963760376</v>
      </c>
      <c r="D88" s="158">
        <v>0.10620000213384628</v>
      </c>
      <c r="E88" s="158">
        <v>0.10610000044107437</v>
      </c>
      <c r="F88" s="158">
        <v>0.10610000044107437</v>
      </c>
      <c r="G88" s="158">
        <v>0.10620000213384628</v>
      </c>
      <c r="H88" s="158">
        <v>0.10620000213384628</v>
      </c>
      <c r="I88" s="158">
        <v>0.10599999874830246</v>
      </c>
      <c r="J88" s="158">
        <v>0.10589999705553055</v>
      </c>
      <c r="K88" s="158">
        <v>0.10589999705553055</v>
      </c>
      <c r="L88" s="158">
        <v>0.10589999705553055</v>
      </c>
      <c r="M88" s="158">
        <v>0.10570000112056732</v>
      </c>
      <c r="N88" s="158">
        <v>0.10540000349283218</v>
      </c>
      <c r="O88" s="158">
        <v>0.10520000010728836</v>
      </c>
      <c r="P88" s="158">
        <v>0.10490000247955322</v>
      </c>
      <c r="Q88" s="158">
        <v>0.10499999672174454</v>
      </c>
      <c r="R88" s="158">
        <v>0.10499999672174454</v>
      </c>
      <c r="S88" s="158">
        <v>0.10520000010728836</v>
      </c>
      <c r="T88" s="158">
        <v>0.1054999977350235</v>
      </c>
      <c r="U88" s="158">
        <v>0.1054999977350235</v>
      </c>
      <c r="V88" s="158">
        <f t="shared" si="1"/>
        <v>0.1054999977350235</v>
      </c>
      <c r="W88" s="158">
        <v>0.1054999977350235</v>
      </c>
      <c r="X88" s="158">
        <v>0.10520000010728836</v>
      </c>
      <c r="Y88" s="158">
        <v>0.10499999672174454</v>
      </c>
      <c r="Z88" s="158">
        <v>0.1046999990940094</v>
      </c>
      <c r="AA88" s="158">
        <v>0.10450000315904617</v>
      </c>
      <c r="AB88" s="158">
        <v>0.10440000146627426</v>
      </c>
      <c r="AC88" s="158">
        <v>0.10429999977350235</v>
      </c>
      <c r="AD88" s="158">
        <v>0.10419999808073044</v>
      </c>
      <c r="AE88" s="158">
        <v>0.10429999977350235</v>
      </c>
      <c r="AF88" s="158">
        <v>0.10450000315904617</v>
      </c>
    </row>
    <row r="89" spans="1:32" x14ac:dyDescent="0.2">
      <c r="A89" s="158" t="s">
        <v>240</v>
      </c>
      <c r="B89" s="158">
        <v>0.10649999976158142</v>
      </c>
      <c r="C89" s="158">
        <v>0.10610000044107437</v>
      </c>
      <c r="D89" s="158">
        <v>0.10589999705553055</v>
      </c>
      <c r="E89" s="158">
        <v>0.10589999705553055</v>
      </c>
      <c r="F89" s="158">
        <v>0.10589999705553055</v>
      </c>
      <c r="G89" s="158">
        <v>0.10599999874830246</v>
      </c>
      <c r="H89" s="158">
        <v>0.10620000213384628</v>
      </c>
      <c r="I89" s="158">
        <v>0.10570000112056732</v>
      </c>
      <c r="J89" s="158">
        <v>0.10570000112056732</v>
      </c>
      <c r="K89" s="158">
        <v>0.10559999942779541</v>
      </c>
      <c r="L89" s="158">
        <v>0.10570000112056732</v>
      </c>
      <c r="M89" s="158">
        <v>0.10540000349283218</v>
      </c>
      <c r="N89" s="158">
        <v>0.10520000010728836</v>
      </c>
      <c r="O89" s="158">
        <v>0.10490000247955322</v>
      </c>
      <c r="P89" s="158">
        <v>0.1046999990940094</v>
      </c>
      <c r="Q89" s="158">
        <v>0.1046999990940094</v>
      </c>
      <c r="R89" s="158">
        <v>0.1046999990940094</v>
      </c>
      <c r="S89" s="158">
        <v>0.10509999841451645</v>
      </c>
      <c r="T89" s="158">
        <v>0.10520000010728836</v>
      </c>
      <c r="U89" s="158">
        <v>0.10530000180006027</v>
      </c>
      <c r="V89" s="158">
        <f t="shared" si="1"/>
        <v>0.10530000180006027</v>
      </c>
      <c r="W89" s="158">
        <v>0.10530000180006027</v>
      </c>
      <c r="X89" s="158">
        <v>0.10499999672174454</v>
      </c>
      <c r="Y89" s="158">
        <v>0.10480000078678131</v>
      </c>
      <c r="Z89" s="158">
        <v>0.10450000315904617</v>
      </c>
      <c r="AA89" s="158">
        <v>0.10419999808073044</v>
      </c>
      <c r="AB89" s="158">
        <v>0.10409999638795853</v>
      </c>
      <c r="AC89" s="158">
        <v>0.10400000214576721</v>
      </c>
      <c r="AD89" s="158">
        <v>0.10400000214576721</v>
      </c>
      <c r="AE89" s="158">
        <v>0.10409999638795853</v>
      </c>
      <c r="AF89" s="158">
        <v>0.10419999808073044</v>
      </c>
    </row>
    <row r="90" spans="1:32" x14ac:dyDescent="0.2">
      <c r="A90" s="158" t="s">
        <v>241</v>
      </c>
      <c r="B90" s="158">
        <v>0.10740000009536743</v>
      </c>
      <c r="C90" s="158">
        <v>0.10700000077486038</v>
      </c>
      <c r="D90" s="158">
        <v>0.10700000077486038</v>
      </c>
      <c r="E90" s="158">
        <v>0.10670000314712524</v>
      </c>
      <c r="F90" s="158">
        <v>0.10660000145435333</v>
      </c>
      <c r="G90" s="158">
        <v>0.10689999908208847</v>
      </c>
      <c r="H90" s="158">
        <v>0.10670000314712524</v>
      </c>
      <c r="I90" s="158">
        <v>0.10660000145435333</v>
      </c>
      <c r="J90" s="158">
        <v>0.10649999976158142</v>
      </c>
      <c r="K90" s="158">
        <v>0.10649999976158142</v>
      </c>
      <c r="L90" s="158">
        <v>0.10679999738931656</v>
      </c>
      <c r="M90" s="158">
        <v>0.1062999963760376</v>
      </c>
      <c r="N90" s="158">
        <v>0.10599999874830246</v>
      </c>
      <c r="O90" s="158">
        <v>0.10580000281333923</v>
      </c>
      <c r="P90" s="158">
        <v>0.1054999977350235</v>
      </c>
      <c r="Q90" s="158">
        <v>0.1054999977350235</v>
      </c>
      <c r="R90" s="158">
        <v>0.10559999942779541</v>
      </c>
      <c r="S90" s="158">
        <v>0.10570000112056732</v>
      </c>
      <c r="T90" s="158">
        <v>0.10599999874830246</v>
      </c>
      <c r="U90" s="158">
        <v>0.10610000044107437</v>
      </c>
      <c r="V90" s="158">
        <f t="shared" si="1"/>
        <v>0.10610000044107437</v>
      </c>
      <c r="W90" s="158">
        <v>0.10610000044107437</v>
      </c>
      <c r="X90" s="158">
        <v>0.10580000281333923</v>
      </c>
      <c r="Y90" s="158">
        <v>0.1054999977350235</v>
      </c>
      <c r="Z90" s="158">
        <v>0.10530000180006027</v>
      </c>
      <c r="AA90" s="158">
        <v>0.10499999672174454</v>
      </c>
      <c r="AB90" s="158">
        <v>0.10490000247955322</v>
      </c>
      <c r="AC90" s="158">
        <v>0.10480000078678131</v>
      </c>
      <c r="AD90" s="158">
        <v>0.10490000247955322</v>
      </c>
      <c r="AE90" s="158">
        <v>0.10480000078678131</v>
      </c>
      <c r="AF90" s="158">
        <v>0.10499999672174454</v>
      </c>
    </row>
    <row r="91" spans="1:32" x14ac:dyDescent="0.2">
      <c r="A91" s="158" t="s">
        <v>242</v>
      </c>
      <c r="B91" s="158">
        <v>0.10719999670982361</v>
      </c>
      <c r="C91" s="158">
        <v>0.10660000145435333</v>
      </c>
      <c r="D91" s="158">
        <v>0.10639999806880951</v>
      </c>
      <c r="E91" s="158">
        <v>0.10639999806880951</v>
      </c>
      <c r="F91" s="158">
        <v>0.10620000213384628</v>
      </c>
      <c r="G91" s="158">
        <v>0.10639999806880951</v>
      </c>
      <c r="H91" s="158">
        <v>0.10620000213384628</v>
      </c>
      <c r="I91" s="158">
        <v>0.10610000044107437</v>
      </c>
      <c r="J91" s="158">
        <v>0.10599999874830246</v>
      </c>
      <c r="K91" s="158">
        <v>0.10610000044107437</v>
      </c>
      <c r="L91" s="158">
        <v>0.10599999874830246</v>
      </c>
      <c r="M91" s="158">
        <v>0.10580000281333923</v>
      </c>
      <c r="N91" s="158">
        <v>0.1054999977350235</v>
      </c>
      <c r="O91" s="158">
        <v>0.10540000349283218</v>
      </c>
      <c r="P91" s="158">
        <v>0.10499999672174454</v>
      </c>
      <c r="Q91" s="158">
        <v>0.10509999841451645</v>
      </c>
      <c r="R91" s="158">
        <v>0.10509999841451645</v>
      </c>
      <c r="S91" s="158">
        <v>0.10520000010728836</v>
      </c>
      <c r="T91" s="158">
        <v>0.1054999977350235</v>
      </c>
      <c r="U91" s="158">
        <v>0.10559999942779541</v>
      </c>
      <c r="V91" s="158">
        <f t="shared" si="1"/>
        <v>0.10559999942779541</v>
      </c>
      <c r="W91" s="158">
        <v>0.10559999942779541</v>
      </c>
      <c r="X91" s="158">
        <v>0.10540000349283218</v>
      </c>
      <c r="Y91" s="158">
        <v>0.10509999841451645</v>
      </c>
      <c r="Z91" s="158">
        <v>0.10490000247955322</v>
      </c>
      <c r="AA91" s="158">
        <v>0.10459999740123749</v>
      </c>
      <c r="AB91" s="158">
        <v>0.10440000146627426</v>
      </c>
      <c r="AC91" s="158">
        <v>0.10440000146627426</v>
      </c>
      <c r="AD91" s="158">
        <v>0.10440000146627426</v>
      </c>
      <c r="AE91" s="158">
        <v>0.10440000146627426</v>
      </c>
      <c r="AF91" s="158">
        <v>0.10459999740123749</v>
      </c>
    </row>
    <row r="92" spans="1:32" x14ac:dyDescent="0.2">
      <c r="A92" s="158" t="s">
        <v>243</v>
      </c>
      <c r="B92" s="158">
        <v>0.10740000009536743</v>
      </c>
      <c r="C92" s="158">
        <v>0.10679999738931656</v>
      </c>
      <c r="D92" s="158">
        <v>0.10660000145435333</v>
      </c>
      <c r="E92" s="158">
        <v>0.10639999806880951</v>
      </c>
      <c r="F92" s="158">
        <v>0.1062999963760376</v>
      </c>
      <c r="G92" s="158">
        <v>0.10649999976158142</v>
      </c>
      <c r="H92" s="158">
        <v>0.1062999963760376</v>
      </c>
      <c r="I92" s="158">
        <v>0.10620000213384628</v>
      </c>
      <c r="J92" s="158">
        <v>0.10610000044107437</v>
      </c>
      <c r="K92" s="158">
        <v>0.10610000044107437</v>
      </c>
      <c r="L92" s="158">
        <v>0.10599999874830246</v>
      </c>
      <c r="M92" s="158">
        <v>0.10580000281333923</v>
      </c>
      <c r="N92" s="158">
        <v>0.1054999977350235</v>
      </c>
      <c r="O92" s="158">
        <v>0.10530000180006027</v>
      </c>
      <c r="P92" s="158">
        <v>0.10499999672174454</v>
      </c>
      <c r="Q92" s="158">
        <v>0.10499999672174454</v>
      </c>
      <c r="R92" s="158">
        <v>0.10509999841451645</v>
      </c>
      <c r="S92" s="158">
        <v>0.10520000010728836</v>
      </c>
      <c r="T92" s="158">
        <v>0.1054999977350235</v>
      </c>
      <c r="U92" s="158">
        <v>0.10559999942779541</v>
      </c>
      <c r="V92" s="158">
        <f t="shared" si="1"/>
        <v>0.10559999942779541</v>
      </c>
      <c r="W92" s="158">
        <v>0.10559999942779541</v>
      </c>
      <c r="X92" s="158">
        <v>0.10530000180006027</v>
      </c>
      <c r="Y92" s="158">
        <v>0.10509999841451645</v>
      </c>
      <c r="Z92" s="158">
        <v>0.10480000078678131</v>
      </c>
      <c r="AA92" s="158">
        <v>0.10450000315904617</v>
      </c>
      <c r="AB92" s="158">
        <v>0.10440000146627426</v>
      </c>
      <c r="AC92" s="158">
        <v>0.10429999977350235</v>
      </c>
      <c r="AD92" s="158">
        <v>0.10429999977350235</v>
      </c>
      <c r="AE92" s="158">
        <v>0.10429999977350235</v>
      </c>
      <c r="AF92" s="158">
        <v>0.10450000315904617</v>
      </c>
    </row>
    <row r="93" spans="1:32" x14ac:dyDescent="0.2">
      <c r="A93" s="158" t="s">
        <v>244</v>
      </c>
      <c r="B93" s="158">
        <v>0.10750000178813934</v>
      </c>
      <c r="C93" s="158">
        <v>0.10639999806880951</v>
      </c>
      <c r="D93" s="158">
        <v>0.10639999806880951</v>
      </c>
      <c r="E93" s="158">
        <v>0.10670000314712524</v>
      </c>
      <c r="F93" s="158">
        <v>0.10639999806880951</v>
      </c>
      <c r="G93" s="158">
        <v>0.10660000145435333</v>
      </c>
      <c r="H93" s="158">
        <v>0.1062999963760376</v>
      </c>
      <c r="I93" s="158">
        <v>0.10620000213384628</v>
      </c>
      <c r="J93" s="158">
        <v>0.10599999874830246</v>
      </c>
      <c r="K93" s="158">
        <v>0.10599999874830246</v>
      </c>
      <c r="L93" s="158">
        <v>0.10599999874830246</v>
      </c>
      <c r="M93" s="158">
        <v>0.10570000112056732</v>
      </c>
      <c r="N93" s="158">
        <v>0.1054999977350235</v>
      </c>
      <c r="O93" s="158">
        <v>0.10530000180006027</v>
      </c>
      <c r="P93" s="158">
        <v>0.10490000247955322</v>
      </c>
      <c r="Q93" s="158">
        <v>0.10490000247955322</v>
      </c>
      <c r="R93" s="158">
        <v>0.10499999672174454</v>
      </c>
      <c r="S93" s="158">
        <v>0.10509999841451645</v>
      </c>
      <c r="T93" s="158">
        <v>0.10530000180006027</v>
      </c>
      <c r="U93" s="158">
        <v>0.10530000180006027</v>
      </c>
      <c r="V93" s="158">
        <f t="shared" si="1"/>
        <v>0.10530000180006027</v>
      </c>
      <c r="W93" s="158">
        <v>0.10530000180006027</v>
      </c>
      <c r="X93" s="158">
        <v>0.10499999672174454</v>
      </c>
      <c r="Y93" s="158">
        <v>0.1046999990940094</v>
      </c>
      <c r="Z93" s="158">
        <v>0.10450000315904617</v>
      </c>
      <c r="AA93" s="158">
        <v>0.10419999808073044</v>
      </c>
      <c r="AB93" s="158">
        <v>0.10400000214576721</v>
      </c>
      <c r="AC93" s="158">
        <v>0.10400000214576721</v>
      </c>
      <c r="AD93" s="158">
        <v>0.10409999638795853</v>
      </c>
      <c r="AE93" s="158">
        <v>0.1039000004529953</v>
      </c>
      <c r="AF93" s="158">
        <v>0.10350000113248825</v>
      </c>
    </row>
    <row r="94" spans="1:32" x14ac:dyDescent="0.2">
      <c r="A94" s="156" t="s">
        <v>364</v>
      </c>
      <c r="B94" s="156">
        <f>$B$55-AVERAGE($B$58,$B$62,$B$66,$B$68,$B$70,$B$71,$B$79,$B$85,$B$89)</f>
        <v>5.1111231247584488E-4</v>
      </c>
      <c r="C94" s="156">
        <f>$C$55-AVERAGE($C$58,$C$62,$C$66,$C$68,$C$70,$C$71,$C$79,$C$85,$C$89)</f>
        <v>4.8888557487064555E-4</v>
      </c>
      <c r="D94" s="156">
        <f>$D$55-AVERAGE($D$58,$D$62,$D$66,$D$68,$D$70,$D$71,$D$79,$D$85,$D$89)</f>
        <v>7.8888899750179098E-4</v>
      </c>
      <c r="E94" s="156">
        <f>$E$55-AVERAGE($E$58,$E$62,$E$66,$E$68,$E$70,$E$71,$E$79,$E$85,$E$89)</f>
        <v>1.2111117442448888E-3</v>
      </c>
      <c r="F94" s="156">
        <f>$F$55-AVERAGE($F$58,$F$62,$F$66,$F$68,$F$70,$F$71,$F$79,$F$85,$F$89)</f>
        <v>1.7333345280753226E-3</v>
      </c>
      <c r="G94" s="156">
        <f>$G$55-AVERAGE($G$58,$G$62,$G$66,$G$68,$G$70,$G$71,$G$79,$G$85,$G$89)</f>
        <v>2.7111123005549159E-3</v>
      </c>
      <c r="H94" s="156">
        <f>$H$55-AVERAGE($H$58,$H$62,$H$66,$H$68,$H$70,$H$71,$H$79,$H$85,$H$89)</f>
        <v>4.2000023855103402E-3</v>
      </c>
      <c r="I94" s="156">
        <f>$I$55-AVERAGE($I$58,$I$62,$I$66,$I$68,$I$70,$I$71,$I$79,$I$85,$I$89)</f>
        <v>6.6444418496555691E-3</v>
      </c>
      <c r="J94" s="156">
        <f>$J$55-AVERAGE($J$58,$J$62,$J$66,$J$68,$J$70,$J$71,$J$79,$J$85,$J$89)</f>
        <v>1.1033337149355144E-2</v>
      </c>
      <c r="K94" s="156">
        <f>$K$55-AVERAGE($K$58,$K$62,$K$66,$K$68,$K$70,$K$71,$K$79,$K$85,$K$89)</f>
        <v>1.7655559711986124E-2</v>
      </c>
      <c r="L94" s="156">
        <f>$L$55-AVERAGE($L$58,$L$62,$L$66,$L$68,$L$70,$L$71,$L$79,$L$85,$L$89)</f>
        <v>2.8433333668443889E-2</v>
      </c>
      <c r="M94" s="156">
        <f>$M$55-AVERAGE($M$58,$M$62,$M$66,$M$68,$M$70,$M$71,$M$79,$M$85,$M$89)</f>
        <v>4.3488887449105576E-2</v>
      </c>
      <c r="N94" s="156">
        <f>$N$55-AVERAGE($N$58,$N$62,$N$66,$N$68,$N$70,$N$71,$N$79,$N$85,$N$89)</f>
        <v>6.4388881127039596E-2</v>
      </c>
      <c r="O94" s="156">
        <f>$O$55-AVERAGE($O$58,$O$62,$O$66,$O$68,$O$70,$O$71,$O$79,$O$85,$O$89)</f>
        <v>9.2077773478296071E-2</v>
      </c>
      <c r="P94" s="156">
        <f>$P$55-AVERAGE($P$58,$P$62,$P$66,$P$68,$P$70,$P$71,$P$79,$P$85,$P$89)</f>
        <v>0.12624445060888928</v>
      </c>
      <c r="Q94" s="156">
        <f>$Q$55-AVERAGE($Q$58,$Q$62,$Q$66,$Q$68,$Q$70,$Q$71,$Q$79,$Q$85,$Q$89)</f>
        <v>0.16355555256207782</v>
      </c>
      <c r="R94" s="156">
        <f>$R$55-AVERAGE($R$58,$R$62,$R$66,$R$68,$R$70,$R$71,$R$79,$R$85,$R$89)</f>
        <v>0.20895554622014362</v>
      </c>
      <c r="S94" s="156">
        <f>$S$55-AVERAGE($S$58,$S$62,$S$66,$S$68,$S$70,$S$71,$S$79,$S$85,$S$89)</f>
        <v>0.25494443790780175</v>
      </c>
      <c r="T94" s="156">
        <f>$T$55-AVERAGE($T$58,$T$62,$T$66,$T$68,$T$70,$T$71,$T$79,$T$85,$T$89)</f>
        <v>0.29137777785460156</v>
      </c>
      <c r="U94" s="156">
        <f>$U$55-AVERAGE($U$58,$U$62,$U$66,$U$68,$U$70,$U$71,$U$79,$U$85,$U$89)</f>
        <v>0.3198888964123196</v>
      </c>
      <c r="V94" s="156">
        <f>$V$55-AVERAGE($V$58,$V$62,$V$66,$V$68,$V$70,$V$71,$V$79,$V$85,$V$89)</f>
        <v>0.32672222786479527</v>
      </c>
      <c r="W94" s="156">
        <f>$W$55-AVERAGE($W$58,$W$62,$W$66,$W$68,$W$70,$W$71,$W$79,$W$85,$W$89)</f>
        <v>0.33355555931727093</v>
      </c>
      <c r="X94" s="156">
        <f>$X$55-AVERAGE($X$58,$X$62,$X$66,$X$68,$X$70,$X$71,$X$79,$X$85,$X$89)</f>
        <v>0.33269998762342667</v>
      </c>
      <c r="Y94" s="156">
        <f>$Y$55-AVERAGE($Y$58,$Y$62,$Y$66,$Y$68,$Y$70,$Y$71,$Y$79,$Y$85,$Y$89)</f>
        <v>0.32817778984705609</v>
      </c>
      <c r="Z94" s="156">
        <f>$Z$55-AVERAGE($Z$58,$Z$62,$Z$66,$Z$68,$Z$70,$Z$71,$Z$79,$Z$85,$Z$89)</f>
        <v>0.32355556057559121</v>
      </c>
      <c r="AA94" s="156">
        <f>$AA$55-AVERAGE($AA$58,$AA$62,$AA$66,$AA$68,$AA$70,$AA$71,$AA$79,$AA$85,$AA$89)</f>
        <v>0.32158887386322021</v>
      </c>
      <c r="AB94" s="156">
        <f>$AB$55-AVERAGE($AB$58,$AB$62,$AB$66,$AB$68,$AB$70,$AB$71,$AB$79,$AB$85,$AB$89)</f>
        <v>0.32075554049677318</v>
      </c>
      <c r="AC94" s="156">
        <f>$AC$55-AVERAGE($AC$58,$AC$62,$AC$66,$AC$68,$AC$70,$AC$71,$AC$79,$AC$85,$AC$89)</f>
        <v>0.32377778407600188</v>
      </c>
      <c r="AD94" s="156">
        <f>$AD$55-AVERAGE($AD$58,$AD$62,$AD$66,$AD$68,$AD$70,$AD$71,$AD$79,$AD$85,$AD$89)</f>
        <v>0.32724444899294114</v>
      </c>
      <c r="AE94" s="156">
        <f>$AE$55-AVERAGE($AE$58,$AE$62,$AE$66,$AE$68,$AE$70,$AE$71,$AE$79,$AE$85,$AE$89)</f>
        <v>0.33352222955889171</v>
      </c>
      <c r="AF94" s="156">
        <f>$AF$55-AVERAGE($AF$58,$AF$62,$AF$66,$AF$68,$AF$70,$AF$71,$AF$79,$AF$85,$AF$89)</f>
        <v>0.34317778133683735</v>
      </c>
    </row>
    <row r="95" spans="1:32" x14ac:dyDescent="0.2">
      <c r="A95" s="157" t="s">
        <v>365</v>
      </c>
      <c r="B95" s="157">
        <f>$B$56-AVERAGE($B$58,$B$62,$B$66)</f>
        <v>7.6666722695033218E-4</v>
      </c>
      <c r="C95" s="157">
        <f>$C$56-AVERAGE($C$58,$C$62,$C$66)</f>
        <v>1.0999987522761073E-3</v>
      </c>
      <c r="D95" s="157">
        <f>$D$56-AVERAGE($D$58,$D$62,$D$66)</f>
        <v>8.0000112454096939E-4</v>
      </c>
      <c r="E95" s="157">
        <f>$E$56-AVERAGE($E$58,$E$62,$E$66)</f>
        <v>1.2333343426386562E-3</v>
      </c>
      <c r="F95" s="157">
        <f>$F$56-AVERAGE($F$58,$F$62,$F$66)</f>
        <v>1.9333362579345703E-3</v>
      </c>
      <c r="G95" s="157">
        <f>$G$56-AVERAGE($G$58,$G$62,$G$66)</f>
        <v>2.866668005784348E-3</v>
      </c>
      <c r="H95" s="157">
        <f>$H$56-AVERAGE($H$58,$H$62,$H$66)</f>
        <v>4.3000007669131007E-3</v>
      </c>
      <c r="I95" s="157">
        <f>$I$56-AVERAGE($I$58,$I$62,$I$66)</f>
        <v>6.8666661779085841E-3</v>
      </c>
      <c r="J95" s="157">
        <f>$J$56-AVERAGE($J$58,$J$62,$J$66)</f>
        <v>1.1000002423922225E-2</v>
      </c>
      <c r="K95" s="157">
        <f>$K$56-AVERAGE($K$58,$K$62,$K$66)</f>
        <v>1.7900000015894577E-2</v>
      </c>
      <c r="L95" s="157">
        <f>$L$56-AVERAGE($L$58,$L$62,$L$66)</f>
        <v>2.8500008086363479E-2</v>
      </c>
      <c r="M95" s="157">
        <f>$M$56-AVERAGE($M$58,$M$62,$M$66)</f>
        <v>4.3400004506111145E-2</v>
      </c>
      <c r="N95" s="157">
        <f>$N$56-AVERAGE($N$58,$N$62,$N$66)</f>
        <v>6.4333332081635788E-2</v>
      </c>
      <c r="O95" s="157">
        <f>$O$56-AVERAGE($O$58,$O$62,$O$66)</f>
        <v>9.213334073623021E-2</v>
      </c>
      <c r="P95" s="157">
        <f>$P$56-AVERAGE($P$58,$P$62,$P$66)</f>
        <v>0.1266999940077464</v>
      </c>
      <c r="Q95" s="157">
        <f>$Q$56-AVERAGE($Q$58,$Q$62,$Q$66)</f>
        <v>0.16549999515215558</v>
      </c>
      <c r="R95" s="157">
        <f>$R$56-AVERAGE($R$58,$R$62,$R$66)</f>
        <v>0.20836665729681653</v>
      </c>
      <c r="S95" s="157">
        <f>$S$56-AVERAGE($S$58,$S$62,$S$66)</f>
        <v>0.25576667984326679</v>
      </c>
      <c r="T95" s="157">
        <f>$T$56-AVERAGE($T$58,$T$62,$T$66)</f>
        <v>0.29223332305749256</v>
      </c>
      <c r="U95" s="157">
        <f>$U$56-AVERAGE($U$58,$U$62,$U$66)</f>
        <v>0.3208666518330574</v>
      </c>
      <c r="V95" s="157">
        <f>$V$56-AVERAGE($V$58,$V$62,$V$66)</f>
        <v>0.32851665342847508</v>
      </c>
      <c r="W95" s="157">
        <f>$W$56-AVERAGE($W$58,$W$62,$W$66)</f>
        <v>0.3361666550238927</v>
      </c>
      <c r="X95" s="157">
        <f>$X$56-AVERAGE($X$58,$X$62,$X$66)</f>
        <v>0.33610000212987262</v>
      </c>
      <c r="Y95" s="157">
        <f>$Y$56-AVERAGE($Y$58,$Y$62,$Y$66)</f>
        <v>0.33050000667572021</v>
      </c>
      <c r="Z95" s="157">
        <f>$Z$56-AVERAGE($Z$58,$Z$62,$Z$66)</f>
        <v>0.32613332569599152</v>
      </c>
      <c r="AA95" s="157">
        <f>$AA$56-AVERAGE($AA$58,$AA$62,$AA$66)</f>
        <v>0.32213333249092102</v>
      </c>
      <c r="AB95" s="157">
        <f>$AB$56-AVERAGE($AB$58,$AB$62,$AB$66)</f>
        <v>0.32253333926200867</v>
      </c>
      <c r="AC95" s="157">
        <f>$AC$56-AVERAGE($AC$58,$AC$62,$AC$66)</f>
        <v>0.32259999215602875</v>
      </c>
      <c r="AD95" s="157">
        <f>$AD$56-AVERAGE($AD$58,$AD$62,$AD$66)</f>
        <v>0.32760000228881836</v>
      </c>
      <c r="AE95" s="157">
        <f>$AE$56-AVERAGE($AE$58,$AE$62,$AE$66)</f>
        <v>0.3326999967296918</v>
      </c>
      <c r="AF95" s="157">
        <f>$AF$56-AVERAGE($AF$58,$AF$62,$AF$66)</f>
        <v>0.34250001360972721</v>
      </c>
    </row>
    <row r="96" spans="1:32" x14ac:dyDescent="0.2">
      <c r="A96" s="168" t="s">
        <v>366</v>
      </c>
      <c r="B96" s="168">
        <f>$B$57-AVERAGE($B$58)</f>
        <v>9.0000033378601074E-4</v>
      </c>
      <c r="C96" s="168">
        <f>$C$57-AVERAGE($C$58)</f>
        <v>1.0000020265579224E-3</v>
      </c>
      <c r="D96" s="168">
        <f>$D$57-AVERAGE($D$58)</f>
        <v>1.0000020265579224E-3</v>
      </c>
      <c r="E96" s="168">
        <f>$E$57-AVERAGE($E$58)</f>
        <v>1.1999979615211487E-3</v>
      </c>
      <c r="F96" s="168">
        <f>$F$57-AVERAGE($F$58)</f>
        <v>2.3000016808509827E-3</v>
      </c>
      <c r="G96" s="168">
        <f>$G$57-AVERAGE($G$58)</f>
        <v>2.7999952435493469E-3</v>
      </c>
      <c r="H96" s="168">
        <f>$H$57-AVERAGE($H$58)</f>
        <v>4.1999965906143188E-3</v>
      </c>
      <c r="I96" s="168">
        <f>$I$57-AVERAGE($I$58)</f>
        <v>7.8999996185302734E-3</v>
      </c>
      <c r="J96" s="168">
        <f>$J$57-AVERAGE($J$58)</f>
        <v>1.0499998927116394E-2</v>
      </c>
      <c r="K96" s="168">
        <f>$K$57-AVERAGE($K$58)</f>
        <v>1.7099998891353607E-2</v>
      </c>
      <c r="L96" s="168">
        <f>$L$57-AVERAGE($L$58)</f>
        <v>2.7200005948543549E-2</v>
      </c>
      <c r="M96" s="168">
        <f>$M$57-AVERAGE($M$58)</f>
        <v>4.2700000107288361E-2</v>
      </c>
      <c r="N96" s="168">
        <f>$N$57-AVERAGE($N$58)</f>
        <v>6.1399996280670166E-2</v>
      </c>
      <c r="O96" s="168">
        <f>$O$57-AVERAGE($O$58)</f>
        <v>8.8300004601478577E-2</v>
      </c>
      <c r="P96" s="168">
        <f>$P$57-AVERAGE($P$58)</f>
        <v>0.1218000054359436</v>
      </c>
      <c r="Q96" s="168">
        <f>$Q$57-AVERAGE($Q$58)</f>
        <v>0.16019999980926514</v>
      </c>
      <c r="R96" s="168">
        <f>$R$57-AVERAGE($R$58)</f>
        <v>0.20409999787807465</v>
      </c>
      <c r="S96" s="168">
        <f>$S$57-AVERAGE($S$58)</f>
        <v>0.25190000981092453</v>
      </c>
      <c r="T96" s="168">
        <f>$T$57-AVERAGE($T$58)</f>
        <v>0.2905999943614006</v>
      </c>
      <c r="U96" s="168">
        <f>$U$57-AVERAGE($U$58)</f>
        <v>0.32030001282691956</v>
      </c>
      <c r="V96" s="168">
        <f>$V$57-AVERAGE($V$58)</f>
        <v>0.329950001090765</v>
      </c>
      <c r="W96" s="168">
        <f>$W$57-AVERAGE($W$58)</f>
        <v>0.33959998935461044</v>
      </c>
      <c r="X96" s="168">
        <f>$X$57-AVERAGE($X$58)</f>
        <v>0.34140000492334366</v>
      </c>
      <c r="Y96" s="168">
        <f>$Y$57-AVERAGE($Y$58)</f>
        <v>0.33720000088214874</v>
      </c>
      <c r="Z96" s="168">
        <f>$Z$57-AVERAGE($Z$58)</f>
        <v>0.33299998939037323</v>
      </c>
      <c r="AA96" s="168">
        <f>$AA$57-AVERAGE($AA$58)</f>
        <v>0.32989999651908875</v>
      </c>
      <c r="AB96" s="168">
        <f>$AB$57-AVERAGE($AB$58)</f>
        <v>0.32769998908042908</v>
      </c>
      <c r="AC96" s="168">
        <f>$AC$57-AVERAGE($AC$58)</f>
        <v>0.33209998905658722</v>
      </c>
      <c r="AD96" s="168">
        <f>$AD$57-AVERAGE($AD$58)</f>
        <v>0.33279998600482941</v>
      </c>
      <c r="AE96" s="168">
        <f>$AE$57-AVERAGE($AE$58)</f>
        <v>0.34020000696182251</v>
      </c>
      <c r="AF96" s="168">
        <f>$AF$57-AVERAGE($AF$58)</f>
        <v>0.34619998931884766</v>
      </c>
    </row>
    <row r="97" spans="1:32" x14ac:dyDescent="0.2">
      <c r="A97" t="s">
        <v>367</v>
      </c>
      <c r="H97">
        <f>INDEX(LOGEST($B$94:$H$94,$B$54:$H$54,TRUE,TRUE), 3)</f>
        <v>0.97357458243307382</v>
      </c>
      <c r="I97">
        <f>INDEX(LOGEST($B$94:$I$94,$B$54:$I$54,TRUE,TRUE), 3)</f>
        <v>0.98097860421656724</v>
      </c>
      <c r="J97">
        <f>INDEX(LOGEST($B$94:$J$94,$B$54:$J$54,TRUE,TRUE), 3)</f>
        <v>0.98468208905530608</v>
      </c>
      <c r="K97">
        <f>INDEX(LOGEST($B$94:$K$94,$B$54:$K$54,TRUE,TRUE), 3)</f>
        <v>0.98759825749667141</v>
      </c>
      <c r="L97">
        <f>INDEX(LOGEST($B$94:$L$94,$B$54:$L$54,TRUE,TRUE), 3)</f>
        <v>0.98980321709210906</v>
      </c>
      <c r="M97">
        <f>INDEX(LOGEST($B$94:$M$94,$B$54:$M$54,TRUE,TRUE), 3)</f>
        <v>0.99186423643393939</v>
      </c>
      <c r="N97">
        <f>INDEX(LOGEST($B$94:$N$94,$B$54:$N$54,TRUE,TRUE), 3)</f>
        <v>0.99358421920582296</v>
      </c>
      <c r="O97">
        <f>INDEX(LOGEST($B$94:$O$94,$B$54:$O$54,TRUE,TRUE), 3)</f>
        <v>0.99482014482498038</v>
      </c>
      <c r="P97" s="155">
        <f>INDEX(LOGEST($B$94:$P$94,$B$54:$P$54,TRUE,TRUE), 3)</f>
        <v>0.9954354052583495</v>
      </c>
      <c r="Q97">
        <f>INDEX(LOGEST($B$94:$Q$94,$B$54:$Q$54,TRUE,TRUE), 3)</f>
        <v>0.99518312191601521</v>
      </c>
      <c r="R97">
        <f>INDEX(LOGEST($B$94:$R$94,$B$54:$R$54,TRUE,TRUE), 3)</f>
        <v>0.99417078990075924</v>
      </c>
      <c r="S97">
        <f>INDEX(LOGEST($B$94:$S$94,$B$54:$S$54,TRUE,TRUE), 3)</f>
        <v>0.99221087798895991</v>
      </c>
      <c r="T97">
        <f>INDEX(LOGEST($B$94:$T$94,$B$54:$T$54,TRUE,TRUE), 3)</f>
        <v>0.98883878462818586</v>
      </c>
      <c r="U97">
        <f>INDEX(LOGEST($B$94:$U$94,$B$54:$U$54,TRUE,TRUE), 3)</f>
        <v>0.98389100798775786</v>
      </c>
      <c r="V97">
        <f>INDEX(LOGEST($B$94:$V$94,$B$54:$V$54,TRUE,TRUE), 3)</f>
        <v>0.97661047347517582</v>
      </c>
      <c r="W97">
        <f>INDEX(LOGEST($B$94:$W$94,$B$54:$W$54,TRUE,TRUE), 3)</f>
        <v>0.96750610044784446</v>
      </c>
      <c r="X97">
        <f>INDEX(LOGEST($B$94:$X$94,$B$54:$X$54,TRUE,TRUE), 3)</f>
        <v>0.95657159249352708</v>
      </c>
      <c r="Y97">
        <f>INDEX(LOGEST($B$94:$Y$94,$B$54:$Y$54,TRUE,TRUE), 3)</f>
        <v>0.94400831570326782</v>
      </c>
      <c r="Z97">
        <f>INDEX(LOGEST($B$94:$Z$94,$B$54:$Z$54,TRUE,TRUE), 3)</f>
        <v>0.9301983096070443</v>
      </c>
      <c r="AA97">
        <f>INDEX(LOGEST($B$94:$AA$94,$B$54:$AA$54,TRUE,TRUE), 3)</f>
        <v>0.9156541900537426</v>
      </c>
      <c r="AB97">
        <f>INDEX(LOGEST($B$94:$AB$94,$B$54:$AB$54,TRUE,TRUE), 3)</f>
        <v>0.90069701557850101</v>
      </c>
      <c r="AC97">
        <f>INDEX(LOGEST($B$94:$AC$94,$B$54:$AC$54,TRUE,TRUE), 3)</f>
        <v>0.88578983972135206</v>
      </c>
      <c r="AD97">
        <f>INDEX(LOGEST($B$94:$AD$94,$B$54:$AD$54,TRUE,TRUE), 3)</f>
        <v>0.87106341328774284</v>
      </c>
      <c r="AE97">
        <f>INDEX(LOGEST($B$94:$AE$94,$B$54:$AE$54,TRUE,TRUE), 3)</f>
        <v>0.85678577262733824</v>
      </c>
      <c r="AF97">
        <f>INDEX(LOGEST($B$94:$AF$94,$B$54:$AF$54,TRUE,TRUE), 3)</f>
        <v>0.84320269469363895</v>
      </c>
    </row>
    <row r="98" spans="1:32" x14ac:dyDescent="0.2">
      <c r="A98" t="s">
        <v>368</v>
      </c>
      <c r="H98">
        <f>INDEX(LOGEST($B$95:$H$95,$B$54:$H$54,TRUE,TRUE), 3)</f>
        <v>0.88295804568804748</v>
      </c>
      <c r="I98">
        <f>INDEX(LOGEST($B$95:$I$95,$B$54:$I$54,TRUE,TRUE), 3)</f>
        <v>0.91695429382990823</v>
      </c>
      <c r="J98">
        <f>INDEX(LOGEST($B$95:$J$95,$B$54:$J$54,TRUE,TRUE), 3)</f>
        <v>0.93744917481240486</v>
      </c>
      <c r="K98">
        <f>INDEX(LOGEST($B$95:$K$95,$B$54:$K$54,TRUE,TRUE), 3)</f>
        <v>0.95073229854778962</v>
      </c>
      <c r="L98">
        <f>INDEX(LOGEST($B$95:$L$95,$B$54:$L$54,TRUE,TRUE), 3)</f>
        <v>0.96056418137027078</v>
      </c>
      <c r="M98">
        <f>INDEX(LOGEST($B$95:$M$95,$B$54:$M$54,TRUE,TRUE), 3)</f>
        <v>0.96853485612448387</v>
      </c>
      <c r="N98">
        <f>INDEX(LOGEST($B$95:$N$95,$B$54:$N$54,TRUE,TRUE), 3)</f>
        <v>0.97489252642294288</v>
      </c>
      <c r="O98">
        <f>INDEX(LOGEST($B$95:$O$95,$B$54:$O$54,TRUE,TRUE), 3)</f>
        <v>0.97987357932869712</v>
      </c>
      <c r="P98">
        <f>INDEX(LOGEST($B$95:$P$95,$B$54:$P$54,TRUE,TRUE), 3)</f>
        <v>0.98360054686195475</v>
      </c>
      <c r="Q98">
        <f>INDEX(LOGEST($B$95:$Q$95,$B$54:$Q$54,TRUE,TRUE), 3)</f>
        <v>0.98605187020756702</v>
      </c>
      <c r="R98" s="155">
        <f>INDEX(LOGEST($B$95:$R$95,$B$54:$R$54,TRUE,TRUE), 3)</f>
        <v>0.98721237383323324</v>
      </c>
      <c r="S98">
        <f>INDEX(LOGEST($B$95:$S$95,$B$54:$S$54,TRUE,TRUE), 3)</f>
        <v>0.98717830727727085</v>
      </c>
      <c r="T98">
        <f>INDEX(LOGEST($B$95:$T$95,$B$54:$T$54,TRUE,TRUE), 3)</f>
        <v>0.98550008404607359</v>
      </c>
      <c r="U98">
        <f>INDEX(LOGEST($B$95:$U$95,$B$54:$U$54,TRUE,TRUE), 3)</f>
        <v>0.98204770377618156</v>
      </c>
      <c r="V98">
        <f>INDEX(LOGEST($B$95:$V$95,$B$54:$V$54,TRUE,TRUE), 3)</f>
        <v>0.97613630095966553</v>
      </c>
      <c r="W98">
        <f>INDEX(LOGEST($B$95:$W$95,$B$54:$W$54,TRUE,TRUE), 3)</f>
        <v>0.96826901991066505</v>
      </c>
      <c r="X98">
        <f>INDEX(LOGEST($B$95:$X$95,$B$54:$X$54,TRUE,TRUE), 3)</f>
        <v>0.95845197288761186</v>
      </c>
      <c r="Y98">
        <f>INDEX(LOGEST($B$95:$Y$95,$B$54:$Y$54,TRUE,TRUE), 3)</f>
        <v>0.9467758793324409</v>
      </c>
      <c r="Z98">
        <f>INDEX(LOGEST($B$95:$Z$95,$B$54:$Z$54,TRUE,TRUE), 3)</f>
        <v>0.93373884873891455</v>
      </c>
      <c r="AA98">
        <f>INDEX(LOGEST($B$95:$AA$95,$B$54:$AA$54,TRUE,TRUE), 3)</f>
        <v>0.919701503425713</v>
      </c>
      <c r="AB98">
        <f>INDEX(LOGEST($B$95:$AB$95,$B$54:$AB$54,TRUE,TRUE), 3)</f>
        <v>0.90526527423249481</v>
      </c>
      <c r="AC98">
        <f>INDEX(LOGEST($B$95:$AC$95,$B$54:$AC$54,TRUE,TRUE), 3)</f>
        <v>0.89058192203667519</v>
      </c>
      <c r="AD98">
        <f>INDEX(LOGEST($B$95:$AD$95,$B$54:$AD$54,TRUE,TRUE), 3)</f>
        <v>0.87616384247629375</v>
      </c>
      <c r="AE98">
        <f>INDEX(LOGEST($B$95:$AE$95,$B$54:$AE$54,TRUE,TRUE), 3)</f>
        <v>0.86207225810980725</v>
      </c>
      <c r="AF98">
        <f>INDEX(LOGEST($B$95:$AF$95,$B$54:$AF$54,TRUE,TRUE), 3)</f>
        <v>0.84867421255313247</v>
      </c>
    </row>
    <row r="99" spans="1:32" x14ac:dyDescent="0.2">
      <c r="A99" t="s">
        <v>369</v>
      </c>
      <c r="H99">
        <f>INDEX(LOGEST($B$96:$H$96,$B$54:$H$54,TRUE,TRUE), 3)</f>
        <v>0.90376517153751568</v>
      </c>
      <c r="I99">
        <f>INDEX(LOGEST($B$96:$I$96,$B$54:$I$54,TRUE,TRUE), 3)</f>
        <v>0.9170676294639748</v>
      </c>
      <c r="J99">
        <f>INDEX(LOGEST($B$96:$J$96,$B$54:$J$54,TRUE,TRUE), 3)</f>
        <v>0.94020308418415477</v>
      </c>
      <c r="K99">
        <f>INDEX(LOGEST($B$96:$K$96,$B$54:$K$54,TRUE,TRUE), 3)</f>
        <v>0.9535691212152011</v>
      </c>
      <c r="L99">
        <f>INDEX(LOGEST($B$96:$L$96,$B$54:$L$54,TRUE,TRUE), 3)</f>
        <v>0.96270099113685514</v>
      </c>
      <c r="M99">
        <f>INDEX(LOGEST($B$96:$M$96,$B$54:$M$54,TRUE,TRUE), 3)</f>
        <v>0.96955477797482947</v>
      </c>
      <c r="N99">
        <f>INDEX(LOGEST($B$96:$N$96,$B$54:$N$54,TRUE,TRUE), 3)</f>
        <v>0.97560664502798389</v>
      </c>
      <c r="O99">
        <f>INDEX(LOGEST($B$96:$O$96,$B$54:$O$54,TRUE,TRUE), 3)</f>
        <v>0.98038582903115767</v>
      </c>
      <c r="P99">
        <f>INDEX(LOGEST($B$96:$P$96,$B$54:$P$54,TRUE,TRUE), 3)</f>
        <v>0.9840560947537994</v>
      </c>
      <c r="Q99">
        <f>INDEX(LOGEST($B$96:$Q$96,$B$54:$Q$54,TRUE,TRUE), 3)</f>
        <v>0.98660272021562101</v>
      </c>
      <c r="R99">
        <f>INDEX(LOGEST($B$96:$R$96,$B$54:$R$54,TRUE,TRUE), 3)</f>
        <v>0.98801947306678373</v>
      </c>
      <c r="S99" s="155">
        <f>INDEX(LOGEST($B$96:$S$96,$B$54:$S$54,TRUE,TRUE), 3)</f>
        <v>0.98831843239224182</v>
      </c>
      <c r="T99">
        <f>INDEX(LOGEST($B$96:$T$96,$B$54:$T$54,TRUE,TRUE), 3)</f>
        <v>0.98711010929427934</v>
      </c>
      <c r="U99">
        <f>INDEX(LOGEST($B$96:$U$96,$B$54:$U$54,TRUE,TRUE), 3)</f>
        <v>0.98416911761800785</v>
      </c>
      <c r="V99">
        <f>INDEX(LOGEST($B$96:$V$96,$B$54:$V$54,TRUE,TRUE), 3)</f>
        <v>0.97885579837998271</v>
      </c>
      <c r="W99">
        <f>INDEX(LOGEST($B$96:$W$96,$B$54:$W$54,TRUE,TRUE), 3)</f>
        <v>0.97163436616082988</v>
      </c>
      <c r="X99">
        <f>INDEX(LOGEST($B$96:$X$96,$B$54:$X$54,TRUE,TRUE), 3)</f>
        <v>0.96250011700687987</v>
      </c>
      <c r="Y99">
        <f>INDEX(LOGEST($B$96:$Y$96,$B$54:$Y$54,TRUE,TRUE), 3)</f>
        <v>0.95151817067525246</v>
      </c>
      <c r="Z99">
        <f>INDEX(LOGEST($B$96:$Z$96,$B$54:$Z$54,TRUE,TRUE), 3)</f>
        <v>0.9390971422944473</v>
      </c>
      <c r="AA99">
        <f>INDEX(LOGEST($B$96:$AA$96,$B$54:$AA$54,TRUE,TRUE), 3)</f>
        <v>0.92565689689161657</v>
      </c>
      <c r="AB99">
        <f>INDEX(LOGEST($B$96:$AB$96,$B$54:$AB$54,TRUE,TRUE), 3)</f>
        <v>0.91153551571705116</v>
      </c>
      <c r="AC99">
        <f>INDEX(LOGEST($B$96:$AC$96,$B$54:$AC$54,TRUE,TRUE), 3)</f>
        <v>0.89743216638483592</v>
      </c>
      <c r="AD99">
        <f>INDEX(LOGEST($B$96:$AD$96,$B$54:$AD$54,TRUE,TRUE), 3)</f>
        <v>0.88318124262100028</v>
      </c>
      <c r="AE99">
        <f>INDEX(LOGEST($B$96:$AE$96,$B$54:$AE$54,TRUE,TRUE), 3)</f>
        <v>0.86938070628689224</v>
      </c>
      <c r="AF99">
        <f>INDEX(LOGEST($B$96:$AF$96,$B$54:$AF$54,TRUE,TRUE), 3)</f>
        <v>0.85594755822259683</v>
      </c>
    </row>
    <row r="100" spans="1:32" s="160" customFormat="1" x14ac:dyDescent="0.2">
      <c r="A100" s="160" t="s">
        <v>370</v>
      </c>
      <c r="B100" s="160">
        <f>$K$43*EXP($J$49*$B$54)</f>
        <v>3.5756680140882539E-4</v>
      </c>
      <c r="C100" s="160">
        <f>$K$43*EXP($J$49*$C$54)</f>
        <v>5.4778159880535708E-4</v>
      </c>
      <c r="D100" s="160">
        <f>$K$43*EXP($J$49*$D$54)</f>
        <v>8.3918495455251492E-4</v>
      </c>
      <c r="E100" s="160">
        <f>$K$43*EXP($J$49*$E$54)</f>
        <v>1.2856061420886476E-3</v>
      </c>
      <c r="F100" s="160">
        <f>$K$43*EXP($J$49*$F$54)</f>
        <v>1.9695099913431863E-3</v>
      </c>
      <c r="G100" s="160">
        <f>$K$43*EXP($J$49*$G$54)</f>
        <v>3.0172301446061136E-3</v>
      </c>
      <c r="H100" s="160">
        <f>$K$43*EXP($J$49*$H$54)</f>
        <v>4.6223059469280544E-3</v>
      </c>
      <c r="I100" s="160">
        <f>$K$43*EXP($J$49*$I$54)</f>
        <v>7.081233861196112E-3</v>
      </c>
      <c r="J100" s="160">
        <f>$K$43*EXP($J$49*$J$54)</f>
        <v>1.0848237562092916E-2</v>
      </c>
      <c r="K100" s="160">
        <f>$K$43*EXP($J$49*$K$54)</f>
        <v>1.6619174074802449E-2</v>
      </c>
      <c r="L100" s="160">
        <f>$K$43*EXP($J$49*$L$54)</f>
        <v>2.5460075459049963E-2</v>
      </c>
      <c r="M100" s="160">
        <f>$K$43*EXP($J$49*$M$54)</f>
        <v>3.9004070807786159E-2</v>
      </c>
      <c r="N100" s="160">
        <f>$K$43*EXP($J$49*$N$54)</f>
        <v>5.9753064833829153E-2</v>
      </c>
      <c r="O100" s="160">
        <f>$K$43*EXP($J$49*$O$54)</f>
        <v>9.1539900402473964E-2</v>
      </c>
      <c r="P100" s="160">
        <f>$K$43*EXP($J$49*$P$54)</f>
        <v>0.14023637764854516</v>
      </c>
    </row>
    <row r="101" spans="1:32" s="161" customFormat="1" x14ac:dyDescent="0.2">
      <c r="A101" s="161" t="s">
        <v>371</v>
      </c>
      <c r="B101" s="161">
        <f>$Q$43*EXP($P$49*$B$54)</f>
        <v>5.0421944778860023E-4</v>
      </c>
      <c r="C101" s="161">
        <f>$Q$43*EXP($P$49*$C$54)</f>
        <v>7.4414762391981915E-4</v>
      </c>
      <c r="D101" s="161">
        <f>$Q$43*EXP($P$49*$D$54)</f>
        <v>1.098243410908024E-3</v>
      </c>
      <c r="E101" s="161">
        <f>$Q$43*EXP($P$49*$E$54)</f>
        <v>1.6208324139362577E-3</v>
      </c>
      <c r="F101" s="161">
        <f>$Q$43*EXP($P$49*$F$54)</f>
        <v>2.3920905766184929E-3</v>
      </c>
      <c r="G101" s="161">
        <f>$Q$43*EXP($P$49*$G$54)</f>
        <v>3.5303448262431082E-3</v>
      </c>
      <c r="H101" s="161">
        <f>$Q$43*EXP($P$49*$H$54)</f>
        <v>5.2102268676631385E-3</v>
      </c>
      <c r="I101" s="161">
        <f>$Q$43*EXP($P$49*$I$54)</f>
        <v>7.6894652926601855E-3</v>
      </c>
      <c r="J101" s="161">
        <f>$Q$43*EXP($P$49*$J$54)</f>
        <v>1.1348426467568638E-2</v>
      </c>
      <c r="K101" s="161">
        <f>$Q$43*EXP($P$49*$K$54)</f>
        <v>1.6748470587771954E-2</v>
      </c>
      <c r="L101" s="161">
        <f>$Q$43*EXP($P$49*$L$54)</f>
        <v>2.4718075922781298E-2</v>
      </c>
      <c r="M101" s="161">
        <f>$Q$43*EXP($P$49*$M$54)</f>
        <v>3.6479944489406613E-2</v>
      </c>
      <c r="N101" s="161">
        <f>$Q$43*EXP($P$49*$N$54)</f>
        <v>5.3838589787794745E-2</v>
      </c>
      <c r="O101" s="161">
        <f>$Q$43*EXP($P$49*$O$54)</f>
        <v>7.9457186432401378E-2</v>
      </c>
      <c r="P101" s="161">
        <f>$Q$43*EXP($P$49*$P$54)</f>
        <v>0.11726615612774943</v>
      </c>
      <c r="Q101" s="161">
        <f>$Q$43*EXP($P$49*$Q$54)</f>
        <v>0.17306617551424033</v>
      </c>
      <c r="R101" s="161">
        <f>$Q$43*EXP($P$49*$R$54)</f>
        <v>0.2554181197386256</v>
      </c>
    </row>
    <row r="102" spans="1:32" s="169" customFormat="1" x14ac:dyDescent="0.2">
      <c r="A102" s="169" t="s">
        <v>372</v>
      </c>
      <c r="B102" s="169">
        <f>$W$43*EXP($V$49*$B$54)</f>
        <v>5.6611821071809803E-4</v>
      </c>
      <c r="C102" s="169">
        <f>$W$43*EXP($V$49*$C$54)</f>
        <v>8.2305159859988872E-4</v>
      </c>
      <c r="D102" s="169">
        <f>$W$43*EXP($V$49*$D$54)</f>
        <v>1.1965944941049681E-3</v>
      </c>
      <c r="E102" s="169">
        <f>$W$43*EXP($V$49*$E$54)</f>
        <v>1.7396702536731073E-3</v>
      </c>
      <c r="F102" s="169">
        <f>$W$43*EXP($V$49*$F$54)</f>
        <v>2.5292215587025472E-3</v>
      </c>
      <c r="G102" s="169">
        <f>$W$43*EXP($V$49*$G$54)</f>
        <v>3.6771116132493014E-3</v>
      </c>
      <c r="H102" s="169">
        <f>$W$43*EXP($V$49*$H$54)</f>
        <v>5.3459728625866324E-3</v>
      </c>
      <c r="I102" s="169">
        <f>$W$43*EXP($V$49*$I$54)</f>
        <v>7.7722486705423506E-3</v>
      </c>
      <c r="J102" s="169">
        <f>$W$43*EXP($V$49*$J$54)</f>
        <v>1.129969248806085E-2</v>
      </c>
      <c r="K102" s="169">
        <f>$W$43*EXP($V$49*$K$54)</f>
        <v>1.6428070657166581E-2</v>
      </c>
      <c r="L102" s="169">
        <f>$W$43*EXP($V$49*$L$54)</f>
        <v>2.3883969037388583E-2</v>
      </c>
      <c r="M102" s="169">
        <f>$W$43*EXP($V$49*$M$54)</f>
        <v>3.4723735299378319E-2</v>
      </c>
      <c r="N102" s="169">
        <f>$W$43*EXP($V$49*$N$54)</f>
        <v>5.048314169448969E-2</v>
      </c>
      <c r="O102" s="169">
        <f>$W$43*EXP($V$49*$O$54)</f>
        <v>7.3394972440984821E-2</v>
      </c>
      <c r="P102" s="169">
        <f>$W$43*EXP($V$49*$P$54)</f>
        <v>0.10670536339066433</v>
      </c>
      <c r="Q102" s="169">
        <f>$W$43*EXP($V$49*$Q$54)</f>
        <v>0.1551337128096747</v>
      </c>
      <c r="R102" s="169">
        <f>$W$43*EXP($V$49*$R$54)</f>
        <v>0.22554132318544926</v>
      </c>
      <c r="S102" s="169">
        <f>$W$43*EXP($V$49*$S$54)</f>
        <v>0.32790350687120856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82065-EDE7-E241-B03F-803687B0E638}">
  <sheetPr codeName="Sheet48"/>
  <dimension ref="A42:AF102"/>
  <sheetViews>
    <sheetView workbookViewId="0"/>
  </sheetViews>
  <sheetFormatPr baseColWidth="10" defaultRowHeight="15" x14ac:dyDescent="0.2"/>
  <sheetData>
    <row r="42" spans="9:24" x14ac:dyDescent="0.2">
      <c r="I42" t="s">
        <v>249</v>
      </c>
      <c r="O42" t="s">
        <v>249</v>
      </c>
      <c r="U42" t="s">
        <v>249</v>
      </c>
    </row>
    <row r="43" spans="9:24" x14ac:dyDescent="0.2">
      <c r="I43" t="s">
        <v>250</v>
      </c>
      <c r="J43" s="159">
        <f t="array" ref="J43:K47">LOGEST($B$94:$Q$94,$B$54:$Q$54,TRUE,TRUE)</f>
        <v>1.0004551771861512</v>
      </c>
      <c r="K43" s="159">
        <v>3.6574191428258155E-4</v>
      </c>
      <c r="L43" t="s">
        <v>255</v>
      </c>
      <c r="O43" t="s">
        <v>250</v>
      </c>
      <c r="P43" s="159">
        <f t="array" ref="P43:Q47">LOGEST($B$95:$Q$95,$B$54:$Q$54,TRUE,TRUE)</f>
        <v>1.0004385386732404</v>
      </c>
      <c r="Q43" s="159">
        <v>5.3797442836156723E-4</v>
      </c>
      <c r="R43" t="s">
        <v>255</v>
      </c>
      <c r="U43" t="s">
        <v>250</v>
      </c>
      <c r="V43" s="159">
        <f t="array" ref="V43:W47">LOGEST($B$96:$P$96,$B$54:$P$54,TRUE,TRUE)</f>
        <v>1.0004522874567536</v>
      </c>
      <c r="W43" s="159">
        <v>5.3642727722460278E-4</v>
      </c>
      <c r="X43" t="s">
        <v>255</v>
      </c>
    </row>
    <row r="44" spans="9:24" x14ac:dyDescent="0.2">
      <c r="I44" t="s">
        <v>251</v>
      </c>
      <c r="J44" s="159">
        <v>7.6924612672000428E-6</v>
      </c>
      <c r="K44" s="159">
        <v>6.0954662523985792E-2</v>
      </c>
      <c r="L44" t="s">
        <v>256</v>
      </c>
      <c r="O44" t="s">
        <v>251</v>
      </c>
      <c r="P44" s="159">
        <v>9.0338804753346784E-6</v>
      </c>
      <c r="Q44" s="159">
        <v>7.158399847965459E-2</v>
      </c>
      <c r="R44" t="s">
        <v>256</v>
      </c>
      <c r="U44" t="s">
        <v>251</v>
      </c>
      <c r="V44" s="159">
        <v>9.7682509984385492E-6</v>
      </c>
      <c r="W44" s="159">
        <v>7.232608604575326E-2</v>
      </c>
      <c r="X44" t="s">
        <v>256</v>
      </c>
    </row>
    <row r="45" spans="9:24" x14ac:dyDescent="0.2">
      <c r="I45" t="s">
        <v>252</v>
      </c>
      <c r="J45" s="159">
        <v>0.99601561323925492</v>
      </c>
      <c r="K45" s="159">
        <v>0.12767196374784567</v>
      </c>
      <c r="L45" t="s">
        <v>257</v>
      </c>
      <c r="O45" t="s">
        <v>252</v>
      </c>
      <c r="P45" s="159">
        <v>0.99409149377749606</v>
      </c>
      <c r="Q45" s="159">
        <v>0.14993553044812571</v>
      </c>
      <c r="R45" t="s">
        <v>257</v>
      </c>
      <c r="U45" t="s">
        <v>252</v>
      </c>
      <c r="V45" s="159">
        <v>0.99396999669690644</v>
      </c>
      <c r="W45" s="159">
        <v>0.147125037922091</v>
      </c>
      <c r="X45" t="s">
        <v>257</v>
      </c>
    </row>
    <row r="46" spans="9:24" x14ac:dyDescent="0.2">
      <c r="I46" t="s">
        <v>253</v>
      </c>
      <c r="J46" s="159">
        <v>3499.7151187054278</v>
      </c>
      <c r="K46" s="159">
        <v>14</v>
      </c>
      <c r="L46" t="s">
        <v>258</v>
      </c>
      <c r="O46" t="s">
        <v>253</v>
      </c>
      <c r="P46" s="159">
        <v>2355.4652206132232</v>
      </c>
      <c r="Q46" s="159">
        <v>14</v>
      </c>
      <c r="R46" t="s">
        <v>258</v>
      </c>
      <c r="U46" t="s">
        <v>253</v>
      </c>
      <c r="V46" s="159">
        <v>2142.8860495699514</v>
      </c>
      <c r="W46" s="159">
        <v>13</v>
      </c>
      <c r="X46" t="s">
        <v>258</v>
      </c>
    </row>
    <row r="47" spans="9:24" x14ac:dyDescent="0.2">
      <c r="I47" t="s">
        <v>254</v>
      </c>
      <c r="J47" s="159">
        <v>57.04581254307994</v>
      </c>
      <c r="K47" s="159">
        <v>0.22820182458123703</v>
      </c>
      <c r="L47" t="s">
        <v>259</v>
      </c>
      <c r="O47" t="s">
        <v>254</v>
      </c>
      <c r="P47" s="159">
        <v>52.952420517703558</v>
      </c>
      <c r="Q47" s="159">
        <v>0.3147292860706517</v>
      </c>
      <c r="R47" t="s">
        <v>259</v>
      </c>
      <c r="U47" t="s">
        <v>254</v>
      </c>
      <c r="V47" s="159">
        <v>46.384433101631679</v>
      </c>
      <c r="W47" s="159">
        <v>0.28139509818649733</v>
      </c>
      <c r="X47" t="s">
        <v>259</v>
      </c>
    </row>
    <row r="49" spans="1:32" x14ac:dyDescent="0.2">
      <c r="I49" t="s">
        <v>260</v>
      </c>
      <c r="J49">
        <f>LN($J$43)</f>
        <v>4.5507362444054291E-4</v>
      </c>
      <c r="O49" t="s">
        <v>260</v>
      </c>
      <c r="P49">
        <f>LN($P$43)</f>
        <v>4.3844254325988173E-4</v>
      </c>
      <c r="U49" t="s">
        <v>260</v>
      </c>
      <c r="V49">
        <f>LN($V$43)</f>
        <v>4.52185205611973E-4</v>
      </c>
    </row>
    <row r="50" spans="1:32" x14ac:dyDescent="0.2">
      <c r="I50" t="s">
        <v>261</v>
      </c>
      <c r="J50">
        <f>ROUND(LN(2)/$J$49, 1)</f>
        <v>1523.2</v>
      </c>
      <c r="O50" t="s">
        <v>261</v>
      </c>
      <c r="P50">
        <f>ROUND(LN(2)/$P$49, 1)</f>
        <v>1580.9</v>
      </c>
      <c r="U50" t="s">
        <v>261</v>
      </c>
      <c r="V50">
        <f>ROUND(LN(2)/$V$49, 1)</f>
        <v>1532.9</v>
      </c>
    </row>
    <row r="51" spans="1:32" x14ac:dyDescent="0.2">
      <c r="I51" t="s">
        <v>204</v>
      </c>
      <c r="J51" s="155">
        <f>ROUND($J$50/60, 1)</f>
        <v>25.4</v>
      </c>
      <c r="O51" t="s">
        <v>204</v>
      </c>
      <c r="P51" s="155">
        <f>ROUND($P$50/60, 1)</f>
        <v>26.3</v>
      </c>
      <c r="U51" t="s">
        <v>204</v>
      </c>
      <c r="V51" s="155">
        <f>ROUND($V$50/60, 1)</f>
        <v>25.5</v>
      </c>
    </row>
    <row r="54" spans="1:32" x14ac:dyDescent="0.2">
      <c r="A54" t="s">
        <v>206</v>
      </c>
      <c r="B54" s="166">
        <v>0</v>
      </c>
      <c r="C54" s="166">
        <v>900.1</v>
      </c>
      <c r="D54" s="166">
        <v>1800.2</v>
      </c>
      <c r="E54" s="166">
        <v>2700.3</v>
      </c>
      <c r="F54" s="166">
        <v>3600.4</v>
      </c>
      <c r="G54" s="166">
        <v>4500.5</v>
      </c>
      <c r="H54" s="166">
        <v>5400.6</v>
      </c>
      <c r="I54" s="166">
        <v>6300.7</v>
      </c>
      <c r="J54" s="166">
        <v>7200.8</v>
      </c>
      <c r="K54" s="166">
        <v>8100.9</v>
      </c>
      <c r="L54" s="166">
        <v>9001</v>
      </c>
      <c r="M54" s="166">
        <v>9901.1</v>
      </c>
      <c r="N54" s="166">
        <v>10801.2</v>
      </c>
      <c r="O54" s="166">
        <v>11701.3</v>
      </c>
      <c r="P54" s="166">
        <v>12601.4</v>
      </c>
      <c r="Q54" s="166">
        <v>13501.5</v>
      </c>
      <c r="R54" s="166">
        <v>14401.6</v>
      </c>
      <c r="S54" s="166">
        <v>15301.7</v>
      </c>
      <c r="T54" s="166">
        <v>16201.8</v>
      </c>
      <c r="U54" s="166">
        <v>17101.900000000001</v>
      </c>
      <c r="V54" s="166">
        <v>18002</v>
      </c>
      <c r="W54" s="166">
        <v>18902.099999999999</v>
      </c>
      <c r="X54" s="166">
        <v>19802.2</v>
      </c>
      <c r="Y54" s="166">
        <v>20702.3</v>
      </c>
      <c r="Z54" s="166">
        <v>21602.400000000001</v>
      </c>
      <c r="AA54" s="166">
        <v>22502.5</v>
      </c>
      <c r="AB54" s="166">
        <v>23402.6</v>
      </c>
      <c r="AC54" s="166">
        <v>24302.7</v>
      </c>
      <c r="AD54" s="166">
        <v>25202.799999999999</v>
      </c>
      <c r="AE54" s="166">
        <v>26102.9</v>
      </c>
      <c r="AF54" s="166">
        <v>27003</v>
      </c>
    </row>
    <row r="55" spans="1:32" x14ac:dyDescent="0.2">
      <c r="A55" s="156" t="s">
        <v>373</v>
      </c>
      <c r="B55" s="156">
        <v>0.10589999705553055</v>
      </c>
      <c r="C55" s="156">
        <v>0.10589999705553055</v>
      </c>
      <c r="D55" s="156">
        <v>0.10610000044107437</v>
      </c>
      <c r="E55" s="156">
        <v>0.10639999806880951</v>
      </c>
      <c r="F55" s="156">
        <v>0.10679999738931656</v>
      </c>
      <c r="G55" s="156">
        <v>0.10769999772310257</v>
      </c>
      <c r="H55" s="156">
        <v>0.10890000313520432</v>
      </c>
      <c r="I55" s="156">
        <v>0.11089999973773956</v>
      </c>
      <c r="J55" s="156">
        <v>0.11439999938011169</v>
      </c>
      <c r="K55" s="156">
        <v>0.12030000239610672</v>
      </c>
      <c r="L55" s="156">
        <v>0.12950000166893005</v>
      </c>
      <c r="M55" s="156">
        <v>0.14259999990463257</v>
      </c>
      <c r="N55" s="156">
        <v>0.16079999506473541</v>
      </c>
      <c r="O55" s="156">
        <v>0.18500000238418579</v>
      </c>
      <c r="P55" s="156">
        <v>0.21480000019073486</v>
      </c>
      <c r="Q55" s="156">
        <v>0.24979999661445618</v>
      </c>
      <c r="R55" s="156">
        <v>0.29080000519752502</v>
      </c>
      <c r="S55" s="156">
        <v>0.3361000120639801</v>
      </c>
      <c r="T55" s="156">
        <v>0.37790000438690186</v>
      </c>
      <c r="U55" s="156">
        <v>0.41460001468658447</v>
      </c>
      <c r="V55" s="156">
        <f t="shared" ref="V55:V57" si="0">AVERAGE(U55,W55)</f>
        <v>0.43030001223087311</v>
      </c>
      <c r="W55" s="156">
        <v>0.44600000977516174</v>
      </c>
      <c r="X55" s="156">
        <v>0.45210000872612</v>
      </c>
      <c r="Y55" s="156">
        <v>0.45410001277923584</v>
      </c>
      <c r="Z55" s="156">
        <v>0.45170000195503235</v>
      </c>
      <c r="AA55" s="156">
        <v>0.4528999924659729</v>
      </c>
      <c r="AB55" s="156">
        <v>0.45429998636245728</v>
      </c>
      <c r="AC55" s="156">
        <v>0.45759999752044678</v>
      </c>
      <c r="AD55" s="156">
        <v>0.46340000629425049</v>
      </c>
      <c r="AE55" s="156">
        <v>0.47189998626708984</v>
      </c>
      <c r="AF55" s="156">
        <v>0.48170000314712524</v>
      </c>
    </row>
    <row r="56" spans="1:32" x14ac:dyDescent="0.2">
      <c r="A56" s="157" t="s">
        <v>374</v>
      </c>
      <c r="B56" s="157">
        <v>0.10620000213384628</v>
      </c>
      <c r="C56" s="157">
        <v>0.10610000044107437</v>
      </c>
      <c r="D56" s="157">
        <v>0.10639999806880951</v>
      </c>
      <c r="E56" s="157">
        <v>0.10689999908208847</v>
      </c>
      <c r="F56" s="157">
        <v>0.10740000009536743</v>
      </c>
      <c r="G56" s="157">
        <v>0.10849999636411667</v>
      </c>
      <c r="H56" s="157">
        <v>0.10999999940395355</v>
      </c>
      <c r="I56" s="157">
        <v>0.1128000020980835</v>
      </c>
      <c r="J56" s="157">
        <v>0.11749999970197678</v>
      </c>
      <c r="K56" s="157">
        <v>0.12510000169277191</v>
      </c>
      <c r="L56" s="157">
        <v>0.1363999992609024</v>
      </c>
      <c r="M56" s="157">
        <v>0.15250000357627869</v>
      </c>
      <c r="N56" s="157">
        <v>0.17479999363422394</v>
      </c>
      <c r="O56" s="157">
        <v>0.20250000059604645</v>
      </c>
      <c r="P56" s="157">
        <v>0.2354000061750412</v>
      </c>
      <c r="Q56" s="157">
        <v>0.27379998564720154</v>
      </c>
      <c r="R56" s="157">
        <v>0.31790000200271606</v>
      </c>
      <c r="S56" s="157">
        <v>0.36370000243186951</v>
      </c>
      <c r="T56" s="157">
        <v>0.39939999580383301</v>
      </c>
      <c r="U56" s="157">
        <v>0.43220001459121704</v>
      </c>
      <c r="V56" s="157">
        <f t="shared" si="0"/>
        <v>0.44175000488758087</v>
      </c>
      <c r="W56" s="157">
        <v>0.4512999951839447</v>
      </c>
      <c r="X56" s="157">
        <v>0.45399999618530273</v>
      </c>
      <c r="Y56" s="157">
        <v>0.45179998874664307</v>
      </c>
      <c r="Z56" s="157">
        <v>0.45019999146461487</v>
      </c>
      <c r="AA56" s="157">
        <v>0.45089998841285706</v>
      </c>
      <c r="AB56" s="157">
        <v>0.45320001244544983</v>
      </c>
      <c r="AC56" s="157">
        <v>0.45759999752044678</v>
      </c>
      <c r="AD56" s="157">
        <v>0.46340000629425049</v>
      </c>
      <c r="AE56" s="157">
        <v>0.47170001268386841</v>
      </c>
      <c r="AF56" s="157">
        <v>0.48260000348091125</v>
      </c>
    </row>
    <row r="57" spans="1:32" x14ac:dyDescent="0.2">
      <c r="A57" s="168" t="s">
        <v>375</v>
      </c>
      <c r="B57" s="168">
        <v>0.10710000246763229</v>
      </c>
      <c r="C57" s="168">
        <v>0.10679999738931656</v>
      </c>
      <c r="D57" s="168">
        <v>0.10710000246763229</v>
      </c>
      <c r="E57" s="168">
        <v>0.10760000348091125</v>
      </c>
      <c r="F57" s="168">
        <v>0.10819999873638153</v>
      </c>
      <c r="G57" s="168">
        <v>0.10939999669790268</v>
      </c>
      <c r="H57" s="168">
        <v>0.11129999905824661</v>
      </c>
      <c r="I57" s="168">
        <v>0.11439999938011169</v>
      </c>
      <c r="J57" s="168">
        <v>0.11980000138282776</v>
      </c>
      <c r="K57" s="168">
        <v>0.12839999794960022</v>
      </c>
      <c r="L57" s="168">
        <v>0.14100000262260437</v>
      </c>
      <c r="M57" s="168">
        <v>0.15880000591278076</v>
      </c>
      <c r="N57" s="168">
        <v>0.18269999325275421</v>
      </c>
      <c r="O57" s="168">
        <v>0.21269999444484711</v>
      </c>
      <c r="P57" s="168">
        <v>0.24729999899864197</v>
      </c>
      <c r="Q57" s="168">
        <v>0.28720000386238098</v>
      </c>
      <c r="R57" s="168">
        <v>0.33219999074935913</v>
      </c>
      <c r="S57" s="168">
        <v>0.37619999051094055</v>
      </c>
      <c r="T57" s="168">
        <v>0.41089999675750732</v>
      </c>
      <c r="U57" s="168">
        <v>0.44119998812675476</v>
      </c>
      <c r="V57" s="168">
        <f t="shared" si="0"/>
        <v>0.44720000028610229</v>
      </c>
      <c r="W57" s="168">
        <v>0.45320001244544983</v>
      </c>
      <c r="X57" s="168">
        <v>0.45489999651908875</v>
      </c>
      <c r="Y57" s="168">
        <v>0.45239999890327454</v>
      </c>
      <c r="Z57" s="168">
        <v>0.4496999979019165</v>
      </c>
      <c r="AA57" s="168">
        <v>0.45039999485015869</v>
      </c>
      <c r="AB57" s="168">
        <v>0.45239999890327454</v>
      </c>
      <c r="AC57" s="168">
        <v>0.45719999074935913</v>
      </c>
      <c r="AD57" s="168">
        <v>0.46389999985694885</v>
      </c>
      <c r="AE57" s="168">
        <v>0.47209998965263367</v>
      </c>
      <c r="AF57" s="168">
        <v>0.4828999936580658</v>
      </c>
    </row>
    <row r="58" spans="1:32" x14ac:dyDescent="0.2">
      <c r="A58" s="158" t="s">
        <v>209</v>
      </c>
      <c r="B58" s="158">
        <v>0.10480000078678131</v>
      </c>
      <c r="C58" s="158">
        <v>0.1046999990940094</v>
      </c>
      <c r="D58" s="158">
        <v>0.1046999990940094</v>
      </c>
      <c r="E58" s="158">
        <v>0.10480000078678131</v>
      </c>
      <c r="F58" s="158">
        <v>0.10459999740123749</v>
      </c>
      <c r="G58" s="158">
        <v>0.10450000315904617</v>
      </c>
      <c r="H58" s="158">
        <v>0.10440000146627426</v>
      </c>
      <c r="I58" s="158">
        <v>0.10429999977350235</v>
      </c>
      <c r="J58" s="158">
        <v>0.10419999808073044</v>
      </c>
      <c r="K58" s="158">
        <v>0.10419999808073044</v>
      </c>
      <c r="L58" s="158">
        <v>0.10419999808073044</v>
      </c>
      <c r="M58" s="158">
        <v>0.10409999638795853</v>
      </c>
      <c r="N58" s="158">
        <v>0.10400000214576721</v>
      </c>
      <c r="O58" s="158">
        <v>0.1039000004529953</v>
      </c>
      <c r="P58" s="158">
        <v>0.10379999876022339</v>
      </c>
      <c r="Q58" s="158">
        <v>0.10379999876022339</v>
      </c>
      <c r="R58" s="158">
        <v>0.1039000004529953</v>
      </c>
      <c r="S58" s="158">
        <v>0.10360000282526016</v>
      </c>
      <c r="T58" s="158">
        <v>0.10360000282526016</v>
      </c>
      <c r="U58" s="158">
        <v>0.10379999876022339</v>
      </c>
      <c r="V58" s="158">
        <f>AVERAGE(U58,W58)</f>
        <v>0.10359999909996986</v>
      </c>
      <c r="W58" s="158">
        <v>0.10339999943971634</v>
      </c>
      <c r="X58" s="158">
        <v>0.10329999774694443</v>
      </c>
      <c r="Y58" s="158">
        <v>0.10320000350475311</v>
      </c>
      <c r="Z58" s="158">
        <v>0.10320000350475311</v>
      </c>
      <c r="AA58" s="158">
        <v>0.1031000018119812</v>
      </c>
      <c r="AB58" s="158">
        <v>0.1031000018119812</v>
      </c>
      <c r="AC58" s="158">
        <v>0.10300000011920929</v>
      </c>
      <c r="AD58" s="158">
        <v>0.10300000011920929</v>
      </c>
      <c r="AE58" s="158">
        <v>0.10289999842643738</v>
      </c>
      <c r="AF58" s="158">
        <v>0.10289999842643738</v>
      </c>
    </row>
    <row r="59" spans="1:32" x14ac:dyDescent="0.2">
      <c r="A59" s="158" t="s">
        <v>210</v>
      </c>
      <c r="B59" s="158">
        <v>0.10660000145435333</v>
      </c>
      <c r="C59" s="158">
        <v>0.10649999976158142</v>
      </c>
      <c r="D59" s="158">
        <v>0.10649999976158142</v>
      </c>
      <c r="E59" s="158">
        <v>0.10649999976158142</v>
      </c>
      <c r="F59" s="158">
        <v>0.10639999806880951</v>
      </c>
      <c r="G59" s="158">
        <v>0.1062999963760376</v>
      </c>
      <c r="H59" s="158">
        <v>0.1062999963760376</v>
      </c>
      <c r="I59" s="158">
        <v>0.10610000044107437</v>
      </c>
      <c r="J59" s="158">
        <v>0.10610000044107437</v>
      </c>
      <c r="K59" s="158">
        <v>0.10610000044107437</v>
      </c>
      <c r="L59" s="158">
        <v>0.10610000044107437</v>
      </c>
      <c r="M59" s="158">
        <v>0.10599999874830246</v>
      </c>
      <c r="N59" s="158">
        <v>0.10589999705553055</v>
      </c>
      <c r="O59" s="158">
        <v>0.10589999705553055</v>
      </c>
      <c r="P59" s="158">
        <v>0.10570000112056732</v>
      </c>
      <c r="Q59" s="158">
        <v>0.10570000112056732</v>
      </c>
      <c r="R59" s="158">
        <v>0.10570000112056732</v>
      </c>
      <c r="S59" s="158">
        <v>0.10559999942779541</v>
      </c>
      <c r="T59" s="158">
        <v>0.10559999942779541</v>
      </c>
      <c r="U59" s="158">
        <v>0.10559999942779541</v>
      </c>
      <c r="V59" s="158">
        <f t="shared" ref="V59:V93" si="1">AVERAGE(U59,W59)</f>
        <v>0.1055000014603138</v>
      </c>
      <c r="W59" s="158">
        <v>0.10540000349283218</v>
      </c>
      <c r="X59" s="158">
        <v>0.10540000349283218</v>
      </c>
      <c r="Y59" s="158">
        <v>0.10530000180006027</v>
      </c>
      <c r="Z59" s="158">
        <v>0.10530000180006027</v>
      </c>
      <c r="AA59" s="158">
        <v>0.10520000010728836</v>
      </c>
      <c r="AB59" s="158">
        <v>0.10520000010728836</v>
      </c>
      <c r="AC59" s="158">
        <v>0.10520000010728836</v>
      </c>
      <c r="AD59" s="158">
        <v>0.10509999841451645</v>
      </c>
      <c r="AE59" s="158">
        <v>0.10509999841451645</v>
      </c>
      <c r="AF59" s="158">
        <v>0.10509999841451645</v>
      </c>
    </row>
    <row r="60" spans="1:32" x14ac:dyDescent="0.2">
      <c r="A60" s="158" t="s">
        <v>211</v>
      </c>
      <c r="B60" s="158">
        <v>0.10740000009536743</v>
      </c>
      <c r="C60" s="158">
        <v>0.10740000009536743</v>
      </c>
      <c r="D60" s="158">
        <v>0.10729999840259552</v>
      </c>
      <c r="E60" s="158">
        <v>0.10729999840259552</v>
      </c>
      <c r="F60" s="158">
        <v>0.10719999670982361</v>
      </c>
      <c r="G60" s="158">
        <v>0.10719999670982361</v>
      </c>
      <c r="H60" s="158">
        <v>0.10710000246763229</v>
      </c>
      <c r="I60" s="158">
        <v>0.10689999908208847</v>
      </c>
      <c r="J60" s="158">
        <v>0.10689999908208847</v>
      </c>
      <c r="K60" s="158">
        <v>0.10710000246763229</v>
      </c>
      <c r="L60" s="158">
        <v>0.10679999738931656</v>
      </c>
      <c r="M60" s="158">
        <v>0.10670000314712524</v>
      </c>
      <c r="N60" s="158">
        <v>0.10670000314712524</v>
      </c>
      <c r="O60" s="158">
        <v>0.10660000145435333</v>
      </c>
      <c r="P60" s="158">
        <v>0.10649999976158142</v>
      </c>
      <c r="Q60" s="158">
        <v>0.10649999976158142</v>
      </c>
      <c r="R60" s="158">
        <v>0.10639999806880951</v>
      </c>
      <c r="S60" s="158">
        <v>0.1062999963760376</v>
      </c>
      <c r="T60" s="158">
        <v>0.1062999963760376</v>
      </c>
      <c r="U60" s="158">
        <v>0.1062999963760376</v>
      </c>
      <c r="V60" s="158">
        <f t="shared" si="1"/>
        <v>0.10624999925494194</v>
      </c>
      <c r="W60" s="158">
        <v>0.10620000213384628</v>
      </c>
      <c r="X60" s="158">
        <v>0.10610000044107437</v>
      </c>
      <c r="Y60" s="158">
        <v>0.10610000044107437</v>
      </c>
      <c r="Z60" s="158">
        <v>0.10599999874830246</v>
      </c>
      <c r="AA60" s="158">
        <v>0.10589999705553055</v>
      </c>
      <c r="AB60" s="158">
        <v>0.10589999705553055</v>
      </c>
      <c r="AC60" s="158">
        <v>0.10599999874830246</v>
      </c>
      <c r="AD60" s="158">
        <v>0.10580000281333923</v>
      </c>
      <c r="AE60" s="158">
        <v>0.10580000281333923</v>
      </c>
      <c r="AF60" s="158">
        <v>0.10580000281333923</v>
      </c>
    </row>
    <row r="61" spans="1:32" x14ac:dyDescent="0.2">
      <c r="A61" s="158" t="s">
        <v>212</v>
      </c>
      <c r="B61" s="158">
        <v>0.10700000077486038</v>
      </c>
      <c r="C61" s="158">
        <v>0.10689999908208847</v>
      </c>
      <c r="D61" s="158">
        <v>0.10679999738931656</v>
      </c>
      <c r="E61" s="158">
        <v>0.10689999908208847</v>
      </c>
      <c r="F61" s="158">
        <v>0.10670000314712524</v>
      </c>
      <c r="G61" s="158">
        <v>0.10689999908208847</v>
      </c>
      <c r="H61" s="158">
        <v>0.10660000145435333</v>
      </c>
      <c r="I61" s="158">
        <v>0.10639999806880951</v>
      </c>
      <c r="J61" s="158">
        <v>0.10639999806880951</v>
      </c>
      <c r="K61" s="158">
        <v>0.1062999963760376</v>
      </c>
      <c r="L61" s="158">
        <v>0.1062999963760376</v>
      </c>
      <c r="M61" s="158">
        <v>0.1062999963760376</v>
      </c>
      <c r="N61" s="158">
        <v>0.10620000213384628</v>
      </c>
      <c r="O61" s="158">
        <v>0.10610000044107437</v>
      </c>
      <c r="P61" s="158">
        <v>0.10599999874830246</v>
      </c>
      <c r="Q61" s="158">
        <v>0.10599999874830246</v>
      </c>
      <c r="R61" s="158">
        <v>0.10599999874830246</v>
      </c>
      <c r="S61" s="158">
        <v>0.10580000281333923</v>
      </c>
      <c r="T61" s="158">
        <v>0.10580000281333923</v>
      </c>
      <c r="U61" s="158">
        <v>0.10580000281333923</v>
      </c>
      <c r="V61" s="158">
        <f t="shared" si="1"/>
        <v>0.10575000196695328</v>
      </c>
      <c r="W61" s="158">
        <v>0.10570000112056732</v>
      </c>
      <c r="X61" s="158">
        <v>0.10559999942779541</v>
      </c>
      <c r="Y61" s="158">
        <v>0.10559999942779541</v>
      </c>
      <c r="Z61" s="158">
        <v>0.10559999942779541</v>
      </c>
      <c r="AA61" s="158">
        <v>0.10540000349283218</v>
      </c>
      <c r="AB61" s="158">
        <v>0.10540000349283218</v>
      </c>
      <c r="AC61" s="158">
        <v>0.10540000349283218</v>
      </c>
      <c r="AD61" s="158">
        <v>0.10540000349283218</v>
      </c>
      <c r="AE61" s="158">
        <v>0.10530000180006027</v>
      </c>
      <c r="AF61" s="158">
        <v>0.10530000180006027</v>
      </c>
    </row>
    <row r="62" spans="1:32" x14ac:dyDescent="0.2">
      <c r="A62" s="158" t="s">
        <v>213</v>
      </c>
      <c r="B62" s="158">
        <v>0.10570000112056732</v>
      </c>
      <c r="C62" s="158">
        <v>0.1054999977350235</v>
      </c>
      <c r="D62" s="158">
        <v>0.1054999977350235</v>
      </c>
      <c r="E62" s="158">
        <v>0.1054999977350235</v>
      </c>
      <c r="F62" s="158">
        <v>0.10540000349283218</v>
      </c>
      <c r="G62" s="158">
        <v>0.10530000180006027</v>
      </c>
      <c r="H62" s="158">
        <v>0.10520000010728836</v>
      </c>
      <c r="I62" s="158">
        <v>0.10520000010728836</v>
      </c>
      <c r="J62" s="158">
        <v>0.10499999672174454</v>
      </c>
      <c r="K62" s="158">
        <v>0.10499999672174454</v>
      </c>
      <c r="L62" s="158">
        <v>0.10499999672174454</v>
      </c>
      <c r="M62" s="158">
        <v>0.10490000247955322</v>
      </c>
      <c r="N62" s="158">
        <v>0.10490000247955322</v>
      </c>
      <c r="O62" s="158">
        <v>0.10480000078678131</v>
      </c>
      <c r="P62" s="158">
        <v>0.10459999740123749</v>
      </c>
      <c r="Q62" s="158">
        <v>0.10459999740123749</v>
      </c>
      <c r="R62" s="158">
        <v>0.10459999740123749</v>
      </c>
      <c r="S62" s="158">
        <v>0.10440000146627426</v>
      </c>
      <c r="T62" s="158">
        <v>0.10450000315904617</v>
      </c>
      <c r="U62" s="158">
        <v>0.10450000315904617</v>
      </c>
      <c r="V62" s="158">
        <f t="shared" si="1"/>
        <v>0.10445000231266022</v>
      </c>
      <c r="W62" s="158">
        <v>0.10440000146627426</v>
      </c>
      <c r="X62" s="158">
        <v>0.10440000146627426</v>
      </c>
      <c r="Y62" s="158">
        <v>0.10429999977350235</v>
      </c>
      <c r="Z62" s="158">
        <v>0.10419999808073044</v>
      </c>
      <c r="AA62" s="158">
        <v>0.10419999808073044</v>
      </c>
      <c r="AB62" s="158">
        <v>0.10419999808073044</v>
      </c>
      <c r="AC62" s="158">
        <v>0.10440000146627426</v>
      </c>
      <c r="AD62" s="158">
        <v>0.10409999638795853</v>
      </c>
      <c r="AE62" s="158">
        <v>0.10400000214576721</v>
      </c>
      <c r="AF62" s="158">
        <v>0.10400000214576721</v>
      </c>
    </row>
    <row r="63" spans="1:32" x14ac:dyDescent="0.2">
      <c r="A63" s="158" t="s">
        <v>214</v>
      </c>
      <c r="B63" s="158">
        <v>0.10689999908208847</v>
      </c>
      <c r="C63" s="158">
        <v>0.10679999738931656</v>
      </c>
      <c r="D63" s="158">
        <v>0.10679999738931656</v>
      </c>
      <c r="E63" s="158">
        <v>0.10679999738931656</v>
      </c>
      <c r="F63" s="158">
        <v>0.10670000314712524</v>
      </c>
      <c r="G63" s="158">
        <v>0.10660000145435333</v>
      </c>
      <c r="H63" s="158">
        <v>0.10649999976158142</v>
      </c>
      <c r="I63" s="158">
        <v>0.1062999963760376</v>
      </c>
      <c r="J63" s="158">
        <v>0.1062999963760376</v>
      </c>
      <c r="K63" s="158">
        <v>0.10620000213384628</v>
      </c>
      <c r="L63" s="158">
        <v>0.1062999963760376</v>
      </c>
      <c r="M63" s="158">
        <v>0.10620000213384628</v>
      </c>
      <c r="N63" s="158">
        <v>0.10610000044107437</v>
      </c>
      <c r="O63" s="158">
        <v>0.10610000044107437</v>
      </c>
      <c r="P63" s="158">
        <v>0.10580000281333923</v>
      </c>
      <c r="Q63" s="158">
        <v>0.10589999705553055</v>
      </c>
      <c r="R63" s="158">
        <v>0.10580000281333923</v>
      </c>
      <c r="S63" s="158">
        <v>0.10570000112056732</v>
      </c>
      <c r="T63" s="158">
        <v>0.10570000112056732</v>
      </c>
      <c r="U63" s="158">
        <v>0.10570000112056732</v>
      </c>
      <c r="V63" s="158">
        <f t="shared" si="1"/>
        <v>0.10565000027418137</v>
      </c>
      <c r="W63" s="158">
        <v>0.10559999942779541</v>
      </c>
      <c r="X63" s="158">
        <v>0.1054999977350235</v>
      </c>
      <c r="Y63" s="158">
        <v>0.1054999977350235</v>
      </c>
      <c r="Z63" s="158">
        <v>0.10540000349283218</v>
      </c>
      <c r="AA63" s="158">
        <v>0.10540000349283218</v>
      </c>
      <c r="AB63" s="158">
        <v>0.10540000349283218</v>
      </c>
      <c r="AC63" s="158">
        <v>0.10540000349283218</v>
      </c>
      <c r="AD63" s="158">
        <v>0.10530000180006027</v>
      </c>
      <c r="AE63" s="158">
        <v>0.10520000010728836</v>
      </c>
      <c r="AF63" s="158">
        <v>0.10530000180006027</v>
      </c>
    </row>
    <row r="64" spans="1:32" x14ac:dyDescent="0.2">
      <c r="A64" s="158" t="s">
        <v>215</v>
      </c>
      <c r="B64" s="158">
        <v>0.10819999873638153</v>
      </c>
      <c r="C64" s="158">
        <v>0.10790000110864639</v>
      </c>
      <c r="D64" s="158">
        <v>0.10779999941587448</v>
      </c>
      <c r="E64" s="158">
        <v>0.1080000028014183</v>
      </c>
      <c r="F64" s="158">
        <v>0.10760000348091125</v>
      </c>
      <c r="G64" s="158">
        <v>0.10750000178813934</v>
      </c>
      <c r="H64" s="158">
        <v>0.10740000009536743</v>
      </c>
      <c r="I64" s="158">
        <v>0.10719999670982361</v>
      </c>
      <c r="J64" s="158">
        <v>0.10719999670982361</v>
      </c>
      <c r="K64" s="158">
        <v>0.10710000246763229</v>
      </c>
      <c r="L64" s="158">
        <v>0.10719999670982361</v>
      </c>
      <c r="M64" s="158">
        <v>0.10700000077486038</v>
      </c>
      <c r="N64" s="158">
        <v>0.10700000077486038</v>
      </c>
      <c r="O64" s="158">
        <v>0.10700000077486038</v>
      </c>
      <c r="P64" s="158">
        <v>0.10679999738931656</v>
      </c>
      <c r="Q64" s="158">
        <v>0.10679999738931656</v>
      </c>
      <c r="R64" s="158">
        <v>0.10670000314712524</v>
      </c>
      <c r="S64" s="158">
        <v>0.10660000145435333</v>
      </c>
      <c r="T64" s="158">
        <v>0.10660000145435333</v>
      </c>
      <c r="U64" s="158">
        <v>0.10660000145435333</v>
      </c>
      <c r="V64" s="158">
        <f t="shared" si="1"/>
        <v>0.10655000060796738</v>
      </c>
      <c r="W64" s="158">
        <v>0.10649999976158142</v>
      </c>
      <c r="X64" s="158">
        <v>0.10649999976158142</v>
      </c>
      <c r="Y64" s="158">
        <v>0.1062999963760376</v>
      </c>
      <c r="Z64" s="158">
        <v>0.1062999963760376</v>
      </c>
      <c r="AA64" s="158">
        <v>0.1062999963760376</v>
      </c>
      <c r="AB64" s="158">
        <v>0.1062999963760376</v>
      </c>
      <c r="AC64" s="158">
        <v>0.1062999963760376</v>
      </c>
      <c r="AD64" s="158">
        <v>0.10620000213384628</v>
      </c>
      <c r="AE64" s="158">
        <v>0.10610000044107437</v>
      </c>
      <c r="AF64" s="158">
        <v>0.10610000044107437</v>
      </c>
    </row>
    <row r="65" spans="1:32" x14ac:dyDescent="0.2">
      <c r="A65" s="158" t="s">
        <v>216</v>
      </c>
      <c r="B65" s="158">
        <v>0.10639999806880951</v>
      </c>
      <c r="C65" s="158">
        <v>0.10599999874830246</v>
      </c>
      <c r="D65" s="158">
        <v>0.10589999705553055</v>
      </c>
      <c r="E65" s="158">
        <v>0.10840000212192535</v>
      </c>
      <c r="F65" s="158">
        <v>0.10869999974966049</v>
      </c>
      <c r="G65" s="158">
        <v>0.10819999873638153</v>
      </c>
      <c r="H65" s="158">
        <v>0.10819999873638153</v>
      </c>
      <c r="I65" s="158">
        <v>0.1080000028014183</v>
      </c>
      <c r="J65" s="158">
        <v>0.10779999941587448</v>
      </c>
      <c r="K65" s="158">
        <v>0.1080000028014183</v>
      </c>
      <c r="L65" s="158">
        <v>0.10830000042915344</v>
      </c>
      <c r="M65" s="158">
        <v>0.1080000028014183</v>
      </c>
      <c r="N65" s="158">
        <v>0.10809999704360962</v>
      </c>
      <c r="O65" s="158">
        <v>0.10779999941587448</v>
      </c>
      <c r="P65" s="158">
        <v>0.10740000009536743</v>
      </c>
      <c r="Q65" s="158">
        <v>0.10760000348091125</v>
      </c>
      <c r="R65" s="158">
        <v>0.10760000348091125</v>
      </c>
      <c r="S65" s="158">
        <v>0.1080000028014183</v>
      </c>
      <c r="T65" s="158">
        <v>0.10750000178813934</v>
      </c>
      <c r="U65" s="158">
        <v>0.10750000178813934</v>
      </c>
      <c r="V65" s="158">
        <f t="shared" si="1"/>
        <v>0.1075500026345253</v>
      </c>
      <c r="W65" s="158">
        <v>0.10760000348091125</v>
      </c>
      <c r="X65" s="158">
        <v>0.10779999941587448</v>
      </c>
      <c r="Y65" s="158">
        <v>0.10740000009536743</v>
      </c>
      <c r="Z65" s="158">
        <v>0.10750000178813934</v>
      </c>
      <c r="AA65" s="158">
        <v>0.10920000076293945</v>
      </c>
      <c r="AB65" s="158">
        <v>0.10830000042915344</v>
      </c>
      <c r="AC65" s="158">
        <v>0.10909999907016754</v>
      </c>
      <c r="AD65" s="158">
        <v>0.10819999873638153</v>
      </c>
      <c r="AE65" s="158">
        <v>0.10740000009536743</v>
      </c>
      <c r="AF65" s="158">
        <v>0.10849999636411667</v>
      </c>
    </row>
    <row r="66" spans="1:32" x14ac:dyDescent="0.2">
      <c r="A66" s="158" t="s">
        <v>217</v>
      </c>
      <c r="B66" s="158">
        <v>0.10580000281333923</v>
      </c>
      <c r="C66" s="158">
        <v>0.10570000112056732</v>
      </c>
      <c r="D66" s="158">
        <v>0.10570000112056732</v>
      </c>
      <c r="E66" s="158">
        <v>0.10580000281333923</v>
      </c>
      <c r="F66" s="158">
        <v>0.1054999977350235</v>
      </c>
      <c r="G66" s="158">
        <v>0.10559999942779541</v>
      </c>
      <c r="H66" s="158">
        <v>0.10540000349283218</v>
      </c>
      <c r="I66" s="158">
        <v>0.10530000180006027</v>
      </c>
      <c r="J66" s="158">
        <v>0.10520000010728836</v>
      </c>
      <c r="K66" s="158">
        <v>0.10520000010728836</v>
      </c>
      <c r="L66" s="158">
        <v>0.10520000010728836</v>
      </c>
      <c r="M66" s="158">
        <v>0.10509999841451645</v>
      </c>
      <c r="N66" s="158">
        <v>0.10509999841451645</v>
      </c>
      <c r="O66" s="158">
        <v>0.10499999672174454</v>
      </c>
      <c r="P66" s="158">
        <v>0.10480000078678131</v>
      </c>
      <c r="Q66" s="158">
        <v>0.10480000078678131</v>
      </c>
      <c r="R66" s="158">
        <v>0.10480000078678131</v>
      </c>
      <c r="S66" s="158">
        <v>0.1046999990940094</v>
      </c>
      <c r="T66" s="158">
        <v>0.1046999990940094</v>
      </c>
      <c r="U66" s="158">
        <v>0.1046999990940094</v>
      </c>
      <c r="V66" s="158">
        <f t="shared" si="1"/>
        <v>0.10464999824762344</v>
      </c>
      <c r="W66" s="158">
        <v>0.10459999740123749</v>
      </c>
      <c r="X66" s="158">
        <v>0.10459999740123749</v>
      </c>
      <c r="Y66" s="158">
        <v>0.10450000315904617</v>
      </c>
      <c r="Z66" s="158">
        <v>0.10450000315904617</v>
      </c>
      <c r="AA66" s="158">
        <v>0.10429999977350235</v>
      </c>
      <c r="AB66" s="158">
        <v>0.10429999977350235</v>
      </c>
      <c r="AC66" s="158">
        <v>0.10429999977350235</v>
      </c>
      <c r="AD66" s="158">
        <v>0.10429999977350235</v>
      </c>
      <c r="AE66" s="158">
        <v>0.10419999808073044</v>
      </c>
      <c r="AF66" s="158">
        <v>0.10419999808073044</v>
      </c>
    </row>
    <row r="67" spans="1:32" x14ac:dyDescent="0.2">
      <c r="A67" s="158" t="s">
        <v>218</v>
      </c>
      <c r="B67" s="158">
        <v>0.10999999940395355</v>
      </c>
      <c r="C67" s="158">
        <v>0.10859999805688858</v>
      </c>
      <c r="D67" s="158">
        <v>0.1088000014424324</v>
      </c>
      <c r="E67" s="158">
        <v>0.10869999974966049</v>
      </c>
      <c r="F67" s="158">
        <v>0.10859999805688858</v>
      </c>
      <c r="G67" s="158">
        <v>0.10890000313520432</v>
      </c>
      <c r="H67" s="158">
        <v>0.10849999636411667</v>
      </c>
      <c r="I67" s="158">
        <v>0.10830000042915344</v>
      </c>
      <c r="J67" s="158">
        <v>0.10840000212192535</v>
      </c>
      <c r="K67" s="158">
        <v>0.10809999704360962</v>
      </c>
      <c r="L67" s="158">
        <v>0.10869999974966049</v>
      </c>
      <c r="M67" s="158">
        <v>0.10849999636411667</v>
      </c>
      <c r="N67" s="158">
        <v>0.10859999805688858</v>
      </c>
      <c r="O67" s="158">
        <v>0.10849999636411667</v>
      </c>
      <c r="P67" s="158">
        <v>0.1080000028014183</v>
      </c>
      <c r="Q67" s="158">
        <v>0.10769999772310257</v>
      </c>
      <c r="R67" s="158">
        <v>0.10769999772310257</v>
      </c>
      <c r="S67" s="158">
        <v>0.1080000028014183</v>
      </c>
      <c r="T67" s="158">
        <v>0.10769999772310257</v>
      </c>
      <c r="U67" s="158">
        <v>0.10809999704360962</v>
      </c>
      <c r="V67" s="158">
        <f t="shared" si="1"/>
        <v>0.10794999822974205</v>
      </c>
      <c r="W67" s="158">
        <v>0.10779999941587448</v>
      </c>
      <c r="X67" s="158">
        <v>0.10740000009536743</v>
      </c>
      <c r="Y67" s="158">
        <v>0.10750000178813934</v>
      </c>
      <c r="Z67" s="158">
        <v>0.10750000178813934</v>
      </c>
      <c r="AA67" s="158">
        <v>0.10620000213384628</v>
      </c>
      <c r="AB67" s="158">
        <v>0.10670000314712524</v>
      </c>
      <c r="AC67" s="158">
        <v>0.10620000213384628</v>
      </c>
      <c r="AD67" s="158">
        <v>0.10700000077486038</v>
      </c>
      <c r="AE67" s="158">
        <v>0.10679999738931656</v>
      </c>
      <c r="AF67" s="158">
        <v>0.10639999806880951</v>
      </c>
    </row>
    <row r="68" spans="1:32" x14ac:dyDescent="0.2">
      <c r="A68" s="158" t="s">
        <v>219</v>
      </c>
      <c r="B68" s="158">
        <v>0.10649999976158142</v>
      </c>
      <c r="C68" s="158">
        <v>0.10620000213384628</v>
      </c>
      <c r="D68" s="158">
        <v>0.10610000044107437</v>
      </c>
      <c r="E68" s="158">
        <v>0.10639999806880951</v>
      </c>
      <c r="F68" s="158">
        <v>0.10620000213384628</v>
      </c>
      <c r="G68" s="158">
        <v>0.10620000213384628</v>
      </c>
      <c r="H68" s="158">
        <v>0.10610000044107437</v>
      </c>
      <c r="I68" s="158">
        <v>0.10589999705553055</v>
      </c>
      <c r="J68" s="158">
        <v>0.10610000044107437</v>
      </c>
      <c r="K68" s="158">
        <v>0.10589999705553055</v>
      </c>
      <c r="L68" s="158">
        <v>0.10589999705553055</v>
      </c>
      <c r="M68" s="158">
        <v>0.10570000112056732</v>
      </c>
      <c r="N68" s="158">
        <v>0.10570000112056732</v>
      </c>
      <c r="O68" s="158">
        <v>0.10559999942779541</v>
      </c>
      <c r="P68" s="158">
        <v>0.10540000349283218</v>
      </c>
      <c r="Q68" s="158">
        <v>0.10540000349283218</v>
      </c>
      <c r="R68" s="158">
        <v>0.10540000349283218</v>
      </c>
      <c r="S68" s="158">
        <v>0.10530000180006027</v>
      </c>
      <c r="T68" s="158">
        <v>0.10530000180006027</v>
      </c>
      <c r="U68" s="158">
        <v>0.10530000180006027</v>
      </c>
      <c r="V68" s="158">
        <f t="shared" si="1"/>
        <v>0.10525000095367432</v>
      </c>
      <c r="W68" s="158">
        <v>0.10520000010728836</v>
      </c>
      <c r="X68" s="158">
        <v>0.10509999841451645</v>
      </c>
      <c r="Y68" s="158">
        <v>0.10499999672174454</v>
      </c>
      <c r="Z68" s="158">
        <v>0.10520000010728836</v>
      </c>
      <c r="AA68" s="158">
        <v>0.10490000247955322</v>
      </c>
      <c r="AB68" s="158">
        <v>0.10490000247955322</v>
      </c>
      <c r="AC68" s="158">
        <v>0.10490000247955322</v>
      </c>
      <c r="AD68" s="158">
        <v>0.10480000078678131</v>
      </c>
      <c r="AE68" s="158">
        <v>0.10499999672174454</v>
      </c>
      <c r="AF68" s="158">
        <v>0.10480000078678131</v>
      </c>
    </row>
    <row r="69" spans="1:32" x14ac:dyDescent="0.2">
      <c r="A69" s="158" t="s">
        <v>220</v>
      </c>
      <c r="B69" s="158">
        <v>0.10679999738931656</v>
      </c>
      <c r="C69" s="158">
        <v>0.10660000145435333</v>
      </c>
      <c r="D69" s="158">
        <v>0.10649999976158142</v>
      </c>
      <c r="E69" s="158">
        <v>0.10649999976158142</v>
      </c>
      <c r="F69" s="158">
        <v>0.1062999963760376</v>
      </c>
      <c r="G69" s="158">
        <v>0.10620000213384628</v>
      </c>
      <c r="H69" s="158">
        <v>0.10610000044107437</v>
      </c>
      <c r="I69" s="158">
        <v>0.10599999874830246</v>
      </c>
      <c r="J69" s="158">
        <v>0.10589999705553055</v>
      </c>
      <c r="K69" s="158">
        <v>0.10589999705553055</v>
      </c>
      <c r="L69" s="158">
        <v>0.10589999705553055</v>
      </c>
      <c r="M69" s="158">
        <v>0.10580000281333923</v>
      </c>
      <c r="N69" s="158">
        <v>0.10570000112056732</v>
      </c>
      <c r="O69" s="158">
        <v>0.10559999942779541</v>
      </c>
      <c r="P69" s="158">
        <v>0.10540000349283218</v>
      </c>
      <c r="Q69" s="158">
        <v>0.10540000349283218</v>
      </c>
      <c r="R69" s="158">
        <v>0.10530000180006027</v>
      </c>
      <c r="S69" s="158">
        <v>0.10520000010728836</v>
      </c>
      <c r="T69" s="158">
        <v>0.10520000010728836</v>
      </c>
      <c r="U69" s="158">
        <v>0.10520000010728836</v>
      </c>
      <c r="V69" s="158">
        <f t="shared" si="1"/>
        <v>0.10509999841451645</v>
      </c>
      <c r="W69" s="158">
        <v>0.10499999672174454</v>
      </c>
      <c r="X69" s="158">
        <v>0.10499999672174454</v>
      </c>
      <c r="Y69" s="158">
        <v>0.10480000078678131</v>
      </c>
      <c r="Z69" s="158">
        <v>0.10480000078678131</v>
      </c>
      <c r="AA69" s="158">
        <v>0.10459999740123749</v>
      </c>
      <c r="AB69" s="158">
        <v>0.10459999740123749</v>
      </c>
      <c r="AC69" s="158">
        <v>0.10459999740123749</v>
      </c>
      <c r="AD69" s="158">
        <v>0.10450000315904617</v>
      </c>
      <c r="AE69" s="158">
        <v>0.10440000146627426</v>
      </c>
      <c r="AF69" s="158">
        <v>0.10440000146627426</v>
      </c>
    </row>
    <row r="70" spans="1:32" x14ac:dyDescent="0.2">
      <c r="A70" s="158" t="s">
        <v>221</v>
      </c>
      <c r="B70" s="158">
        <v>0.10620000213384628</v>
      </c>
      <c r="C70" s="158">
        <v>0.10610000044107437</v>
      </c>
      <c r="D70" s="158">
        <v>0.10599999874830246</v>
      </c>
      <c r="E70" s="158">
        <v>0.10610000044107437</v>
      </c>
      <c r="F70" s="158">
        <v>0.10589999705553055</v>
      </c>
      <c r="G70" s="158">
        <v>0.10599999874830246</v>
      </c>
      <c r="H70" s="158">
        <v>0.10589999705553055</v>
      </c>
      <c r="I70" s="158">
        <v>0.10580000281333923</v>
      </c>
      <c r="J70" s="158">
        <v>0.10570000112056732</v>
      </c>
      <c r="K70" s="158">
        <v>0.10570000112056732</v>
      </c>
      <c r="L70" s="158">
        <v>0.10580000281333923</v>
      </c>
      <c r="M70" s="158">
        <v>0.10570000112056732</v>
      </c>
      <c r="N70" s="158">
        <v>0.10559999942779541</v>
      </c>
      <c r="O70" s="158">
        <v>0.10540000349283218</v>
      </c>
      <c r="P70" s="158">
        <v>0.10530000180006027</v>
      </c>
      <c r="Q70" s="158">
        <v>0.10530000180006027</v>
      </c>
      <c r="R70" s="158">
        <v>0.10520000010728836</v>
      </c>
      <c r="S70" s="158">
        <v>0.10530000180006027</v>
      </c>
      <c r="T70" s="158">
        <v>0.10530000180006027</v>
      </c>
      <c r="U70" s="158">
        <v>0.10540000349283218</v>
      </c>
      <c r="V70" s="158">
        <f t="shared" si="1"/>
        <v>0.10530000180006027</v>
      </c>
      <c r="W70" s="158">
        <v>0.10520000010728836</v>
      </c>
      <c r="X70" s="158">
        <v>0.10520000010728836</v>
      </c>
      <c r="Y70" s="158">
        <v>0.10499999672174454</v>
      </c>
      <c r="Z70" s="158">
        <v>0.10490000247955322</v>
      </c>
      <c r="AA70" s="158">
        <v>0.10490000247955322</v>
      </c>
      <c r="AB70" s="158">
        <v>0.10480000078678131</v>
      </c>
      <c r="AC70" s="158">
        <v>0.1046999990940094</v>
      </c>
      <c r="AD70" s="158">
        <v>0.10480000078678131</v>
      </c>
      <c r="AE70" s="158">
        <v>0.1046999990940094</v>
      </c>
      <c r="AF70" s="158">
        <v>0.10480000078678131</v>
      </c>
    </row>
    <row r="71" spans="1:32" x14ac:dyDescent="0.2">
      <c r="A71" s="158" t="s">
        <v>222</v>
      </c>
      <c r="B71" s="158">
        <v>0.10649999976158142</v>
      </c>
      <c r="C71" s="158">
        <v>0.10610000044107437</v>
      </c>
      <c r="D71" s="158">
        <v>0.10599999874830246</v>
      </c>
      <c r="E71" s="158">
        <v>0.10610000044107437</v>
      </c>
      <c r="F71" s="158">
        <v>0.10589999705553055</v>
      </c>
      <c r="G71" s="158">
        <v>0.10580000281333923</v>
      </c>
      <c r="H71" s="158">
        <v>0.10570000112056732</v>
      </c>
      <c r="I71" s="158">
        <v>0.10559999942779541</v>
      </c>
      <c r="J71" s="158">
        <v>0.1054999977350235</v>
      </c>
      <c r="K71" s="158">
        <v>0.1054999977350235</v>
      </c>
      <c r="L71" s="158">
        <v>0.1054999977350235</v>
      </c>
      <c r="M71" s="158">
        <v>0.10540000349283218</v>
      </c>
      <c r="N71" s="158">
        <v>0.10540000349283218</v>
      </c>
      <c r="O71" s="158">
        <v>0.10530000180006027</v>
      </c>
      <c r="P71" s="158">
        <v>0.10499999672174454</v>
      </c>
      <c r="Q71" s="158">
        <v>0.10499999672174454</v>
      </c>
      <c r="R71" s="158">
        <v>0.10499999672174454</v>
      </c>
      <c r="S71" s="158">
        <v>0.10490000247955322</v>
      </c>
      <c r="T71" s="158">
        <v>0.10490000247955322</v>
      </c>
      <c r="U71" s="158">
        <v>0.10490000247955322</v>
      </c>
      <c r="V71" s="158">
        <f t="shared" si="1"/>
        <v>0.10485000163316727</v>
      </c>
      <c r="W71" s="158">
        <v>0.10480000078678131</v>
      </c>
      <c r="X71" s="158">
        <v>0.10480000078678131</v>
      </c>
      <c r="Y71" s="158">
        <v>0.1046999990940094</v>
      </c>
      <c r="Z71" s="158">
        <v>0.10450000315904617</v>
      </c>
      <c r="AA71" s="158">
        <v>0.10450000315904617</v>
      </c>
      <c r="AB71" s="158">
        <v>0.10450000315904617</v>
      </c>
      <c r="AC71" s="158">
        <v>0.10440000146627426</v>
      </c>
      <c r="AD71" s="158">
        <v>0.10440000146627426</v>
      </c>
      <c r="AE71" s="158">
        <v>0.10440000146627426</v>
      </c>
      <c r="AF71" s="158">
        <v>0.10429999977350235</v>
      </c>
    </row>
    <row r="72" spans="1:32" x14ac:dyDescent="0.2">
      <c r="A72" s="158" t="s">
        <v>223</v>
      </c>
      <c r="B72" s="158">
        <v>0.10710000246763229</v>
      </c>
      <c r="C72" s="158">
        <v>0.10689999908208847</v>
      </c>
      <c r="D72" s="158">
        <v>0.10679999738931656</v>
      </c>
      <c r="E72" s="158">
        <v>0.10679999738931656</v>
      </c>
      <c r="F72" s="158">
        <v>0.10689999908208847</v>
      </c>
      <c r="G72" s="158">
        <v>0.10670000314712524</v>
      </c>
      <c r="H72" s="158">
        <v>0.10670000314712524</v>
      </c>
      <c r="I72" s="158">
        <v>0.10649999976158142</v>
      </c>
      <c r="J72" s="158">
        <v>0.10649999976158142</v>
      </c>
      <c r="K72" s="158">
        <v>0.10639999806880951</v>
      </c>
      <c r="L72" s="158">
        <v>0.10649999976158142</v>
      </c>
      <c r="M72" s="158">
        <v>0.10639999806880951</v>
      </c>
      <c r="N72" s="158">
        <v>0.1062999963760376</v>
      </c>
      <c r="O72" s="158">
        <v>0.10620000213384628</v>
      </c>
      <c r="P72" s="158">
        <v>0.10610000044107437</v>
      </c>
      <c r="Q72" s="158">
        <v>0.10599999874830246</v>
      </c>
      <c r="R72" s="158">
        <v>0.10599999874830246</v>
      </c>
      <c r="S72" s="158">
        <v>0.10610000044107437</v>
      </c>
      <c r="T72" s="158">
        <v>0.10610000044107437</v>
      </c>
      <c r="U72" s="158">
        <v>0.10610000044107437</v>
      </c>
      <c r="V72" s="158">
        <f t="shared" si="1"/>
        <v>0.10610000044107437</v>
      </c>
      <c r="W72" s="158">
        <v>0.10610000044107437</v>
      </c>
      <c r="X72" s="158">
        <v>0.10599999874830246</v>
      </c>
      <c r="Y72" s="158">
        <v>0.10589999705553055</v>
      </c>
      <c r="Z72" s="158">
        <v>0.10580000281333923</v>
      </c>
      <c r="AA72" s="158">
        <v>0.10589999705553055</v>
      </c>
      <c r="AB72" s="158">
        <v>0.10559999942779541</v>
      </c>
      <c r="AC72" s="158">
        <v>0.10559999942779541</v>
      </c>
      <c r="AD72" s="158">
        <v>0.10559999942779541</v>
      </c>
      <c r="AE72" s="158">
        <v>0.10559999942779541</v>
      </c>
      <c r="AF72" s="158">
        <v>0.10589999705553055</v>
      </c>
    </row>
    <row r="73" spans="1:32" x14ac:dyDescent="0.2">
      <c r="A73" s="158" t="s">
        <v>224</v>
      </c>
      <c r="B73" s="158">
        <v>0.10710000246763229</v>
      </c>
      <c r="C73" s="158">
        <v>0.10679999738931656</v>
      </c>
      <c r="D73" s="158">
        <v>0.10670000314712524</v>
      </c>
      <c r="E73" s="158">
        <v>0.10670000314712524</v>
      </c>
      <c r="F73" s="158">
        <v>0.10660000145435333</v>
      </c>
      <c r="G73" s="158">
        <v>0.10660000145435333</v>
      </c>
      <c r="H73" s="158">
        <v>0.10639999806880951</v>
      </c>
      <c r="I73" s="158">
        <v>0.1062999963760376</v>
      </c>
      <c r="J73" s="158">
        <v>0.10620000213384628</v>
      </c>
      <c r="K73" s="158">
        <v>0.10620000213384628</v>
      </c>
      <c r="L73" s="158">
        <v>0.10620000213384628</v>
      </c>
      <c r="M73" s="158">
        <v>0.10599999874830246</v>
      </c>
      <c r="N73" s="158">
        <v>0.10589999705553055</v>
      </c>
      <c r="O73" s="158">
        <v>0.10570000112056732</v>
      </c>
      <c r="P73" s="158">
        <v>0.1054999977350235</v>
      </c>
      <c r="Q73" s="158">
        <v>0.1054999977350235</v>
      </c>
      <c r="R73" s="158">
        <v>0.1054999977350235</v>
      </c>
      <c r="S73" s="158">
        <v>0.1054999977350235</v>
      </c>
      <c r="T73" s="158">
        <v>0.10559999942779541</v>
      </c>
      <c r="U73" s="158">
        <v>0.10570000112056732</v>
      </c>
      <c r="V73" s="158">
        <f t="shared" si="1"/>
        <v>0.10559999942779541</v>
      </c>
      <c r="W73" s="158">
        <v>0.1054999977350235</v>
      </c>
      <c r="X73" s="158">
        <v>0.10540000349283218</v>
      </c>
      <c r="Y73" s="158">
        <v>0.10520000010728836</v>
      </c>
      <c r="Z73" s="158">
        <v>0.10509999841451645</v>
      </c>
      <c r="AA73" s="158">
        <v>0.10490000247955322</v>
      </c>
      <c r="AB73" s="158">
        <v>0.10480000078678131</v>
      </c>
      <c r="AC73" s="158">
        <v>0.10480000078678131</v>
      </c>
      <c r="AD73" s="158">
        <v>0.10480000078678131</v>
      </c>
      <c r="AE73" s="158">
        <v>0.1046999990940094</v>
      </c>
      <c r="AF73" s="158">
        <v>0.10490000247955322</v>
      </c>
    </row>
    <row r="74" spans="1:32" x14ac:dyDescent="0.2">
      <c r="A74" s="158" t="s">
        <v>225</v>
      </c>
      <c r="B74" s="158">
        <v>0.10719999670982361</v>
      </c>
      <c r="C74" s="158">
        <v>0.10719999670982361</v>
      </c>
      <c r="D74" s="158">
        <v>0.10719999670982361</v>
      </c>
      <c r="E74" s="158">
        <v>0.10729999840259552</v>
      </c>
      <c r="F74" s="158">
        <v>0.10729999840259552</v>
      </c>
      <c r="G74" s="158">
        <v>0.10740000009536743</v>
      </c>
      <c r="H74" s="158">
        <v>0.10729999840259552</v>
      </c>
      <c r="I74" s="158">
        <v>0.10729999840259552</v>
      </c>
      <c r="J74" s="158">
        <v>0.10719999670982361</v>
      </c>
      <c r="K74" s="158">
        <v>0.10719999670982361</v>
      </c>
      <c r="L74" s="158">
        <v>0.10719999670982361</v>
      </c>
      <c r="M74" s="158">
        <v>0.10729999840259552</v>
      </c>
      <c r="N74" s="158">
        <v>0.10689999908208847</v>
      </c>
      <c r="O74" s="158">
        <v>0.10679999738931656</v>
      </c>
      <c r="P74" s="158">
        <v>0.10660000145435333</v>
      </c>
      <c r="Q74" s="158">
        <v>0.10660000145435333</v>
      </c>
      <c r="R74" s="158">
        <v>0.10660000145435333</v>
      </c>
      <c r="S74" s="158">
        <v>0.10670000314712524</v>
      </c>
      <c r="T74" s="158">
        <v>0.10679999738931656</v>
      </c>
      <c r="U74" s="158">
        <v>0.10689999908208847</v>
      </c>
      <c r="V74" s="158">
        <f t="shared" si="1"/>
        <v>0.10684999823570251</v>
      </c>
      <c r="W74" s="158">
        <v>0.10679999738931656</v>
      </c>
      <c r="X74" s="158">
        <v>0.10679999738931656</v>
      </c>
      <c r="Y74" s="158">
        <v>0.10649999976158142</v>
      </c>
      <c r="Z74" s="158">
        <v>0.1062999963760376</v>
      </c>
      <c r="AA74" s="158">
        <v>0.10620000213384628</v>
      </c>
      <c r="AB74" s="158">
        <v>0.10610000044107437</v>
      </c>
      <c r="AC74" s="158">
        <v>0.10610000044107437</v>
      </c>
      <c r="AD74" s="158">
        <v>0.10610000044107437</v>
      </c>
      <c r="AE74" s="158">
        <v>0.10610000044107437</v>
      </c>
      <c r="AF74" s="158">
        <v>0.10620000213384628</v>
      </c>
    </row>
    <row r="75" spans="1:32" x14ac:dyDescent="0.2">
      <c r="A75" s="158" t="s">
        <v>226</v>
      </c>
      <c r="B75" s="158">
        <v>0.10740000009536743</v>
      </c>
      <c r="C75" s="158">
        <v>0.10710000246763229</v>
      </c>
      <c r="D75" s="158">
        <v>0.10710000246763229</v>
      </c>
      <c r="E75" s="158">
        <v>0.10700000077486038</v>
      </c>
      <c r="F75" s="158">
        <v>0.10689999908208847</v>
      </c>
      <c r="G75" s="158">
        <v>0.10719999670982361</v>
      </c>
      <c r="H75" s="158">
        <v>0.10679999738931656</v>
      </c>
      <c r="I75" s="158">
        <v>0.10670000314712524</v>
      </c>
      <c r="J75" s="158">
        <v>0.10670000314712524</v>
      </c>
      <c r="K75" s="158">
        <v>0.10670000314712524</v>
      </c>
      <c r="L75" s="158">
        <v>0.10670000314712524</v>
      </c>
      <c r="M75" s="158">
        <v>0.10649999976158142</v>
      </c>
      <c r="N75" s="158">
        <v>0.10639999806880951</v>
      </c>
      <c r="O75" s="158">
        <v>0.10620000213384628</v>
      </c>
      <c r="P75" s="158">
        <v>0.10599999874830246</v>
      </c>
      <c r="Q75" s="158">
        <v>0.10599999874830246</v>
      </c>
      <c r="R75" s="158">
        <v>0.10599999874830246</v>
      </c>
      <c r="S75" s="158">
        <v>0.10599999874830246</v>
      </c>
      <c r="T75" s="158">
        <v>0.10610000044107437</v>
      </c>
      <c r="U75" s="158">
        <v>0.10620000213384628</v>
      </c>
      <c r="V75" s="158">
        <f t="shared" si="1"/>
        <v>0.10615000128746033</v>
      </c>
      <c r="W75" s="158">
        <v>0.10610000044107437</v>
      </c>
      <c r="X75" s="158">
        <v>0.10599999874830246</v>
      </c>
      <c r="Y75" s="158">
        <v>0.10570000112056732</v>
      </c>
      <c r="Z75" s="158">
        <v>0.1054999977350235</v>
      </c>
      <c r="AA75" s="158">
        <v>0.10540000349283218</v>
      </c>
      <c r="AB75" s="158">
        <v>0.10540000349283218</v>
      </c>
      <c r="AC75" s="158">
        <v>0.10530000180006027</v>
      </c>
      <c r="AD75" s="158">
        <v>0.10540000349283218</v>
      </c>
      <c r="AE75" s="158">
        <v>0.10530000180006027</v>
      </c>
      <c r="AF75" s="158">
        <v>0.1054999977350235</v>
      </c>
    </row>
    <row r="76" spans="1:32" x14ac:dyDescent="0.2">
      <c r="A76" s="158" t="s">
        <v>227</v>
      </c>
      <c r="B76" s="158">
        <v>0.10859999805688858</v>
      </c>
      <c r="C76" s="158">
        <v>0.10819999873638153</v>
      </c>
      <c r="D76" s="158">
        <v>0.10809999704360962</v>
      </c>
      <c r="E76" s="158">
        <v>0.10819999873638153</v>
      </c>
      <c r="F76" s="158">
        <v>0.10809999704360962</v>
      </c>
      <c r="G76" s="158">
        <v>0.10819999873638153</v>
      </c>
      <c r="H76" s="158">
        <v>0.10809999704360962</v>
      </c>
      <c r="I76" s="158">
        <v>0.1080000028014183</v>
      </c>
      <c r="J76" s="158">
        <v>0.1080000028014183</v>
      </c>
      <c r="K76" s="158">
        <v>0.1080000028014183</v>
      </c>
      <c r="L76" s="158">
        <v>0.1080000028014183</v>
      </c>
      <c r="M76" s="158">
        <v>0.10779999941587448</v>
      </c>
      <c r="N76" s="158">
        <v>0.10769999772310257</v>
      </c>
      <c r="O76" s="158">
        <v>0.10750000178813934</v>
      </c>
      <c r="P76" s="158">
        <v>0.10729999840259552</v>
      </c>
      <c r="Q76" s="158">
        <v>0.10760000348091125</v>
      </c>
      <c r="R76" s="158">
        <v>0.10729999840259552</v>
      </c>
      <c r="S76" s="158">
        <v>0.10760000348091125</v>
      </c>
      <c r="T76" s="158">
        <v>0.10760000348091125</v>
      </c>
      <c r="U76" s="158">
        <v>0.10769999772310257</v>
      </c>
      <c r="V76" s="158">
        <f t="shared" si="1"/>
        <v>0.10799999907612801</v>
      </c>
      <c r="W76" s="158">
        <v>0.10830000042915344</v>
      </c>
      <c r="X76" s="158">
        <v>0.10819999873638153</v>
      </c>
      <c r="Y76" s="158">
        <v>0.10939999669790268</v>
      </c>
      <c r="Z76" s="158">
        <v>0.10899999737739563</v>
      </c>
      <c r="AA76" s="158">
        <v>0.10920000076293945</v>
      </c>
      <c r="AB76" s="158">
        <v>0.10930000245571136</v>
      </c>
      <c r="AC76" s="158">
        <v>0.10890000313520432</v>
      </c>
      <c r="AD76" s="158">
        <v>0.10890000313520432</v>
      </c>
      <c r="AE76" s="158">
        <v>0.1088000014424324</v>
      </c>
      <c r="AF76" s="158">
        <v>0.10830000042915344</v>
      </c>
    </row>
    <row r="77" spans="1:32" x14ac:dyDescent="0.2">
      <c r="A77" s="158" t="s">
        <v>228</v>
      </c>
      <c r="B77" s="158">
        <v>0.10719999670982361</v>
      </c>
      <c r="C77" s="158">
        <v>0.10660000145435333</v>
      </c>
      <c r="D77" s="158">
        <v>0.10660000145435333</v>
      </c>
      <c r="E77" s="158">
        <v>0.10660000145435333</v>
      </c>
      <c r="F77" s="158">
        <v>0.10639999806880951</v>
      </c>
      <c r="G77" s="158">
        <v>0.10649999976158142</v>
      </c>
      <c r="H77" s="158">
        <v>0.10660000145435333</v>
      </c>
      <c r="I77" s="158">
        <v>0.10620000213384628</v>
      </c>
      <c r="J77" s="158">
        <v>0.10620000213384628</v>
      </c>
      <c r="K77" s="158">
        <v>0.10620000213384628</v>
      </c>
      <c r="L77" s="158">
        <v>0.10610000044107437</v>
      </c>
      <c r="M77" s="158">
        <v>0.10589999705553055</v>
      </c>
      <c r="N77" s="158">
        <v>0.10580000281333923</v>
      </c>
      <c r="O77" s="158">
        <v>0.1054999977350235</v>
      </c>
      <c r="P77" s="158">
        <v>0.10530000180006027</v>
      </c>
      <c r="Q77" s="158">
        <v>0.10530000180006027</v>
      </c>
      <c r="R77" s="158">
        <v>0.10530000180006027</v>
      </c>
      <c r="S77" s="158">
        <v>0.10540000349283218</v>
      </c>
      <c r="T77" s="158">
        <v>0.10570000112056732</v>
      </c>
      <c r="U77" s="158">
        <v>0.10570000112056732</v>
      </c>
      <c r="V77" s="158">
        <f t="shared" si="1"/>
        <v>0.10610000044107437</v>
      </c>
      <c r="W77" s="158">
        <v>0.10649999976158142</v>
      </c>
      <c r="X77" s="158">
        <v>0.10639999806880951</v>
      </c>
      <c r="Y77" s="158">
        <v>0.10620000213384628</v>
      </c>
      <c r="Z77" s="158">
        <v>0.10580000281333923</v>
      </c>
      <c r="AA77" s="158">
        <v>0.10570000112056732</v>
      </c>
      <c r="AB77" s="158">
        <v>0.10559999942779541</v>
      </c>
      <c r="AC77" s="158">
        <v>0.10540000349283218</v>
      </c>
      <c r="AD77" s="158">
        <v>0.1054999977350235</v>
      </c>
      <c r="AE77" s="158">
        <v>0.1054999977350235</v>
      </c>
      <c r="AF77" s="158">
        <v>0.10580000281333923</v>
      </c>
    </row>
    <row r="78" spans="1:32" x14ac:dyDescent="0.2">
      <c r="A78" s="158" t="s">
        <v>229</v>
      </c>
      <c r="B78" s="158">
        <v>0.10790000110864639</v>
      </c>
      <c r="C78" s="158">
        <v>0.10760000348091125</v>
      </c>
      <c r="D78" s="158">
        <v>0.10750000178813934</v>
      </c>
      <c r="E78" s="158">
        <v>0.10750000178813934</v>
      </c>
      <c r="F78" s="158">
        <v>0.10750000178813934</v>
      </c>
      <c r="G78" s="158">
        <v>0.10760000348091125</v>
      </c>
      <c r="H78" s="158">
        <v>0.10750000178813934</v>
      </c>
      <c r="I78" s="158">
        <v>0.10750000178813934</v>
      </c>
      <c r="J78" s="158">
        <v>0.10740000009536743</v>
      </c>
      <c r="K78" s="158">
        <v>0.10740000009536743</v>
      </c>
      <c r="L78" s="158">
        <v>0.10740000009536743</v>
      </c>
      <c r="M78" s="158">
        <v>0.10719999670982361</v>
      </c>
      <c r="N78" s="158">
        <v>0.10700000077486038</v>
      </c>
      <c r="O78" s="158">
        <v>0.10670000314712524</v>
      </c>
      <c r="P78" s="158">
        <v>0.10679999738931656</v>
      </c>
      <c r="Q78" s="158">
        <v>0.10649999976158142</v>
      </c>
      <c r="R78" s="158">
        <v>0.10660000145435333</v>
      </c>
      <c r="S78" s="158">
        <v>0.10679999738931656</v>
      </c>
      <c r="T78" s="158">
        <v>0.10700000077486038</v>
      </c>
      <c r="U78" s="158">
        <v>0.10710000246763229</v>
      </c>
      <c r="V78" s="158">
        <f t="shared" si="1"/>
        <v>0.10710000246763229</v>
      </c>
      <c r="W78" s="158">
        <v>0.10710000246763229</v>
      </c>
      <c r="X78" s="158">
        <v>0.10679999738931656</v>
      </c>
      <c r="Y78" s="158">
        <v>0.10660000145435333</v>
      </c>
      <c r="Z78" s="158">
        <v>0.1062999963760376</v>
      </c>
      <c r="AA78" s="158">
        <v>0.10620000213384628</v>
      </c>
      <c r="AB78" s="158">
        <v>0.10599999874830246</v>
      </c>
      <c r="AC78" s="158">
        <v>0.10589999705553055</v>
      </c>
      <c r="AD78" s="158">
        <v>0.10599999874830246</v>
      </c>
      <c r="AE78" s="158">
        <v>0.10599999874830246</v>
      </c>
      <c r="AF78" s="158">
        <v>0.10610000044107437</v>
      </c>
    </row>
    <row r="79" spans="1:32" x14ac:dyDescent="0.2">
      <c r="A79" s="158" t="s">
        <v>230</v>
      </c>
      <c r="B79" s="158">
        <v>0.10639999806880951</v>
      </c>
      <c r="C79" s="158">
        <v>0.10589999705553055</v>
      </c>
      <c r="D79" s="158">
        <v>0.10570000112056732</v>
      </c>
      <c r="E79" s="158">
        <v>0.10570000112056732</v>
      </c>
      <c r="F79" s="158">
        <v>0.1054999977350235</v>
      </c>
      <c r="G79" s="158">
        <v>0.10559999942779541</v>
      </c>
      <c r="H79" s="158">
        <v>0.10540000349283218</v>
      </c>
      <c r="I79" s="158">
        <v>0.10530000180006027</v>
      </c>
      <c r="J79" s="158">
        <v>0.10509999841451645</v>
      </c>
      <c r="K79" s="158">
        <v>0.10520000010728836</v>
      </c>
      <c r="L79" s="158">
        <v>0.10520000010728836</v>
      </c>
      <c r="M79" s="158">
        <v>0.10499999672174454</v>
      </c>
      <c r="N79" s="158">
        <v>0.10480000078678131</v>
      </c>
      <c r="O79" s="158">
        <v>0.10450000315904617</v>
      </c>
      <c r="P79" s="158">
        <v>0.10429999977350235</v>
      </c>
      <c r="Q79" s="158">
        <v>0.10429999977350235</v>
      </c>
      <c r="R79" s="158">
        <v>0.10429999977350235</v>
      </c>
      <c r="S79" s="158">
        <v>0.10440000146627426</v>
      </c>
      <c r="T79" s="158">
        <v>0.10459999740123749</v>
      </c>
      <c r="U79" s="158">
        <v>0.1046999990940094</v>
      </c>
      <c r="V79" s="158">
        <f t="shared" si="1"/>
        <v>0.10520000010728836</v>
      </c>
      <c r="W79" s="158">
        <v>0.10570000112056732</v>
      </c>
      <c r="X79" s="158">
        <v>0.10540000349283218</v>
      </c>
      <c r="Y79" s="158">
        <v>0.10509999841451645</v>
      </c>
      <c r="Z79" s="158">
        <v>0.10499999672174454</v>
      </c>
      <c r="AA79" s="158">
        <v>0.10480000078678131</v>
      </c>
      <c r="AB79" s="158">
        <v>0.1046999990940094</v>
      </c>
      <c r="AC79" s="158">
        <v>0.10459999740123749</v>
      </c>
      <c r="AD79" s="158">
        <v>0.10459999740123749</v>
      </c>
      <c r="AE79" s="158">
        <v>0.1046999990940094</v>
      </c>
      <c r="AF79" s="158">
        <v>0.10400000214576721</v>
      </c>
    </row>
    <row r="80" spans="1:32" x14ac:dyDescent="0.2">
      <c r="A80" s="158" t="s">
        <v>231</v>
      </c>
      <c r="B80" s="158">
        <v>0.10719999670982361</v>
      </c>
      <c r="C80" s="158">
        <v>0.10679999738931656</v>
      </c>
      <c r="D80" s="158">
        <v>0.10670000314712524</v>
      </c>
      <c r="E80" s="158">
        <v>0.10660000145435333</v>
      </c>
      <c r="F80" s="158">
        <v>0.10660000145435333</v>
      </c>
      <c r="G80" s="158">
        <v>0.10679999738931656</v>
      </c>
      <c r="H80" s="158">
        <v>0.10670000314712524</v>
      </c>
      <c r="I80" s="158">
        <v>0.10670000314712524</v>
      </c>
      <c r="J80" s="158">
        <v>0.10660000145435333</v>
      </c>
      <c r="K80" s="158">
        <v>0.10679999738931656</v>
      </c>
      <c r="L80" s="158">
        <v>0.10660000145435333</v>
      </c>
      <c r="M80" s="158">
        <v>0.10639999806880951</v>
      </c>
      <c r="N80" s="158">
        <v>0.10620000213384628</v>
      </c>
      <c r="O80" s="158">
        <v>0.10599999874830246</v>
      </c>
      <c r="P80" s="158">
        <v>0.10580000281333923</v>
      </c>
      <c r="Q80" s="158">
        <v>0.10580000281333923</v>
      </c>
      <c r="R80" s="158">
        <v>0.10580000281333923</v>
      </c>
      <c r="S80" s="158">
        <v>0.10599999874830246</v>
      </c>
      <c r="T80" s="158">
        <v>0.10620000213384628</v>
      </c>
      <c r="U80" s="158">
        <v>0.1062999963760376</v>
      </c>
      <c r="V80" s="158">
        <f t="shared" si="1"/>
        <v>0.1062999963760376</v>
      </c>
      <c r="W80" s="158">
        <v>0.1062999963760376</v>
      </c>
      <c r="X80" s="158">
        <v>0.10610000044107437</v>
      </c>
      <c r="Y80" s="158">
        <v>0.10580000281333923</v>
      </c>
      <c r="Z80" s="158">
        <v>0.10559999942779541</v>
      </c>
      <c r="AA80" s="158">
        <v>0.10540000349283218</v>
      </c>
      <c r="AB80" s="158">
        <v>0.10530000180006027</v>
      </c>
      <c r="AC80" s="158">
        <v>0.10520000010728836</v>
      </c>
      <c r="AD80" s="158">
        <v>0.10520000010728836</v>
      </c>
      <c r="AE80" s="158">
        <v>0.10530000180006027</v>
      </c>
      <c r="AF80" s="158">
        <v>0.10530000180006027</v>
      </c>
    </row>
    <row r="81" spans="1:32" x14ac:dyDescent="0.2">
      <c r="A81" s="158" t="s">
        <v>232</v>
      </c>
      <c r="B81" s="158">
        <v>0.10719999670982361</v>
      </c>
      <c r="C81" s="158">
        <v>0.10660000145435333</v>
      </c>
      <c r="D81" s="158">
        <v>0.1062999963760376</v>
      </c>
      <c r="E81" s="158">
        <v>0.1062999963760376</v>
      </c>
      <c r="F81" s="158">
        <v>0.10620000213384628</v>
      </c>
      <c r="G81" s="158">
        <v>0.1062999963760376</v>
      </c>
      <c r="H81" s="158">
        <v>0.10620000213384628</v>
      </c>
      <c r="I81" s="158">
        <v>0.10610000044107437</v>
      </c>
      <c r="J81" s="158">
        <v>0.10599999874830246</v>
      </c>
      <c r="K81" s="158">
        <v>0.10599999874830246</v>
      </c>
      <c r="L81" s="158">
        <v>0.10599999874830246</v>
      </c>
      <c r="M81" s="158">
        <v>0.10570000112056732</v>
      </c>
      <c r="N81" s="158">
        <v>0.1054999977350235</v>
      </c>
      <c r="O81" s="158">
        <v>0.10520000010728836</v>
      </c>
      <c r="P81" s="158">
        <v>0.10499999672174454</v>
      </c>
      <c r="Q81" s="158">
        <v>0.10499999672174454</v>
      </c>
      <c r="R81" s="158">
        <v>0.10499999672174454</v>
      </c>
      <c r="S81" s="158">
        <v>0.10520000010728836</v>
      </c>
      <c r="T81" s="158">
        <v>0.10540000349283218</v>
      </c>
      <c r="U81" s="158">
        <v>0.1054999977350235</v>
      </c>
      <c r="V81" s="158">
        <f t="shared" si="1"/>
        <v>0.10545000061392784</v>
      </c>
      <c r="W81" s="158">
        <v>0.10540000349283218</v>
      </c>
      <c r="X81" s="158">
        <v>0.10520000010728836</v>
      </c>
      <c r="Y81" s="158">
        <v>0.10490000247955322</v>
      </c>
      <c r="Z81" s="158">
        <v>0.10459999740123749</v>
      </c>
      <c r="AA81" s="158">
        <v>0.10440000146627426</v>
      </c>
      <c r="AB81" s="158">
        <v>0.10429999977350235</v>
      </c>
      <c r="AC81" s="158">
        <v>0.10419999808073044</v>
      </c>
      <c r="AD81" s="158">
        <v>0.10419999808073044</v>
      </c>
      <c r="AE81" s="158">
        <v>0.10419999808073044</v>
      </c>
      <c r="AF81" s="158">
        <v>0.10440000146627426</v>
      </c>
    </row>
    <row r="82" spans="1:32" x14ac:dyDescent="0.2">
      <c r="A82" s="158" t="s">
        <v>233</v>
      </c>
      <c r="B82" s="158">
        <v>0.10769999772310257</v>
      </c>
      <c r="C82" s="158">
        <v>0.10729999840259552</v>
      </c>
      <c r="D82" s="158">
        <v>0.10689999908208847</v>
      </c>
      <c r="E82" s="158">
        <v>0.10689999908208847</v>
      </c>
      <c r="F82" s="158">
        <v>0.10689999908208847</v>
      </c>
      <c r="G82" s="158">
        <v>0.10719999670982361</v>
      </c>
      <c r="H82" s="158">
        <v>0.10710000246763229</v>
      </c>
      <c r="I82" s="158">
        <v>0.10710000246763229</v>
      </c>
      <c r="J82" s="158">
        <v>0.10700000077486038</v>
      </c>
      <c r="K82" s="158">
        <v>0.10700000077486038</v>
      </c>
      <c r="L82" s="158">
        <v>0.10689999908208847</v>
      </c>
      <c r="M82" s="158">
        <v>0.10670000314712524</v>
      </c>
      <c r="N82" s="158">
        <v>0.10639999806880951</v>
      </c>
      <c r="O82" s="158">
        <v>0.10620000213384628</v>
      </c>
      <c r="P82" s="158">
        <v>0.10599999874830246</v>
      </c>
      <c r="Q82" s="158">
        <v>0.10589999705553055</v>
      </c>
      <c r="R82" s="158">
        <v>0.10599999874830246</v>
      </c>
      <c r="S82" s="158">
        <v>0.10620000213384628</v>
      </c>
      <c r="T82" s="158">
        <v>0.10670000314712524</v>
      </c>
      <c r="U82" s="158">
        <v>0.10660000145435333</v>
      </c>
      <c r="V82" s="158">
        <f t="shared" si="1"/>
        <v>0.10660000145435333</v>
      </c>
      <c r="W82" s="158">
        <v>0.10660000145435333</v>
      </c>
      <c r="X82" s="158">
        <v>0.1062999963760376</v>
      </c>
      <c r="Y82" s="158">
        <v>0.10620000213384628</v>
      </c>
      <c r="Z82" s="158">
        <v>0.10559999942779541</v>
      </c>
      <c r="AA82" s="158">
        <v>0.1054999977350235</v>
      </c>
      <c r="AB82" s="158">
        <v>0.10530000180006027</v>
      </c>
      <c r="AC82" s="158">
        <v>0.10509999841451645</v>
      </c>
      <c r="AD82" s="158">
        <v>0.10509999841451645</v>
      </c>
      <c r="AE82" s="158">
        <v>0.10520000010728836</v>
      </c>
      <c r="AF82" s="158">
        <v>0.10530000180006027</v>
      </c>
    </row>
    <row r="83" spans="1:32" x14ac:dyDescent="0.2">
      <c r="A83" s="158" t="s">
        <v>234</v>
      </c>
      <c r="B83" s="158">
        <v>0.10710000246763229</v>
      </c>
      <c r="C83" s="158">
        <v>0.10679999738931656</v>
      </c>
      <c r="D83" s="158">
        <v>0.10639999806880951</v>
      </c>
      <c r="E83" s="158">
        <v>0.10639999806880951</v>
      </c>
      <c r="F83" s="158">
        <v>0.1062999963760376</v>
      </c>
      <c r="G83" s="158">
        <v>0.10649999976158142</v>
      </c>
      <c r="H83" s="158">
        <v>0.10639999806880951</v>
      </c>
      <c r="I83" s="158">
        <v>0.1062999963760376</v>
      </c>
      <c r="J83" s="158">
        <v>0.10639999806880951</v>
      </c>
      <c r="K83" s="158">
        <v>0.10620000213384628</v>
      </c>
      <c r="L83" s="158">
        <v>0.10620000213384628</v>
      </c>
      <c r="M83" s="158">
        <v>0.10599999874830246</v>
      </c>
      <c r="N83" s="158">
        <v>0.10580000281333923</v>
      </c>
      <c r="O83" s="158">
        <v>0.1054999977350235</v>
      </c>
      <c r="P83" s="158">
        <v>0.10530000180006027</v>
      </c>
      <c r="Q83" s="158">
        <v>0.10530000180006027</v>
      </c>
      <c r="R83" s="158">
        <v>0.10540000349283218</v>
      </c>
      <c r="S83" s="158">
        <v>0.10559999942779541</v>
      </c>
      <c r="T83" s="158">
        <v>0.10580000281333923</v>
      </c>
      <c r="U83" s="158">
        <v>0.10589999705553055</v>
      </c>
      <c r="V83" s="158">
        <f t="shared" si="1"/>
        <v>0.10589999705553055</v>
      </c>
      <c r="W83" s="158">
        <v>0.10589999705553055</v>
      </c>
      <c r="X83" s="158">
        <v>0.10570000112056732</v>
      </c>
      <c r="Y83" s="158">
        <v>0.10530000180006027</v>
      </c>
      <c r="Z83" s="158">
        <v>0.10509999841451645</v>
      </c>
      <c r="AA83" s="158">
        <v>0.10520000010728836</v>
      </c>
      <c r="AB83" s="158">
        <v>0.10480000078678131</v>
      </c>
      <c r="AC83" s="158">
        <v>0.10459999740123749</v>
      </c>
      <c r="AD83" s="158">
        <v>0.1046999990940094</v>
      </c>
      <c r="AE83" s="158">
        <v>0.1046999990940094</v>
      </c>
      <c r="AF83" s="158">
        <v>0.10509999841451645</v>
      </c>
    </row>
    <row r="84" spans="1:32" x14ac:dyDescent="0.2">
      <c r="A84" s="158" t="s">
        <v>235</v>
      </c>
      <c r="B84" s="158">
        <v>0.10719999670982361</v>
      </c>
      <c r="C84" s="158">
        <v>0.10679999738931656</v>
      </c>
      <c r="D84" s="158">
        <v>0.10670000314712524</v>
      </c>
      <c r="E84" s="158">
        <v>0.10649999976158142</v>
      </c>
      <c r="F84" s="158">
        <v>0.10639999806880951</v>
      </c>
      <c r="G84" s="158">
        <v>0.10670000314712524</v>
      </c>
      <c r="H84" s="158">
        <v>0.10660000145435333</v>
      </c>
      <c r="I84" s="158">
        <v>0.10639999806880951</v>
      </c>
      <c r="J84" s="158">
        <v>0.10639999806880951</v>
      </c>
      <c r="K84" s="158">
        <v>0.10639999806880951</v>
      </c>
      <c r="L84" s="158">
        <v>0.10639999806880951</v>
      </c>
      <c r="M84" s="158">
        <v>0.10610000044107437</v>
      </c>
      <c r="N84" s="158">
        <v>0.10580000281333923</v>
      </c>
      <c r="O84" s="158">
        <v>0.10559999942779541</v>
      </c>
      <c r="P84" s="158">
        <v>0.10540000349283218</v>
      </c>
      <c r="Q84" s="158">
        <v>0.10540000349283218</v>
      </c>
      <c r="R84" s="158">
        <v>0.1054999977350235</v>
      </c>
      <c r="S84" s="158">
        <v>0.10559999942779541</v>
      </c>
      <c r="T84" s="158">
        <v>0.10589999705553055</v>
      </c>
      <c r="U84" s="158">
        <v>0.10599999874830246</v>
      </c>
      <c r="V84" s="158">
        <f t="shared" si="1"/>
        <v>0.10604999959468842</v>
      </c>
      <c r="W84" s="158">
        <v>0.10610000044107437</v>
      </c>
      <c r="X84" s="158">
        <v>0.10580000281333923</v>
      </c>
      <c r="Y84" s="158">
        <v>0.1054999977350235</v>
      </c>
      <c r="Z84" s="158">
        <v>0.10520000010728836</v>
      </c>
      <c r="AA84" s="158">
        <v>0.10499999672174454</v>
      </c>
      <c r="AB84" s="158">
        <v>0.10490000247955322</v>
      </c>
      <c r="AC84" s="158">
        <v>0.1046999990940094</v>
      </c>
      <c r="AD84" s="158">
        <v>0.10480000078678131</v>
      </c>
      <c r="AE84" s="158">
        <v>0.10480000078678131</v>
      </c>
      <c r="AF84" s="158">
        <v>0.10499999672174454</v>
      </c>
    </row>
    <row r="85" spans="1:32" x14ac:dyDescent="0.2">
      <c r="A85" s="158" t="s">
        <v>236</v>
      </c>
      <c r="B85" s="158">
        <v>0.10639999806880951</v>
      </c>
      <c r="C85" s="158">
        <v>0.10599999874830246</v>
      </c>
      <c r="D85" s="158">
        <v>0.10580000281333923</v>
      </c>
      <c r="E85" s="158">
        <v>0.10580000281333923</v>
      </c>
      <c r="F85" s="158">
        <v>0.10610000044107437</v>
      </c>
      <c r="G85" s="158">
        <v>0.10620000213384628</v>
      </c>
      <c r="H85" s="158">
        <v>0.10610000044107437</v>
      </c>
      <c r="I85" s="158">
        <v>0.10599999874830246</v>
      </c>
      <c r="J85" s="158">
        <v>0.10580000281333923</v>
      </c>
      <c r="K85" s="158">
        <v>0.10580000281333923</v>
      </c>
      <c r="L85" s="158">
        <v>0.10580000281333923</v>
      </c>
      <c r="M85" s="158">
        <v>0.10559999942779541</v>
      </c>
      <c r="N85" s="158">
        <v>0.10530000180006027</v>
      </c>
      <c r="O85" s="158">
        <v>0.10490000247955322</v>
      </c>
      <c r="P85" s="158">
        <v>0.10490000247955322</v>
      </c>
      <c r="Q85" s="158">
        <v>0.10480000078678131</v>
      </c>
      <c r="R85" s="158">
        <v>0.10480000078678131</v>
      </c>
      <c r="S85" s="158">
        <v>0.10509999841451645</v>
      </c>
      <c r="T85" s="158">
        <v>0.10530000180006027</v>
      </c>
      <c r="U85" s="158">
        <v>0.10559999942779541</v>
      </c>
      <c r="V85" s="158">
        <f t="shared" si="1"/>
        <v>0.10619999840855598</v>
      </c>
      <c r="W85" s="158">
        <v>0.10679999738931656</v>
      </c>
      <c r="X85" s="158">
        <v>0.1062999963760376</v>
      </c>
      <c r="Y85" s="158">
        <v>0.10589999705553055</v>
      </c>
      <c r="Z85" s="158">
        <v>0.10580000281333923</v>
      </c>
      <c r="AA85" s="158">
        <v>0.10570000112056732</v>
      </c>
      <c r="AB85" s="158">
        <v>0.10540000349283218</v>
      </c>
      <c r="AC85" s="158">
        <v>0.1054999977350235</v>
      </c>
      <c r="AD85" s="158">
        <v>0.10520000010728836</v>
      </c>
      <c r="AE85" s="158">
        <v>0.10540000349283218</v>
      </c>
      <c r="AF85" s="158">
        <v>0.10480000078678131</v>
      </c>
    </row>
    <row r="86" spans="1:32" x14ac:dyDescent="0.2">
      <c r="A86" s="158" t="s">
        <v>237</v>
      </c>
      <c r="B86" s="158">
        <v>0.10670000314712524</v>
      </c>
      <c r="C86" s="158">
        <v>0.1062999963760376</v>
      </c>
      <c r="D86" s="158">
        <v>0.10620000213384628</v>
      </c>
      <c r="E86" s="158">
        <v>0.10610000044107437</v>
      </c>
      <c r="F86" s="158">
        <v>0.10599999874830246</v>
      </c>
      <c r="G86" s="158">
        <v>0.1062999963760376</v>
      </c>
      <c r="H86" s="158">
        <v>0.10620000213384628</v>
      </c>
      <c r="I86" s="158">
        <v>0.10610000044107437</v>
      </c>
      <c r="J86" s="158">
        <v>0.10649999976158142</v>
      </c>
      <c r="K86" s="158">
        <v>0.10599999874830246</v>
      </c>
      <c r="L86" s="158">
        <v>0.10610000044107437</v>
      </c>
      <c r="M86" s="158">
        <v>0.10589999705553055</v>
      </c>
      <c r="N86" s="158">
        <v>0.1054999977350235</v>
      </c>
      <c r="O86" s="158">
        <v>0.10520000010728836</v>
      </c>
      <c r="P86" s="158">
        <v>0.10499999672174454</v>
      </c>
      <c r="Q86" s="158">
        <v>0.10499999672174454</v>
      </c>
      <c r="R86" s="158">
        <v>0.10509999841451645</v>
      </c>
      <c r="S86" s="158">
        <v>0.10520000010728836</v>
      </c>
      <c r="T86" s="158">
        <v>0.1054999977350235</v>
      </c>
      <c r="U86" s="158">
        <v>0.10559999942779541</v>
      </c>
      <c r="V86" s="158">
        <f t="shared" si="1"/>
        <v>0.10559999942779541</v>
      </c>
      <c r="W86" s="158">
        <v>0.10559999942779541</v>
      </c>
      <c r="X86" s="158">
        <v>0.10540000349283218</v>
      </c>
      <c r="Y86" s="158">
        <v>0.10509999841451645</v>
      </c>
      <c r="Z86" s="158">
        <v>0.10480000078678131</v>
      </c>
      <c r="AA86" s="158">
        <v>0.10459999740123749</v>
      </c>
      <c r="AB86" s="158">
        <v>0.10440000146627426</v>
      </c>
      <c r="AC86" s="158">
        <v>0.10429999977350235</v>
      </c>
      <c r="AD86" s="158">
        <v>0.10429999977350235</v>
      </c>
      <c r="AE86" s="158">
        <v>0.10440000146627426</v>
      </c>
      <c r="AF86" s="158">
        <v>0.10459999740123749</v>
      </c>
    </row>
    <row r="87" spans="1:32" x14ac:dyDescent="0.2">
      <c r="A87" s="158" t="s">
        <v>238</v>
      </c>
      <c r="B87" s="158">
        <v>0.10679999738931656</v>
      </c>
      <c r="C87" s="158">
        <v>0.10649999976158142</v>
      </c>
      <c r="D87" s="158">
        <v>0.10639999806880951</v>
      </c>
      <c r="E87" s="158">
        <v>0.1062999963760376</v>
      </c>
      <c r="F87" s="158">
        <v>0.10620000213384628</v>
      </c>
      <c r="G87" s="158">
        <v>0.10639999806880951</v>
      </c>
      <c r="H87" s="158">
        <v>0.1062999963760376</v>
      </c>
      <c r="I87" s="158">
        <v>0.10620000213384628</v>
      </c>
      <c r="J87" s="158">
        <v>0.10610000044107437</v>
      </c>
      <c r="K87" s="158">
        <v>0.10610000044107437</v>
      </c>
      <c r="L87" s="158">
        <v>0.10610000044107437</v>
      </c>
      <c r="M87" s="158">
        <v>0.10580000281333923</v>
      </c>
      <c r="N87" s="158">
        <v>0.10559999942779541</v>
      </c>
      <c r="O87" s="158">
        <v>0.1054999977350235</v>
      </c>
      <c r="P87" s="158">
        <v>0.10509999841451645</v>
      </c>
      <c r="Q87" s="158">
        <v>0.10509999841451645</v>
      </c>
      <c r="R87" s="158">
        <v>0.10520000010728836</v>
      </c>
      <c r="S87" s="158">
        <v>0.10530000180006027</v>
      </c>
      <c r="T87" s="158">
        <v>0.10559999942779541</v>
      </c>
      <c r="U87" s="158">
        <v>0.10559999942779541</v>
      </c>
      <c r="V87" s="158">
        <f t="shared" si="1"/>
        <v>0.10565000027418137</v>
      </c>
      <c r="W87" s="158">
        <v>0.10570000112056732</v>
      </c>
      <c r="X87" s="158">
        <v>0.10540000349283218</v>
      </c>
      <c r="Y87" s="158">
        <v>0.10509999841451645</v>
      </c>
      <c r="Z87" s="158">
        <v>0.10490000247955322</v>
      </c>
      <c r="AA87" s="158">
        <v>0.10459999740123749</v>
      </c>
      <c r="AB87" s="158">
        <v>0.10450000315904617</v>
      </c>
      <c r="AC87" s="158">
        <v>0.10440000146627426</v>
      </c>
      <c r="AD87" s="158">
        <v>0.10440000146627426</v>
      </c>
      <c r="AE87" s="158">
        <v>0.10440000146627426</v>
      </c>
      <c r="AF87" s="158">
        <v>0.10459999740123749</v>
      </c>
    </row>
    <row r="88" spans="1:32" x14ac:dyDescent="0.2">
      <c r="A88" s="158" t="s">
        <v>239</v>
      </c>
      <c r="B88" s="158">
        <v>0.10679999738931656</v>
      </c>
      <c r="C88" s="158">
        <v>0.1062999963760376</v>
      </c>
      <c r="D88" s="158">
        <v>0.10620000213384628</v>
      </c>
      <c r="E88" s="158">
        <v>0.10610000044107437</v>
      </c>
      <c r="F88" s="158">
        <v>0.10610000044107437</v>
      </c>
      <c r="G88" s="158">
        <v>0.10620000213384628</v>
      </c>
      <c r="H88" s="158">
        <v>0.10620000213384628</v>
      </c>
      <c r="I88" s="158">
        <v>0.10599999874830246</v>
      </c>
      <c r="J88" s="158">
        <v>0.10589999705553055</v>
      </c>
      <c r="K88" s="158">
        <v>0.10589999705553055</v>
      </c>
      <c r="L88" s="158">
        <v>0.10589999705553055</v>
      </c>
      <c r="M88" s="158">
        <v>0.10570000112056732</v>
      </c>
      <c r="N88" s="158">
        <v>0.10540000349283218</v>
      </c>
      <c r="O88" s="158">
        <v>0.10520000010728836</v>
      </c>
      <c r="P88" s="158">
        <v>0.10490000247955322</v>
      </c>
      <c r="Q88" s="158">
        <v>0.10499999672174454</v>
      </c>
      <c r="R88" s="158">
        <v>0.10499999672174454</v>
      </c>
      <c r="S88" s="158">
        <v>0.10520000010728836</v>
      </c>
      <c r="T88" s="158">
        <v>0.1054999977350235</v>
      </c>
      <c r="U88" s="158">
        <v>0.1054999977350235</v>
      </c>
      <c r="V88" s="158">
        <f t="shared" si="1"/>
        <v>0.1054999977350235</v>
      </c>
      <c r="W88" s="158">
        <v>0.1054999977350235</v>
      </c>
      <c r="X88" s="158">
        <v>0.10520000010728836</v>
      </c>
      <c r="Y88" s="158">
        <v>0.10499999672174454</v>
      </c>
      <c r="Z88" s="158">
        <v>0.1046999990940094</v>
      </c>
      <c r="AA88" s="158">
        <v>0.10450000315904617</v>
      </c>
      <c r="AB88" s="158">
        <v>0.10440000146627426</v>
      </c>
      <c r="AC88" s="158">
        <v>0.10429999977350235</v>
      </c>
      <c r="AD88" s="158">
        <v>0.10419999808073044</v>
      </c>
      <c r="AE88" s="158">
        <v>0.10429999977350235</v>
      </c>
      <c r="AF88" s="158">
        <v>0.10450000315904617</v>
      </c>
    </row>
    <row r="89" spans="1:32" x14ac:dyDescent="0.2">
      <c r="A89" s="158" t="s">
        <v>240</v>
      </c>
      <c r="B89" s="158">
        <v>0.10649999976158142</v>
      </c>
      <c r="C89" s="158">
        <v>0.10610000044107437</v>
      </c>
      <c r="D89" s="158">
        <v>0.10589999705553055</v>
      </c>
      <c r="E89" s="158">
        <v>0.10589999705553055</v>
      </c>
      <c r="F89" s="158">
        <v>0.10589999705553055</v>
      </c>
      <c r="G89" s="158">
        <v>0.10599999874830246</v>
      </c>
      <c r="H89" s="158">
        <v>0.10620000213384628</v>
      </c>
      <c r="I89" s="158">
        <v>0.10570000112056732</v>
      </c>
      <c r="J89" s="158">
        <v>0.10570000112056732</v>
      </c>
      <c r="K89" s="158">
        <v>0.10559999942779541</v>
      </c>
      <c r="L89" s="158">
        <v>0.10570000112056732</v>
      </c>
      <c r="M89" s="158">
        <v>0.10540000349283218</v>
      </c>
      <c r="N89" s="158">
        <v>0.10520000010728836</v>
      </c>
      <c r="O89" s="158">
        <v>0.10490000247955322</v>
      </c>
      <c r="P89" s="158">
        <v>0.1046999990940094</v>
      </c>
      <c r="Q89" s="158">
        <v>0.1046999990940094</v>
      </c>
      <c r="R89" s="158">
        <v>0.1046999990940094</v>
      </c>
      <c r="S89" s="158">
        <v>0.10509999841451645</v>
      </c>
      <c r="T89" s="158">
        <v>0.10520000010728836</v>
      </c>
      <c r="U89" s="158">
        <v>0.10530000180006027</v>
      </c>
      <c r="V89" s="158">
        <f t="shared" si="1"/>
        <v>0.10530000180006027</v>
      </c>
      <c r="W89" s="158">
        <v>0.10530000180006027</v>
      </c>
      <c r="X89" s="158">
        <v>0.10499999672174454</v>
      </c>
      <c r="Y89" s="158">
        <v>0.10480000078678131</v>
      </c>
      <c r="Z89" s="158">
        <v>0.10450000315904617</v>
      </c>
      <c r="AA89" s="158">
        <v>0.10419999808073044</v>
      </c>
      <c r="AB89" s="158">
        <v>0.10409999638795853</v>
      </c>
      <c r="AC89" s="158">
        <v>0.10400000214576721</v>
      </c>
      <c r="AD89" s="158">
        <v>0.10400000214576721</v>
      </c>
      <c r="AE89" s="158">
        <v>0.10409999638795853</v>
      </c>
      <c r="AF89" s="158">
        <v>0.10419999808073044</v>
      </c>
    </row>
    <row r="90" spans="1:32" x14ac:dyDescent="0.2">
      <c r="A90" s="158" t="s">
        <v>241</v>
      </c>
      <c r="B90" s="158">
        <v>0.10740000009536743</v>
      </c>
      <c r="C90" s="158">
        <v>0.10700000077486038</v>
      </c>
      <c r="D90" s="158">
        <v>0.10700000077486038</v>
      </c>
      <c r="E90" s="158">
        <v>0.10670000314712524</v>
      </c>
      <c r="F90" s="158">
        <v>0.10660000145435333</v>
      </c>
      <c r="G90" s="158">
        <v>0.10689999908208847</v>
      </c>
      <c r="H90" s="158">
        <v>0.10670000314712524</v>
      </c>
      <c r="I90" s="158">
        <v>0.10660000145435333</v>
      </c>
      <c r="J90" s="158">
        <v>0.10649999976158142</v>
      </c>
      <c r="K90" s="158">
        <v>0.10649999976158142</v>
      </c>
      <c r="L90" s="158">
        <v>0.10679999738931656</v>
      </c>
      <c r="M90" s="158">
        <v>0.1062999963760376</v>
      </c>
      <c r="N90" s="158">
        <v>0.10599999874830246</v>
      </c>
      <c r="O90" s="158">
        <v>0.10580000281333923</v>
      </c>
      <c r="P90" s="158">
        <v>0.1054999977350235</v>
      </c>
      <c r="Q90" s="158">
        <v>0.1054999977350235</v>
      </c>
      <c r="R90" s="158">
        <v>0.10559999942779541</v>
      </c>
      <c r="S90" s="158">
        <v>0.10570000112056732</v>
      </c>
      <c r="T90" s="158">
        <v>0.10599999874830246</v>
      </c>
      <c r="U90" s="158">
        <v>0.10610000044107437</v>
      </c>
      <c r="V90" s="158">
        <f t="shared" si="1"/>
        <v>0.10610000044107437</v>
      </c>
      <c r="W90" s="158">
        <v>0.10610000044107437</v>
      </c>
      <c r="X90" s="158">
        <v>0.10580000281333923</v>
      </c>
      <c r="Y90" s="158">
        <v>0.1054999977350235</v>
      </c>
      <c r="Z90" s="158">
        <v>0.10530000180006027</v>
      </c>
      <c r="AA90" s="158">
        <v>0.10499999672174454</v>
      </c>
      <c r="AB90" s="158">
        <v>0.10490000247955322</v>
      </c>
      <c r="AC90" s="158">
        <v>0.10480000078678131</v>
      </c>
      <c r="AD90" s="158">
        <v>0.10490000247955322</v>
      </c>
      <c r="AE90" s="158">
        <v>0.10480000078678131</v>
      </c>
      <c r="AF90" s="158">
        <v>0.10499999672174454</v>
      </c>
    </row>
    <row r="91" spans="1:32" x14ac:dyDescent="0.2">
      <c r="A91" s="158" t="s">
        <v>242</v>
      </c>
      <c r="B91" s="158">
        <v>0.10719999670982361</v>
      </c>
      <c r="C91" s="158">
        <v>0.10660000145435333</v>
      </c>
      <c r="D91" s="158">
        <v>0.10639999806880951</v>
      </c>
      <c r="E91" s="158">
        <v>0.10639999806880951</v>
      </c>
      <c r="F91" s="158">
        <v>0.10620000213384628</v>
      </c>
      <c r="G91" s="158">
        <v>0.10639999806880951</v>
      </c>
      <c r="H91" s="158">
        <v>0.10620000213384628</v>
      </c>
      <c r="I91" s="158">
        <v>0.10610000044107437</v>
      </c>
      <c r="J91" s="158">
        <v>0.10599999874830246</v>
      </c>
      <c r="K91" s="158">
        <v>0.10610000044107437</v>
      </c>
      <c r="L91" s="158">
        <v>0.10599999874830246</v>
      </c>
      <c r="M91" s="158">
        <v>0.10580000281333923</v>
      </c>
      <c r="N91" s="158">
        <v>0.1054999977350235</v>
      </c>
      <c r="O91" s="158">
        <v>0.10540000349283218</v>
      </c>
      <c r="P91" s="158">
        <v>0.10499999672174454</v>
      </c>
      <c r="Q91" s="158">
        <v>0.10509999841451645</v>
      </c>
      <c r="R91" s="158">
        <v>0.10509999841451645</v>
      </c>
      <c r="S91" s="158">
        <v>0.10520000010728836</v>
      </c>
      <c r="T91" s="158">
        <v>0.1054999977350235</v>
      </c>
      <c r="U91" s="158">
        <v>0.10559999942779541</v>
      </c>
      <c r="V91" s="158">
        <f t="shared" si="1"/>
        <v>0.10559999942779541</v>
      </c>
      <c r="W91" s="158">
        <v>0.10559999942779541</v>
      </c>
      <c r="X91" s="158">
        <v>0.10540000349283218</v>
      </c>
      <c r="Y91" s="158">
        <v>0.10509999841451645</v>
      </c>
      <c r="Z91" s="158">
        <v>0.10490000247955322</v>
      </c>
      <c r="AA91" s="158">
        <v>0.10459999740123749</v>
      </c>
      <c r="AB91" s="158">
        <v>0.10440000146627426</v>
      </c>
      <c r="AC91" s="158">
        <v>0.10440000146627426</v>
      </c>
      <c r="AD91" s="158">
        <v>0.10440000146627426</v>
      </c>
      <c r="AE91" s="158">
        <v>0.10440000146627426</v>
      </c>
      <c r="AF91" s="158">
        <v>0.10459999740123749</v>
      </c>
    </row>
    <row r="92" spans="1:32" x14ac:dyDescent="0.2">
      <c r="A92" s="158" t="s">
        <v>243</v>
      </c>
      <c r="B92" s="158">
        <v>0.10740000009536743</v>
      </c>
      <c r="C92" s="158">
        <v>0.10679999738931656</v>
      </c>
      <c r="D92" s="158">
        <v>0.10660000145435333</v>
      </c>
      <c r="E92" s="158">
        <v>0.10639999806880951</v>
      </c>
      <c r="F92" s="158">
        <v>0.1062999963760376</v>
      </c>
      <c r="G92" s="158">
        <v>0.10649999976158142</v>
      </c>
      <c r="H92" s="158">
        <v>0.1062999963760376</v>
      </c>
      <c r="I92" s="158">
        <v>0.10620000213384628</v>
      </c>
      <c r="J92" s="158">
        <v>0.10610000044107437</v>
      </c>
      <c r="K92" s="158">
        <v>0.10610000044107437</v>
      </c>
      <c r="L92" s="158">
        <v>0.10599999874830246</v>
      </c>
      <c r="M92" s="158">
        <v>0.10580000281333923</v>
      </c>
      <c r="N92" s="158">
        <v>0.1054999977350235</v>
      </c>
      <c r="O92" s="158">
        <v>0.10530000180006027</v>
      </c>
      <c r="P92" s="158">
        <v>0.10499999672174454</v>
      </c>
      <c r="Q92" s="158">
        <v>0.10499999672174454</v>
      </c>
      <c r="R92" s="158">
        <v>0.10509999841451645</v>
      </c>
      <c r="S92" s="158">
        <v>0.10520000010728836</v>
      </c>
      <c r="T92" s="158">
        <v>0.1054999977350235</v>
      </c>
      <c r="U92" s="158">
        <v>0.10559999942779541</v>
      </c>
      <c r="V92" s="158">
        <f t="shared" si="1"/>
        <v>0.10559999942779541</v>
      </c>
      <c r="W92" s="158">
        <v>0.10559999942779541</v>
      </c>
      <c r="X92" s="158">
        <v>0.10530000180006027</v>
      </c>
      <c r="Y92" s="158">
        <v>0.10509999841451645</v>
      </c>
      <c r="Z92" s="158">
        <v>0.10480000078678131</v>
      </c>
      <c r="AA92" s="158">
        <v>0.10450000315904617</v>
      </c>
      <c r="AB92" s="158">
        <v>0.10440000146627426</v>
      </c>
      <c r="AC92" s="158">
        <v>0.10429999977350235</v>
      </c>
      <c r="AD92" s="158">
        <v>0.10429999977350235</v>
      </c>
      <c r="AE92" s="158">
        <v>0.10429999977350235</v>
      </c>
      <c r="AF92" s="158">
        <v>0.10450000315904617</v>
      </c>
    </row>
    <row r="93" spans="1:32" x14ac:dyDescent="0.2">
      <c r="A93" s="158" t="s">
        <v>244</v>
      </c>
      <c r="B93" s="158">
        <v>0.10750000178813934</v>
      </c>
      <c r="C93" s="158">
        <v>0.10639999806880951</v>
      </c>
      <c r="D93" s="158">
        <v>0.10639999806880951</v>
      </c>
      <c r="E93" s="158">
        <v>0.10670000314712524</v>
      </c>
      <c r="F93" s="158">
        <v>0.10639999806880951</v>
      </c>
      <c r="G93" s="158">
        <v>0.10660000145435333</v>
      </c>
      <c r="H93" s="158">
        <v>0.1062999963760376</v>
      </c>
      <c r="I93" s="158">
        <v>0.10620000213384628</v>
      </c>
      <c r="J93" s="158">
        <v>0.10599999874830246</v>
      </c>
      <c r="K93" s="158">
        <v>0.10599999874830246</v>
      </c>
      <c r="L93" s="158">
        <v>0.10599999874830246</v>
      </c>
      <c r="M93" s="158">
        <v>0.10570000112056732</v>
      </c>
      <c r="N93" s="158">
        <v>0.1054999977350235</v>
      </c>
      <c r="O93" s="158">
        <v>0.10530000180006027</v>
      </c>
      <c r="P93" s="158">
        <v>0.10490000247955322</v>
      </c>
      <c r="Q93" s="158">
        <v>0.10490000247955322</v>
      </c>
      <c r="R93" s="158">
        <v>0.10499999672174454</v>
      </c>
      <c r="S93" s="158">
        <v>0.10509999841451645</v>
      </c>
      <c r="T93" s="158">
        <v>0.10530000180006027</v>
      </c>
      <c r="U93" s="158">
        <v>0.10530000180006027</v>
      </c>
      <c r="V93" s="158">
        <f t="shared" si="1"/>
        <v>0.10530000180006027</v>
      </c>
      <c r="W93" s="158">
        <v>0.10530000180006027</v>
      </c>
      <c r="X93" s="158">
        <v>0.10499999672174454</v>
      </c>
      <c r="Y93" s="158">
        <v>0.1046999990940094</v>
      </c>
      <c r="Z93" s="158">
        <v>0.10450000315904617</v>
      </c>
      <c r="AA93" s="158">
        <v>0.10419999808073044</v>
      </c>
      <c r="AB93" s="158">
        <v>0.10400000214576721</v>
      </c>
      <c r="AC93" s="158">
        <v>0.10400000214576721</v>
      </c>
      <c r="AD93" s="158">
        <v>0.10409999638795853</v>
      </c>
      <c r="AE93" s="158">
        <v>0.1039000004529953</v>
      </c>
      <c r="AF93" s="158">
        <v>0.10350000113248825</v>
      </c>
    </row>
    <row r="94" spans="1:32" x14ac:dyDescent="0.2">
      <c r="A94" s="156" t="s">
        <v>376</v>
      </c>
      <c r="B94" s="156">
        <f>$B$55-AVERAGE($B$58,$B$62,$B$66)</f>
        <v>4.6666214863459732E-4</v>
      </c>
      <c r="C94" s="156">
        <f>$C$55-AVERAGE($C$58,$C$62,$C$66)</f>
        <v>5.9999773899714615E-4</v>
      </c>
      <c r="D94" s="156">
        <f>$D$55-AVERAGE($D$58,$D$62,$D$66)</f>
        <v>8.0000112454096939E-4</v>
      </c>
      <c r="E94" s="156">
        <f>$E$55-AVERAGE($E$58,$E$62,$E$66)</f>
        <v>1.0333309570948329E-3</v>
      </c>
      <c r="F94" s="156">
        <f>$F$55-AVERAGE($F$58,$F$62,$F$66)</f>
        <v>1.6333311796188354E-3</v>
      </c>
      <c r="G94" s="156">
        <f>$G$55-AVERAGE($G$58,$G$62,$G$66)</f>
        <v>2.5666629274686131E-3</v>
      </c>
      <c r="H94" s="156">
        <f>$H$55-AVERAGE($H$58,$H$62,$H$66)</f>
        <v>3.9000014464060512E-3</v>
      </c>
      <c r="I94" s="156">
        <f>$I$55-AVERAGE($I$58,$I$62,$I$66)</f>
        <v>5.9666658441225734E-3</v>
      </c>
      <c r="J94" s="156">
        <f>$J$55-AVERAGE($J$58,$J$62,$J$66)</f>
        <v>9.6000010768572536E-3</v>
      </c>
      <c r="K94" s="156">
        <f>$K$55-AVERAGE($K$58,$K$62,$K$66)</f>
        <v>1.5500004092852279E-2</v>
      </c>
      <c r="L94" s="156">
        <f>$L$55-AVERAGE($L$58,$L$62,$L$66)</f>
        <v>2.4700003365675613E-2</v>
      </c>
      <c r="M94" s="156">
        <f>$M$55-AVERAGE($M$58,$M$62,$M$66)</f>
        <v>3.7900000810623169E-2</v>
      </c>
      <c r="N94" s="156">
        <f>$N$55-AVERAGE($N$58,$N$62,$N$66)</f>
        <v>5.613332738478978E-2</v>
      </c>
      <c r="O94" s="156">
        <f>$O$55-AVERAGE($O$58,$O$62,$O$66)</f>
        <v>8.043333639701207E-2</v>
      </c>
      <c r="P94" s="156">
        <f>$P$55-AVERAGE($P$58,$P$62,$P$66)</f>
        <v>0.11040000120798747</v>
      </c>
      <c r="Q94" s="156">
        <f>$Q$55-AVERAGE($Q$58,$Q$62,$Q$66)</f>
        <v>0.1453999976317088</v>
      </c>
      <c r="R94" s="156">
        <f>$R$55-AVERAGE($R$58,$R$62,$R$66)</f>
        <v>0.18636667231718701</v>
      </c>
      <c r="S94" s="156">
        <f>$S$55-AVERAGE($S$58,$S$62,$S$66)</f>
        <v>0.23186667760213214</v>
      </c>
      <c r="T94" s="156">
        <f>$T$55-AVERAGE($T$58,$T$62,$T$66)</f>
        <v>0.27363333602746326</v>
      </c>
      <c r="U94" s="156">
        <f>$U$55-AVERAGE($U$58,$U$62,$U$66)</f>
        <v>0.31026668101549149</v>
      </c>
      <c r="V94" s="156">
        <f>$V$55-AVERAGE($V$58,$V$62,$V$66)</f>
        <v>0.32606667901078862</v>
      </c>
      <c r="W94" s="156">
        <f>$W$55-AVERAGE($W$58,$W$62,$W$66)</f>
        <v>0.3418666770060857</v>
      </c>
      <c r="X94" s="156">
        <f>$X$55-AVERAGE($X$58,$X$62,$X$66)</f>
        <v>0.34800000985463458</v>
      </c>
      <c r="Y94" s="156">
        <f>$Y$55-AVERAGE($Y$58,$Y$62,$Y$66)</f>
        <v>0.35010001063346863</v>
      </c>
      <c r="Z94" s="156">
        <f>$Z$55-AVERAGE($Z$58,$Z$62,$Z$66)</f>
        <v>0.34773333370685577</v>
      </c>
      <c r="AA94" s="156">
        <f>$AA$55-AVERAGE($AA$58,$AA$62,$AA$66)</f>
        <v>0.34903332591056824</v>
      </c>
      <c r="AB94" s="156">
        <f>$AB$55-AVERAGE($AB$58,$AB$62,$AB$66)</f>
        <v>0.35043331980705261</v>
      </c>
      <c r="AC94" s="156">
        <f>$AC$55-AVERAGE($AC$58,$AC$62,$AC$66)</f>
        <v>0.35369999706745148</v>
      </c>
      <c r="AD94" s="156">
        <f>$AD$55-AVERAGE($AD$58,$AD$62,$AD$66)</f>
        <v>0.3596000075340271</v>
      </c>
      <c r="AE94" s="156">
        <f>$AE$55-AVERAGE($AE$58,$AE$62,$AE$66)</f>
        <v>0.36819998671611148</v>
      </c>
      <c r="AF94" s="156">
        <f>$AF$55-AVERAGE($AF$58,$AF$62,$AF$66)</f>
        <v>0.37800000359614688</v>
      </c>
    </row>
    <row r="95" spans="1:32" x14ac:dyDescent="0.2">
      <c r="A95" s="157" t="s">
        <v>377</v>
      </c>
      <c r="B95" s="157">
        <f>$B$56-AVERAGE($B$58,$B$62,$B$66)</f>
        <v>7.6666722695033218E-4</v>
      </c>
      <c r="C95" s="157">
        <f>$C$56-AVERAGE($C$58,$C$62,$C$66)</f>
        <v>8.0000112454096939E-4</v>
      </c>
      <c r="D95" s="157">
        <f>$D$56-AVERAGE($D$58,$D$62,$D$66)</f>
        <v>1.0999987522761073E-3</v>
      </c>
      <c r="E95" s="157">
        <f>$E$56-AVERAGE($E$58,$E$62,$E$66)</f>
        <v>1.5333319703737941E-3</v>
      </c>
      <c r="F95" s="157">
        <f>$F$56-AVERAGE($F$58,$F$62,$F$66)</f>
        <v>2.2333338856697083E-3</v>
      </c>
      <c r="G95" s="157">
        <f>$G$56-AVERAGE($G$58,$G$62,$G$66)</f>
        <v>3.3666615684827123E-3</v>
      </c>
      <c r="H95" s="157">
        <f>$H$56-AVERAGE($H$58,$H$62,$H$66)</f>
        <v>4.9999977151552882E-3</v>
      </c>
      <c r="I95" s="157">
        <f>$I$56-AVERAGE($I$58,$I$62,$I$66)</f>
        <v>7.8666682044665065E-3</v>
      </c>
      <c r="J95" s="157">
        <f>$J$56-AVERAGE($J$58,$J$62,$J$66)</f>
        <v>1.2700001398722335E-2</v>
      </c>
      <c r="K95" s="157">
        <f>$K$56-AVERAGE($K$58,$K$62,$K$66)</f>
        <v>2.0300003389517471E-2</v>
      </c>
      <c r="L95" s="157">
        <f>$L$56-AVERAGE($L$58,$L$62,$L$66)</f>
        <v>3.1600000957647964E-2</v>
      </c>
      <c r="M95" s="157">
        <f>$M$56-AVERAGE($M$58,$M$62,$M$66)</f>
        <v>4.7800004482269287E-2</v>
      </c>
      <c r="N95" s="157">
        <f>$N$56-AVERAGE($N$58,$N$62,$N$66)</f>
        <v>7.0133325954278306E-2</v>
      </c>
      <c r="O95" s="157">
        <f>$O$56-AVERAGE($O$58,$O$62,$O$66)</f>
        <v>9.7933334608872727E-2</v>
      </c>
      <c r="P95" s="157">
        <f>$P$56-AVERAGE($P$58,$P$62,$P$66)</f>
        <v>0.13100000719229382</v>
      </c>
      <c r="Q95" s="157">
        <f>$Q$56-AVERAGE($Q$58,$Q$62,$Q$66)</f>
        <v>0.16939998666445416</v>
      </c>
      <c r="R95" s="157">
        <f>$R$56-AVERAGE($R$58,$R$62,$R$66)</f>
        <v>0.21346666912237805</v>
      </c>
      <c r="S95" s="157">
        <f>$S$56-AVERAGE($S$58,$S$62,$S$66)</f>
        <v>0.25946666797002155</v>
      </c>
      <c r="T95" s="157">
        <f>$T$56-AVERAGE($T$58,$T$62,$T$66)</f>
        <v>0.29513332744439441</v>
      </c>
      <c r="U95" s="157">
        <f>$U$56-AVERAGE($U$58,$U$62,$U$66)</f>
        <v>0.32786668092012405</v>
      </c>
      <c r="V95" s="157">
        <f>$V$56-AVERAGE($V$58,$V$62,$V$66)</f>
        <v>0.33751667166749638</v>
      </c>
      <c r="W95" s="157">
        <f>$W$56-AVERAGE($W$58,$W$62,$W$66)</f>
        <v>0.34716666241486865</v>
      </c>
      <c r="X95" s="157">
        <f>$X$56-AVERAGE($X$58,$X$62,$X$66)</f>
        <v>0.34989999731381732</v>
      </c>
      <c r="Y95" s="157">
        <f>$Y$56-AVERAGE($Y$58,$Y$62,$Y$66)</f>
        <v>0.34779998660087585</v>
      </c>
      <c r="Z95" s="157">
        <f>$Z$56-AVERAGE($Z$58,$Z$62,$Z$66)</f>
        <v>0.34623332321643829</v>
      </c>
      <c r="AA95" s="157">
        <f>$AA$56-AVERAGE($AA$58,$AA$62,$AA$66)</f>
        <v>0.34703332185745239</v>
      </c>
      <c r="AB95" s="157">
        <f>$AB$56-AVERAGE($AB$58,$AB$62,$AB$66)</f>
        <v>0.34933334589004517</v>
      </c>
      <c r="AC95" s="157">
        <f>$AC$56-AVERAGE($AC$58,$AC$62,$AC$66)</f>
        <v>0.35369999706745148</v>
      </c>
      <c r="AD95" s="157">
        <f>$AD$56-AVERAGE($AD$58,$AD$62,$AD$66)</f>
        <v>0.3596000075340271</v>
      </c>
      <c r="AE95" s="157">
        <f>$AE$56-AVERAGE($AE$58,$AE$62,$AE$66)</f>
        <v>0.36800001313289005</v>
      </c>
      <c r="AF95" s="157">
        <f>$AF$56-AVERAGE($AF$58,$AF$62,$AF$66)</f>
        <v>0.37890000392993289</v>
      </c>
    </row>
    <row r="96" spans="1:32" x14ac:dyDescent="0.2">
      <c r="A96" s="168" t="s">
        <v>378</v>
      </c>
      <c r="B96" s="168">
        <f>$B$57-AVERAGE($B$58,$B$59,$B$62,$B$66,$B$68,$B$69,$B$70,$B$71,$B$79,$B$85,$B$86,$B$87,$B$88,$B$89)</f>
        <v>7.7857396432332027E-4</v>
      </c>
      <c r="C96" s="168">
        <f>$C$57-AVERAGE($C$58,$C$59,$C$62,$C$66,$C$68,$C$69,$C$70,$C$71,$C$79,$C$85,$C$86,$C$87,$C$88,$C$89)</f>
        <v>7.6428375073842036E-4</v>
      </c>
      <c r="D96" s="168">
        <f>$D$57-AVERAGE($D$58,$D$59,$D$62,$D$66,$D$68,$D$69,$D$70,$D$71,$D$79,$D$85,$D$86,$D$87,$D$88,$D$89)</f>
        <v>1.1571454150336169E-3</v>
      </c>
      <c r="E96" s="168">
        <f>$E$57-AVERAGE($E$58,$E$59,$E$62,$E$66,$E$68,$E$69,$E$70,$E$71,$E$79,$E$85,$E$86,$E$87,$E$88,$E$89)</f>
        <v>1.6285750482763622E-3</v>
      </c>
      <c r="F96" s="168">
        <f>$F$57-AVERAGE($F$58,$F$59,$F$62,$F$66,$F$68,$F$69,$F$70,$F$71,$F$79,$F$85,$F$86,$F$87,$F$88,$F$89)</f>
        <v>2.3428568882601641E-3</v>
      </c>
      <c r="G96" s="168">
        <f>$G$57-AVERAGE($G$58,$G$59,$G$62,$G$66,$G$68,$G$69,$G$70,$G$71,$G$79,$G$85,$G$86,$G$87,$G$88,$G$89)</f>
        <v>3.4999964492661573E-3</v>
      </c>
      <c r="H96" s="168">
        <f>$H$57-AVERAGE($H$58,$H$59,$H$62,$H$66,$H$68,$H$69,$H$70,$H$71,$H$79,$H$85,$H$86,$H$87,$H$88,$H$89)</f>
        <v>5.4785699716636133E-3</v>
      </c>
      <c r="I96" s="168">
        <f>$I$57-AVERAGE($I$58,$I$59,$I$62,$I$66,$I$68,$I$69,$I$70,$I$71,$I$79,$I$85,$I$86,$I$87,$I$88,$I$89)</f>
        <v>8.7214277258941125E-3</v>
      </c>
      <c r="J96" s="168">
        <f>$J$57-AVERAGE($J$58,$J$59,$J$62,$J$66,$J$68,$J$69,$J$70,$J$71,$J$79,$J$85,$J$86,$J$87,$J$88,$J$89)</f>
        <v>1.4171430574996133E-2</v>
      </c>
      <c r="K96" s="168">
        <f>$K$57-AVERAGE($K$58,$K$59,$K$62,$K$66,$K$68,$K$69,$K$70,$K$71,$K$79,$K$85,$K$86,$K$87,$K$88,$K$89)</f>
        <v>2.2821427455970225E-2</v>
      </c>
      <c r="L96" s="168">
        <f>$L$57-AVERAGE($L$58,$L$59,$L$62,$L$66,$L$68,$L$69,$L$70,$L$71,$L$79,$L$85,$L$86,$L$87,$L$88,$L$89)</f>
        <v>3.540000319480896E-2</v>
      </c>
      <c r="M96" s="168">
        <f>$M$57-AVERAGE($M$58,$M$59,$M$62,$M$66,$M$68,$M$69,$M$70,$M$71,$M$79,$M$85,$M$86,$M$87,$M$88,$M$89)</f>
        <v>5.3364291254963198E-2</v>
      </c>
      <c r="N96" s="168">
        <f>$N$57-AVERAGE($N$58,$N$59,$N$62,$N$66,$N$68,$N$69,$N$70,$N$71,$N$79,$N$85,$N$86,$N$87,$N$88,$N$89)</f>
        <v>7.7407135495117727E-2</v>
      </c>
      <c r="O96" s="168">
        <f>$O$57-AVERAGE($O$58,$O$59,$O$62,$O$66,$O$68,$O$69,$O$70,$O$71,$O$79,$O$85,$O$86,$O$87,$O$88,$O$89)</f>
        <v>0.10757856549961227</v>
      </c>
      <c r="P96" s="168">
        <f>$P$57-AVERAGE($P$58,$P$59,$P$62,$P$66,$P$68,$P$69,$P$70,$P$71,$P$79,$P$85,$P$86,$P$87,$P$88,$P$89)</f>
        <v>0.14237857024584499</v>
      </c>
      <c r="Q96" s="168">
        <f>$Q$57-AVERAGE($Q$58,$Q$59,$Q$62,$Q$66,$Q$68,$Q$69,$Q$70,$Q$71,$Q$79,$Q$85,$Q$86,$Q$87,$Q$88,$Q$89)</f>
        <v>0.1822785756417683</v>
      </c>
      <c r="R96" s="168">
        <f>$R$57-AVERAGE($R$58,$R$59,$R$62,$R$66,$R$68,$R$69,$R$70,$R$71,$R$79,$R$85,$R$86,$R$87,$R$88,$R$89)</f>
        <v>0.22727141955069133</v>
      </c>
      <c r="S96" s="168">
        <f>$S$57-AVERAGE($S$58,$S$59,$S$62,$S$66,$S$68,$S$69,$S$70,$S$71,$S$79,$S$85,$S$86,$S$87,$S$88,$S$89)</f>
        <v>0.27124998984592302</v>
      </c>
      <c r="T96" s="168">
        <f>$T$57-AVERAGE($T$58,$T$59,$T$62,$T$66,$T$68,$T$69,$T$70,$T$71,$T$79,$T$85,$T$86,$T$87,$T$88,$T$89)</f>
        <v>0.30584285355040008</v>
      </c>
      <c r="U96" s="168">
        <f>$U$57-AVERAGE($U$58,$U$59,$U$62,$U$66,$U$68,$U$69,$U$70,$U$71,$U$79,$U$85,$U$86,$U$87,$U$88,$U$89)</f>
        <v>0.33607855918151991</v>
      </c>
      <c r="V96" s="168">
        <f>$V$57-AVERAGE($V$58,$V$59,$V$62,$V$66,$V$68,$V$69,$V$70,$V$71,$V$79,$V$85,$V$86,$V$87,$V$88,$V$89)</f>
        <v>0.34204642873789581</v>
      </c>
      <c r="W96" s="168">
        <f>$W$57-AVERAGE($W$58,$W$59,$W$62,$W$66,$W$68,$W$69,$W$70,$W$71,$W$79,$W$85,$W$86,$W$87,$W$88,$W$89)</f>
        <v>0.34801429829427177</v>
      </c>
      <c r="X96" s="168">
        <f>$X$57-AVERAGE($X$58,$X$59,$X$62,$X$66,$X$68,$X$69,$X$70,$X$71,$X$79,$X$85,$X$86,$X$87,$X$88,$X$89)</f>
        <v>0.34986428224614685</v>
      </c>
      <c r="Y96" s="168">
        <f>$Y$57-AVERAGE($Y$58,$Y$59,$Y$62,$Y$66,$Y$68,$Y$69,$Y$70,$Y$71,$Y$79,$Y$85,$Y$86,$Y$87,$Y$88,$Y$89)</f>
        <v>0.34755714237689972</v>
      </c>
      <c r="Z96" s="168">
        <f>$Z$57-AVERAGE($Z$58,$Z$59,$Z$62,$Z$66,$Z$68,$Z$69,$Z$70,$Z$71,$Z$79,$Z$85,$Z$86,$Z$87,$Z$88,$Z$89)</f>
        <v>0.34496428232107845</v>
      </c>
      <c r="AA96" s="168">
        <f>$AA$57-AVERAGE($AA$58,$AA$59,$AA$62,$AA$66,$AA$68,$AA$69,$AA$70,$AA$71,$AA$79,$AA$85,$AA$86,$AA$87,$AA$88,$AA$89)</f>
        <v>0.34582142318998066</v>
      </c>
      <c r="AB96" s="168">
        <f>$AB$57-AVERAGE($AB$58,$AB$59,$AB$62,$AB$66,$AB$68,$AB$69,$AB$70,$AB$71,$AB$79,$AB$85,$AB$86,$AB$87,$AB$88,$AB$89)</f>
        <v>0.34789285542709486</v>
      </c>
      <c r="AC96" s="168">
        <f>$AC$57-AVERAGE($AC$58,$AC$59,$AC$62,$AC$66,$AC$68,$AC$69,$AC$70,$AC$71,$AC$79,$AC$85,$AC$86,$AC$87,$AC$88,$AC$89)</f>
        <v>0.35272856216345516</v>
      </c>
      <c r="AD96" s="168">
        <f>$AD$57-AVERAGE($AD$58,$AD$59,$AD$62,$AD$66,$AD$68,$AD$69,$AD$70,$AD$71,$AD$79,$AD$85,$AD$86,$AD$87,$AD$88,$AD$89)</f>
        <v>0.35949285700917244</v>
      </c>
      <c r="AE96" s="168">
        <f>$AE$57-AVERAGE($AE$58,$AE$59,$AE$62,$AE$66,$AE$68,$AE$69,$AE$70,$AE$71,$AE$79,$AE$85,$AE$86,$AE$87,$AE$88,$AE$89)</f>
        <v>0.3676714184028762</v>
      </c>
      <c r="AF96" s="168">
        <f>$AF$57-AVERAGE($AF$58,$AF$59,$AF$62,$AF$66,$AF$68,$AF$69,$AF$70,$AF$71,$AF$79,$AF$85,$AF$86,$AF$87,$AF$88,$AF$89)</f>
        <v>0.37852856516838074</v>
      </c>
    </row>
    <row r="97" spans="1:32" x14ac:dyDescent="0.2">
      <c r="A97" t="s">
        <v>379</v>
      </c>
      <c r="H97">
        <f>INDEX(LOGEST($B$94:$H$94,$B$54:$H$54,TRUE,TRUE), 3)</f>
        <v>0.9843061297667226</v>
      </c>
      <c r="I97">
        <f>INDEX(LOGEST($B$94:$I$94,$B$54:$I$54,TRUE,TRUE), 3)</f>
        <v>0.9874405864650837</v>
      </c>
      <c r="J97">
        <f>INDEX(LOGEST($B$94:$J$94,$B$54:$J$54,TRUE,TRUE), 3)</f>
        <v>0.98893790345552801</v>
      </c>
      <c r="K97">
        <f>INDEX(LOGEST($B$94:$K$94,$B$54:$K$54,TRUE,TRUE), 3)</f>
        <v>0.98998557068751747</v>
      </c>
      <c r="L97">
        <f>INDEX(LOGEST($B$94:$L$94,$B$54:$L$54,TRUE,TRUE), 3)</f>
        <v>0.99112804853774017</v>
      </c>
      <c r="M97">
        <f>INDEX(LOGEST($B$94:$M$94,$B$54:$M$54,TRUE,TRUE), 3)</f>
        <v>0.99256671877520464</v>
      </c>
      <c r="N97">
        <f>INDEX(LOGEST($B$94:$N$94,$B$54:$N$54,TRUE,TRUE), 3)</f>
        <v>0.99401958536448476</v>
      </c>
      <c r="O97">
        <f>INDEX(LOGEST($B$94:$O$94,$B$54:$O$54,TRUE,TRUE), 3)</f>
        <v>0.99521557375974545</v>
      </c>
      <c r="P97">
        <f>INDEX(LOGEST($B$94:$P$94,$B$54:$P$54,TRUE,TRUE), 3)</f>
        <v>0.99594548099268998</v>
      </c>
      <c r="Q97" s="155">
        <f>INDEX(LOGEST($B$94:$Q$94,$B$54:$Q$54,TRUE,TRUE), 3)</f>
        <v>0.99601561323925492</v>
      </c>
      <c r="R97">
        <f>INDEX(LOGEST($B$94:$R$94,$B$54:$R$54,TRUE,TRUE), 3)</f>
        <v>0.99537140936904533</v>
      </c>
      <c r="S97">
        <f>INDEX(LOGEST($B$94:$S$94,$B$54:$S$54,TRUE,TRUE), 3)</f>
        <v>0.99397412909737382</v>
      </c>
      <c r="T97">
        <f>INDEX(LOGEST($B$94:$T$94,$B$54:$T$54,TRUE,TRUE), 3)</f>
        <v>0.99152777751757393</v>
      </c>
      <c r="U97">
        <f>INDEX(LOGEST($B$94:$U$94,$B$54:$U$54,TRUE,TRUE), 3)</f>
        <v>0.98786288799683464</v>
      </c>
      <c r="V97">
        <f>INDEX(LOGEST($B$94:$V$94,$B$54:$V$54,TRUE,TRUE), 3)</f>
        <v>0.98223300276873116</v>
      </c>
      <c r="W97">
        <f>INDEX(LOGEST($B$94:$W$94,$B$54:$W$54,TRUE,TRUE), 3)</f>
        <v>0.97504728022153142</v>
      </c>
      <c r="X97">
        <f>INDEX(LOGEST($B$94:$X$94,$B$54:$X$54,TRUE,TRUE), 3)</f>
        <v>0.96618499713318695</v>
      </c>
      <c r="Y97">
        <f>INDEX(LOGEST($B$94:$Y$94,$B$54:$Y$54,TRUE,TRUE), 3)</f>
        <v>0.95582995070098531</v>
      </c>
      <c r="Z97">
        <f>INDEX(LOGEST($B$94:$Z$94,$B$54:$Z$54,TRUE,TRUE), 3)</f>
        <v>0.94409094207914901</v>
      </c>
      <c r="AA97">
        <f>INDEX(LOGEST($B$94:$AA$94,$B$54:$AA$54,TRUE,TRUE), 3)</f>
        <v>0.93153288197974338</v>
      </c>
      <c r="AB97">
        <f>INDEX(LOGEST($B$94:$AB$94,$B$54:$AB$54,TRUE,TRUE), 3)</f>
        <v>0.91841286640564201</v>
      </c>
      <c r="AC97">
        <f>INDEX(LOGEST($B$94:$AC$94,$B$54:$AC$54,TRUE,TRUE), 3)</f>
        <v>0.90504808800865821</v>
      </c>
      <c r="AD97">
        <f>INDEX(LOGEST($B$94:$AD$94,$B$54:$AD$54,TRUE,TRUE), 3)</f>
        <v>0.89174341915976052</v>
      </c>
      <c r="AE97">
        <f>INDEX(LOGEST($B$94:$AE$94,$B$54:$AE$54,TRUE,TRUE), 3)</f>
        <v>0.87874540191210682</v>
      </c>
      <c r="AF97">
        <f>INDEX(LOGEST($B$94:$AF$94,$B$54:$AF$54,TRUE,TRUE), 3)</f>
        <v>0.86615740461917434</v>
      </c>
    </row>
    <row r="98" spans="1:32" x14ac:dyDescent="0.2">
      <c r="A98" t="s">
        <v>380</v>
      </c>
      <c r="H98">
        <f>INDEX(LOGEST($B$95:$H$95,$B$54:$H$54,TRUE,TRUE), 3)</f>
        <v>0.97448346957605825</v>
      </c>
      <c r="I98">
        <f>INDEX(LOGEST($B$95:$I$95,$B$54:$I$54,TRUE,TRUE), 3)</f>
        <v>0.97903540717102355</v>
      </c>
      <c r="J98">
        <f>INDEX(LOGEST($B$95:$J$95,$B$54:$J$54,TRUE,TRUE), 3)</f>
        <v>0.9814109307593939</v>
      </c>
      <c r="K98">
        <f>INDEX(LOGEST($B$95:$K$95,$B$54:$K$54,TRUE,TRUE), 3)</f>
        <v>0.98360474959424948</v>
      </c>
      <c r="L98">
        <f>INDEX(LOGEST($B$95:$L$95,$B$54:$L$54,TRUE,TRUE), 3)</f>
        <v>0.98607775953212251</v>
      </c>
      <c r="M98">
        <f>INDEX(LOGEST($B$95:$M$95,$B$54:$M$54,TRUE,TRUE), 3)</f>
        <v>0.98858284616611858</v>
      </c>
      <c r="N98">
        <f>INDEX(LOGEST($B$95:$N$95,$B$54:$N$54,TRUE,TRUE), 3)</f>
        <v>0.99084655476322769</v>
      </c>
      <c r="O98">
        <f>INDEX(LOGEST($B$95:$O$95,$B$54:$O$54,TRUE,TRUE), 3)</f>
        <v>0.99267569979510251</v>
      </c>
      <c r="P98">
        <f>INDEX(LOGEST($B$95:$P$95,$B$54:$P$54,TRUE,TRUE), 3)</f>
        <v>0.99380593843717235</v>
      </c>
      <c r="Q98" s="155">
        <f>INDEX(LOGEST($B$95:$Q$95,$B$54:$Q$54,TRUE,TRUE), 3)</f>
        <v>0.99409149377749606</v>
      </c>
      <c r="R98">
        <f>INDEX(LOGEST($B$95:$R$95,$B$54:$R$54,TRUE,TRUE), 3)</f>
        <v>0.99352560310712623</v>
      </c>
      <c r="S98">
        <f>INDEX(LOGEST($B$95:$S$95,$B$54:$S$54,TRUE,TRUE), 3)</f>
        <v>0.99202001668403428</v>
      </c>
      <c r="T98">
        <f>INDEX(LOGEST($B$95:$T$95,$B$54:$T$54,TRUE,TRUE), 3)</f>
        <v>0.98907771387526588</v>
      </c>
      <c r="U98">
        <f>INDEX(LOGEST($B$95:$U$95,$B$54:$U$54,TRUE,TRUE), 3)</f>
        <v>0.98476107204493968</v>
      </c>
      <c r="V98">
        <f>INDEX(LOGEST($B$95:$V$95,$B$54:$V$54,TRUE,TRUE), 3)</f>
        <v>0.97820989940086667</v>
      </c>
      <c r="W98">
        <f>INDEX(LOGEST($B$95:$W$95,$B$54:$W$54,TRUE,TRUE), 3)</f>
        <v>0.96990621950097811</v>
      </c>
      <c r="X98">
        <f>INDEX(LOGEST($B$95:$X$95,$B$54:$X$54,TRUE,TRUE), 3)</f>
        <v>0.9598855520205658</v>
      </c>
      <c r="Y98">
        <f>INDEX(LOGEST($B$95:$Y$95,$B$54:$Y$54,TRUE,TRUE), 3)</f>
        <v>0.94827181562026364</v>
      </c>
      <c r="Z98">
        <f>INDEX(LOGEST($B$95:$Z$95,$B$54:$Z$54,TRUE,TRUE), 3)</f>
        <v>0.93548961101943806</v>
      </c>
      <c r="AA98">
        <f>INDEX(LOGEST($B$95:$AA$95,$B$54:$AA$54,TRUE,TRUE), 3)</f>
        <v>0.92201707891973261</v>
      </c>
      <c r="AB98">
        <f>INDEX(LOGEST($B$95:$AB$95,$B$54:$AB$54,TRUE,TRUE), 3)</f>
        <v>0.90819227401259151</v>
      </c>
      <c r="AC98">
        <f>INDEX(LOGEST($B$95:$AC$95,$B$54:$AC$54,TRUE,TRUE), 3)</f>
        <v>0.89432770567948883</v>
      </c>
      <c r="AD98">
        <f>INDEX(LOGEST($B$95:$AD$95,$B$54:$AD$54,TRUE,TRUE), 3)</f>
        <v>0.88063742341108897</v>
      </c>
      <c r="AE98">
        <f>INDEX(LOGEST($B$95:$AE$95,$B$54:$AE$54,TRUE,TRUE), 3)</f>
        <v>0.86735125883694375</v>
      </c>
      <c r="AF98">
        <f>INDEX(LOGEST($B$95:$AF$95,$B$54:$AF$54,TRUE,TRUE), 3)</f>
        <v>0.85464426248344494</v>
      </c>
    </row>
    <row r="99" spans="1:32" x14ac:dyDescent="0.2">
      <c r="A99" t="s">
        <v>381</v>
      </c>
      <c r="H99">
        <f>INDEX(LOGEST($B$96:$H$96,$B$54:$H$54,TRUE,TRUE), 3)</f>
        <v>0.97232432980089201</v>
      </c>
      <c r="I99">
        <f>INDEX(LOGEST($B$96:$I$96,$B$54:$I$54,TRUE,TRUE), 3)</f>
        <v>0.97772379302844126</v>
      </c>
      <c r="J99">
        <f>INDEX(LOGEST($B$96:$J$96,$B$54:$J$54,TRUE,TRUE), 3)</f>
        <v>0.98099419681026601</v>
      </c>
      <c r="K99">
        <f>INDEX(LOGEST($B$96:$K$96,$B$54:$K$54,TRUE,TRUE), 3)</f>
        <v>0.98375648147692962</v>
      </c>
      <c r="L99">
        <f>INDEX(LOGEST($B$96:$L$96,$B$54:$L$54,TRUE,TRUE), 3)</f>
        <v>0.98664105533560775</v>
      </c>
      <c r="M99">
        <f>INDEX(LOGEST($B$96:$M$96,$B$54:$M$54,TRUE,TRUE), 3)</f>
        <v>0.98930956564429717</v>
      </c>
      <c r="N99">
        <f>INDEX(LOGEST($B$96:$N$96,$B$54:$N$54,TRUE,TRUE), 3)</f>
        <v>0.99156056108249613</v>
      </c>
      <c r="O99">
        <f>INDEX(LOGEST($B$96:$O$96,$B$54:$O$54,TRUE,TRUE), 3)</f>
        <v>0.99318836565868451</v>
      </c>
      <c r="P99" s="155">
        <f>INDEX(LOGEST($B$96:$P$96,$B$54:$P$54,TRUE,TRUE), 3)</f>
        <v>0.99396999669690644</v>
      </c>
      <c r="Q99">
        <f>INDEX(LOGEST($B$96:$Q$96,$B$54:$Q$54,TRUE,TRUE), 3)</f>
        <v>0.9938066158437926</v>
      </c>
      <c r="R99">
        <f>INDEX(LOGEST($B$96:$R$96,$B$54:$R$54,TRUE,TRUE), 3)</f>
        <v>0.99272339185518399</v>
      </c>
      <c r="S99">
        <f>INDEX(LOGEST($B$96:$S$96,$B$54:$S$54,TRUE,TRUE), 3)</f>
        <v>0.99054515668742382</v>
      </c>
      <c r="T99">
        <f>INDEX(LOGEST($B$96:$T$96,$B$54:$T$54,TRUE,TRUE), 3)</f>
        <v>0.98687237106997405</v>
      </c>
      <c r="U99">
        <f>INDEX(LOGEST($B$96:$U$96,$B$54:$U$54,TRUE,TRUE), 3)</f>
        <v>0.98175186089623545</v>
      </c>
      <c r="V99">
        <f>INDEX(LOGEST($B$96:$V$96,$B$54:$V$54,TRUE,TRUE), 3)</f>
        <v>0.97425411702548292</v>
      </c>
      <c r="W99">
        <f>INDEX(LOGEST($B$96:$W$96,$B$54:$W$54,TRUE,TRUE), 3)</f>
        <v>0.96490874690447326</v>
      </c>
      <c r="X99">
        <f>INDEX(LOGEST($B$96:$X$96,$B$54:$X$54,TRUE,TRUE), 3)</f>
        <v>0.9539323908863182</v>
      </c>
      <c r="Y99">
        <f>INDEX(LOGEST($B$96:$Y$96,$B$54:$Y$54,TRUE,TRUE), 3)</f>
        <v>0.94147801451042279</v>
      </c>
      <c r="Z99">
        <f>INDEX(LOGEST($B$96:$Z$96,$B$54:$Z$54,TRUE,TRUE), 3)</f>
        <v>0.92790544750966852</v>
      </c>
      <c r="AA99">
        <f>INDEX(LOGEST($B$96:$AA$96,$B$54:$AA$54,TRUE,TRUE), 3)</f>
        <v>0.91377075321711621</v>
      </c>
      <c r="AB99">
        <f>INDEX(LOGEST($B$96:$AB$96,$B$54:$AB$54,TRUE,TRUE), 3)</f>
        <v>0.89937793632847829</v>
      </c>
      <c r="AC99">
        <f>INDEX(LOGEST($B$96:$AC$96,$B$54:$AC$54,TRUE,TRUE), 3)</f>
        <v>0.8850800241006469</v>
      </c>
      <c r="AD99">
        <f>INDEX(LOGEST($B$96:$AD$96,$B$54:$AD$54,TRUE,TRUE), 3)</f>
        <v>0.8711001117716658</v>
      </c>
      <c r="AE99">
        <f>INDEX(LOGEST($B$96:$AE$96,$B$54:$AE$54,TRUE,TRUE), 3)</f>
        <v>0.85757566189347156</v>
      </c>
      <c r="AF99">
        <f>INDEX(LOGEST($B$96:$AF$96,$B$54:$AF$54,TRUE,TRUE), 3)</f>
        <v>0.8446891564946114</v>
      </c>
    </row>
    <row r="100" spans="1:32" s="160" customFormat="1" x14ac:dyDescent="0.2">
      <c r="A100" s="160" t="s">
        <v>382</v>
      </c>
      <c r="B100" s="160">
        <f>$K$43*EXP($J$49*$B$54)</f>
        <v>3.6574191428258155E-4</v>
      </c>
      <c r="C100" s="160">
        <f>$K$43*EXP($J$49*$C$54)</f>
        <v>5.5089250632985585E-4</v>
      </c>
      <c r="D100" s="160">
        <f>$K$43*EXP($J$49*$D$54)</f>
        <v>8.297724206034311E-4</v>
      </c>
      <c r="E100" s="160">
        <f>$K$43*EXP($J$49*$E$54)</f>
        <v>1.2498305242544241E-3</v>
      </c>
      <c r="F100" s="160">
        <f>$K$43*EXP($J$49*$F$54)</f>
        <v>1.8825358623297066E-3</v>
      </c>
      <c r="G100" s="160">
        <f>$K$43*EXP($J$49*$G$54)</f>
        <v>2.8355374622263774E-3</v>
      </c>
      <c r="H100" s="160">
        <f>$K$43*EXP($J$49*$H$54)</f>
        <v>4.2709798312894169E-3</v>
      </c>
      <c r="I100" s="160">
        <f>$K$43*EXP($J$49*$I$54)</f>
        <v>6.4330903619797264E-3</v>
      </c>
      <c r="J100" s="160">
        <f>$K$43*EXP($J$49*$J$54)</f>
        <v>9.689732389324435E-3</v>
      </c>
      <c r="K100" s="160">
        <f>$K$43*EXP($J$49*$K$54)</f>
        <v>1.4594993773385906E-2</v>
      </c>
      <c r="L100" s="160">
        <f>$K$43*EXP($J$49*$L$54)</f>
        <v>2.198345988170523E-2</v>
      </c>
      <c r="M100" s="160">
        <f>$K$43*EXP($J$49*$M$54)</f>
        <v>3.3112210657588279E-2</v>
      </c>
      <c r="N100" s="160">
        <f>$K$43*EXP($J$49*$N$54)</f>
        <v>4.9874701276888131E-2</v>
      </c>
      <c r="O100" s="160">
        <f>$K$43*EXP($J$49*$O$54)</f>
        <v>7.5122916231168874E-2</v>
      </c>
      <c r="P100" s="160">
        <f>$K$43*EXP($J$49*$P$54)</f>
        <v>0.1131526084085118</v>
      </c>
      <c r="Q100" s="160">
        <f>$K$43*EXP($J$49*$Q$54)</f>
        <v>0.17043418216421388</v>
      </c>
    </row>
    <row r="101" spans="1:32" s="161" customFormat="1" x14ac:dyDescent="0.2">
      <c r="A101" s="161" t="s">
        <v>383</v>
      </c>
      <c r="B101" s="161">
        <f>$Q$43*EXP($P$49*$B$54)</f>
        <v>5.3797442836156723E-4</v>
      </c>
      <c r="C101" s="161">
        <f>$Q$43*EXP($P$49*$C$54)</f>
        <v>7.9827500932401377E-4</v>
      </c>
      <c r="D101" s="161">
        <f>$Q$43*EXP($P$49*$D$54)</f>
        <v>1.1845228265812101E-3</v>
      </c>
      <c r="E101" s="161">
        <f>$Q$43*EXP($P$49*$E$54)</f>
        <v>1.7576578375916993E-3</v>
      </c>
      <c r="F101" s="161">
        <f>$Q$43*EXP($P$49*$F$54)</f>
        <v>2.6081059855672804E-3</v>
      </c>
      <c r="G101" s="161">
        <f>$Q$43*EXP($P$49*$G$54)</f>
        <v>3.8700460843232778E-3</v>
      </c>
      <c r="H101" s="161">
        <f>$Q$43*EXP($P$49*$H$54)</f>
        <v>5.7425797792217733E-3</v>
      </c>
      <c r="I101" s="161">
        <f>$Q$43*EXP($P$49*$I$54)</f>
        <v>8.5211446587962845E-3</v>
      </c>
      <c r="J101" s="161">
        <f>$Q$43*EXP($P$49*$J$54)</f>
        <v>1.2644126697003846E-2</v>
      </c>
      <c r="K101" s="161">
        <f>$Q$43*EXP($P$49*$K$54)</f>
        <v>1.8762026268953104E-2</v>
      </c>
      <c r="L101" s="161">
        <f>$Q$43*EXP($P$49*$L$54)</f>
        <v>2.7840090355967385E-2</v>
      </c>
      <c r="M101" s="161">
        <f>$Q$43*EXP($P$49*$M$54)</f>
        <v>4.1310603658571469E-2</v>
      </c>
      <c r="N101" s="161">
        <f>$Q$43*EXP($P$49*$N$54)</f>
        <v>6.1298866232658782E-2</v>
      </c>
      <c r="O101" s="161">
        <f>$Q$43*EXP($P$49*$O$54)</f>
        <v>9.0958511099601028E-2</v>
      </c>
      <c r="P101" s="161">
        <f>$Q$43*EXP($P$49*$P$54)</f>
        <v>0.13496906631281747</v>
      </c>
      <c r="Q101" s="161">
        <f>$Q$43*EXP($P$49*$Q$54)</f>
        <v>0.20027426395982006</v>
      </c>
    </row>
    <row r="102" spans="1:32" s="169" customFormat="1" x14ac:dyDescent="0.2">
      <c r="A102" s="169" t="s">
        <v>384</v>
      </c>
      <c r="B102" s="169">
        <f>$W$43*EXP($V$49*$B$54)</f>
        <v>5.3642727722460278E-4</v>
      </c>
      <c r="C102" s="169">
        <f>$W$43*EXP($V$49*$C$54)</f>
        <v>8.0588649383385598E-4</v>
      </c>
      <c r="D102" s="169">
        <f>$W$43*EXP($V$49*$D$54)</f>
        <v>1.210700999964062E-3</v>
      </c>
      <c r="E102" s="169">
        <f>$W$43*EXP($V$49*$E$54)</f>
        <v>1.8188627338084819E-3</v>
      </c>
      <c r="F102" s="169">
        <f>$W$43*EXP($V$49*$F$54)</f>
        <v>2.7325174791591527E-3</v>
      </c>
      <c r="G102" s="169">
        <f>$W$43*EXP($V$49*$G$54)</f>
        <v>4.1051210930447791E-3</v>
      </c>
      <c r="H102" s="169">
        <f>$W$43*EXP($V$49*$H$54)</f>
        <v>6.1672136837517526E-3</v>
      </c>
      <c r="I102" s="169">
        <f>$W$43*EXP($V$49*$I$54)</f>
        <v>9.2651407252019764E-3</v>
      </c>
      <c r="J102" s="169">
        <f>$W$43*EXP($V$49*$J$54)</f>
        <v>1.3919224638503973E-2</v>
      </c>
      <c r="K102" s="169">
        <f>$W$43*EXP($V$49*$K$54)</f>
        <v>2.0911157238025915E-2</v>
      </c>
      <c r="L102" s="169">
        <f>$W$43*EXP($V$49*$L$54)</f>
        <v>3.1415291324764616E-2</v>
      </c>
      <c r="M102" s="169">
        <f>$W$43*EXP($V$49*$M$54)</f>
        <v>4.7195882933975739E-2</v>
      </c>
      <c r="N102" s="169">
        <f>$W$43*EXP($V$49*$N$54)</f>
        <v>7.0903412700860383E-2</v>
      </c>
      <c r="O102" s="169">
        <f>$W$43*EXP($V$49*$O$54)</f>
        <v>0.10651975596391339</v>
      </c>
      <c r="P102" s="169">
        <f>$W$43*EXP($V$49*$P$54)</f>
        <v>0.16002697159983104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2DA12-6E53-3D4A-86A7-3A77108B487A}">
  <sheetPr codeName="Sheet49"/>
  <dimension ref="A42:AF102"/>
  <sheetViews>
    <sheetView workbookViewId="0"/>
  </sheetViews>
  <sheetFormatPr baseColWidth="10" defaultRowHeight="15" x14ac:dyDescent="0.2"/>
  <sheetData>
    <row r="42" spans="9:24" x14ac:dyDescent="0.2">
      <c r="I42" t="s">
        <v>249</v>
      </c>
      <c r="O42" t="s">
        <v>249</v>
      </c>
      <c r="U42" t="s">
        <v>249</v>
      </c>
    </row>
    <row r="43" spans="9:24" x14ac:dyDescent="0.2">
      <c r="I43" t="s">
        <v>250</v>
      </c>
      <c r="J43" s="159">
        <f t="array" ref="J43:K47">LOGEST($B$94:$P$94,$B$54:$P$54,TRUE,TRUE)</f>
        <v>1.0004715539074927</v>
      </c>
      <c r="K43" s="159">
        <v>4.7284778564217922E-4</v>
      </c>
      <c r="L43" t="s">
        <v>255</v>
      </c>
      <c r="O43" t="s">
        <v>250</v>
      </c>
      <c r="P43" s="159">
        <f t="array" ref="P43:Q47">LOGEST($B$95:$N$95,$B$54:$N$54,TRUE,TRUE)</f>
        <v>1.0004854375188312</v>
      </c>
      <c r="Q43" s="159">
        <v>5.9789954559343246E-4</v>
      </c>
      <c r="R43" t="s">
        <v>255</v>
      </c>
      <c r="U43" t="s">
        <v>250</v>
      </c>
      <c r="V43" s="159">
        <f t="array" ref="V43:W47">LOGEST($B$96:$O$96,$B$54:$O$54,TRUE,TRUE)</f>
        <v>1.0004924416317602</v>
      </c>
      <c r="W43" s="159">
        <v>3.6687214032822665E-4</v>
      </c>
      <c r="X43" t="s">
        <v>255</v>
      </c>
    </row>
    <row r="44" spans="9:24" x14ac:dyDescent="0.2">
      <c r="I44" t="s">
        <v>251</v>
      </c>
      <c r="J44" s="159">
        <v>9.1898594524180961E-6</v>
      </c>
      <c r="K44" s="159">
        <v>6.8043559242101467E-2</v>
      </c>
      <c r="L44" t="s">
        <v>256</v>
      </c>
      <c r="O44" t="s">
        <v>251</v>
      </c>
      <c r="P44" s="159">
        <v>8.4899798059057462E-6</v>
      </c>
      <c r="Q44" s="159">
        <v>5.4035903958328114E-2</v>
      </c>
      <c r="R44" t="s">
        <v>256</v>
      </c>
      <c r="U44" t="s">
        <v>251</v>
      </c>
      <c r="V44" s="159">
        <v>1.0003356515287395E-5</v>
      </c>
      <c r="W44" s="159">
        <v>6.8867519694893464E-2</v>
      </c>
      <c r="X44" t="s">
        <v>256</v>
      </c>
    </row>
    <row r="45" spans="9:24" x14ac:dyDescent="0.2">
      <c r="I45" t="s">
        <v>252</v>
      </c>
      <c r="J45" s="159">
        <v>0.99508455170291721</v>
      </c>
      <c r="K45" s="159">
        <v>0.13841356253558851</v>
      </c>
      <c r="L45" t="s">
        <v>257</v>
      </c>
      <c r="O45" t="s">
        <v>252</v>
      </c>
      <c r="P45" s="159">
        <v>0.99664501486747947</v>
      </c>
      <c r="Q45" s="159">
        <v>0.10309393413970058</v>
      </c>
      <c r="R45" t="s">
        <v>257</v>
      </c>
      <c r="U45" t="s">
        <v>252</v>
      </c>
      <c r="V45" s="159">
        <v>0.99507018353624987</v>
      </c>
      <c r="W45" s="159">
        <v>0.13580858032639129</v>
      </c>
      <c r="X45" t="s">
        <v>257</v>
      </c>
    </row>
    <row r="46" spans="9:24" x14ac:dyDescent="0.2">
      <c r="I46" t="s">
        <v>253</v>
      </c>
      <c r="J46" s="159">
        <v>2631.7231695459591</v>
      </c>
      <c r="K46" s="159">
        <v>13</v>
      </c>
      <c r="L46" t="s">
        <v>258</v>
      </c>
      <c r="O46" t="s">
        <v>253</v>
      </c>
      <c r="P46" s="159">
        <v>3267.7030539643852</v>
      </c>
      <c r="Q46" s="159">
        <v>11</v>
      </c>
      <c r="R46" t="s">
        <v>258</v>
      </c>
      <c r="U46" t="s">
        <v>253</v>
      </c>
      <c r="V46" s="159">
        <v>2422.1676993936958</v>
      </c>
      <c r="W46" s="159">
        <v>12</v>
      </c>
      <c r="X46" t="s">
        <v>258</v>
      </c>
    </row>
    <row r="47" spans="9:24" x14ac:dyDescent="0.2">
      <c r="I47" t="s">
        <v>254</v>
      </c>
      <c r="J47" s="159">
        <v>50.419379616419278</v>
      </c>
      <c r="K47" s="159">
        <v>0.24905808581931249</v>
      </c>
      <c r="L47" t="s">
        <v>259</v>
      </c>
      <c r="O47" t="s">
        <v>254</v>
      </c>
      <c r="P47" s="159">
        <v>34.730322000771935</v>
      </c>
      <c r="Q47" s="159">
        <v>0.11691195182041014</v>
      </c>
      <c r="R47" t="s">
        <v>259</v>
      </c>
      <c r="U47" t="s">
        <v>254</v>
      </c>
      <c r="V47" s="159">
        <v>44.6743895701022</v>
      </c>
      <c r="W47" s="159">
        <v>0.22132764588323853</v>
      </c>
      <c r="X47" t="s">
        <v>259</v>
      </c>
    </row>
    <row r="49" spans="1:32" x14ac:dyDescent="0.2">
      <c r="I49" t="s">
        <v>260</v>
      </c>
      <c r="J49">
        <f>LN($J$43)</f>
        <v>4.7144276088851851E-4</v>
      </c>
      <c r="O49" t="s">
        <v>260</v>
      </c>
      <c r="P49">
        <f>LN($P$43)</f>
        <v>4.8531973215606132E-4</v>
      </c>
      <c r="U49" t="s">
        <v>260</v>
      </c>
      <c r="V49">
        <f>LN($V$43)</f>
        <v>4.9232042217066396E-4</v>
      </c>
    </row>
    <row r="50" spans="1:32" x14ac:dyDescent="0.2">
      <c r="I50" t="s">
        <v>261</v>
      </c>
      <c r="J50">
        <f>ROUND(LN(2)/$J$49, 1)</f>
        <v>1470.3</v>
      </c>
      <c r="O50" t="s">
        <v>261</v>
      </c>
      <c r="P50">
        <f>ROUND(LN(2)/$P$49, 1)</f>
        <v>1428.2</v>
      </c>
      <c r="U50" t="s">
        <v>261</v>
      </c>
      <c r="V50">
        <f>ROUND(LN(2)/$V$49, 1)</f>
        <v>1407.9</v>
      </c>
    </row>
    <row r="51" spans="1:32" x14ac:dyDescent="0.2">
      <c r="I51" t="s">
        <v>204</v>
      </c>
      <c r="J51" s="155">
        <f>ROUND($J$50/60, 1)</f>
        <v>24.5</v>
      </c>
      <c r="O51" t="s">
        <v>204</v>
      </c>
      <c r="P51" s="155">
        <f>ROUND($P$50/60, 1)</f>
        <v>23.8</v>
      </c>
      <c r="U51" t="s">
        <v>204</v>
      </c>
      <c r="V51" s="155">
        <f>ROUND($V$50/60, 1)</f>
        <v>23.5</v>
      </c>
    </row>
    <row r="54" spans="1:32" x14ac:dyDescent="0.2">
      <c r="A54" t="s">
        <v>206</v>
      </c>
      <c r="B54" s="166">
        <v>0</v>
      </c>
      <c r="C54" s="166">
        <v>900.1</v>
      </c>
      <c r="D54" s="166">
        <v>1800.2</v>
      </c>
      <c r="E54" s="166">
        <v>2700.3</v>
      </c>
      <c r="F54" s="166">
        <v>3600.4</v>
      </c>
      <c r="G54" s="166">
        <v>4500.5</v>
      </c>
      <c r="H54" s="166">
        <v>5400.6</v>
      </c>
      <c r="I54" s="166">
        <v>6300.7</v>
      </c>
      <c r="J54" s="166">
        <v>7200.8</v>
      </c>
      <c r="K54" s="166">
        <v>8100.9</v>
      </c>
      <c r="L54" s="166">
        <v>9001</v>
      </c>
      <c r="M54" s="166">
        <v>9901.1</v>
      </c>
      <c r="N54" s="166">
        <v>10801.2</v>
      </c>
      <c r="O54" s="166">
        <v>11701.3</v>
      </c>
      <c r="P54" s="166">
        <v>12601.4</v>
      </c>
      <c r="Q54" s="166">
        <v>13501.5</v>
      </c>
      <c r="R54" s="166">
        <v>14401.6</v>
      </c>
      <c r="S54" s="166">
        <v>15301.7</v>
      </c>
      <c r="T54" s="166">
        <v>16201.8</v>
      </c>
      <c r="U54" s="166">
        <v>17101.900000000001</v>
      </c>
      <c r="V54" s="166">
        <v>18002</v>
      </c>
      <c r="W54" s="166">
        <v>18902.099999999999</v>
      </c>
      <c r="X54" s="166">
        <v>19802.2</v>
      </c>
      <c r="Y54" s="166">
        <v>20702.3</v>
      </c>
      <c r="Z54" s="166">
        <v>21602.400000000001</v>
      </c>
      <c r="AA54" s="166">
        <v>22502.5</v>
      </c>
      <c r="AB54" s="166">
        <v>23402.6</v>
      </c>
      <c r="AC54" s="166">
        <v>24302.7</v>
      </c>
      <c r="AD54" s="166">
        <v>25202.799999999999</v>
      </c>
      <c r="AE54" s="166">
        <v>26102.9</v>
      </c>
      <c r="AF54" s="166">
        <v>27003</v>
      </c>
    </row>
    <row r="55" spans="1:32" x14ac:dyDescent="0.2">
      <c r="A55" s="156" t="s">
        <v>385</v>
      </c>
      <c r="B55" s="156">
        <v>0.10679999738931656</v>
      </c>
      <c r="C55" s="156">
        <v>0.10660000145435333</v>
      </c>
      <c r="D55" s="156">
        <v>0.10700000077486038</v>
      </c>
      <c r="E55" s="156">
        <v>0.10740000009536743</v>
      </c>
      <c r="F55" s="156">
        <v>0.10790000110864639</v>
      </c>
      <c r="G55" s="156">
        <v>0.10920000076293945</v>
      </c>
      <c r="H55" s="156">
        <v>0.11110000312328339</v>
      </c>
      <c r="I55" s="156">
        <v>0.11450000107288361</v>
      </c>
      <c r="J55" s="156">
        <v>0.12039999663829803</v>
      </c>
      <c r="K55" s="156">
        <v>0.12970000505447388</v>
      </c>
      <c r="L55" s="156">
        <v>0.1437000036239624</v>
      </c>
      <c r="M55" s="156">
        <v>0.16300000250339508</v>
      </c>
      <c r="N55" s="156">
        <v>0.18850000202655792</v>
      </c>
      <c r="O55" s="156">
        <v>0.22020000219345093</v>
      </c>
      <c r="P55" s="156">
        <v>0.25569999217987061</v>
      </c>
      <c r="Q55" s="156">
        <v>0.29760000109672546</v>
      </c>
      <c r="R55" s="156">
        <v>0.34240001440048218</v>
      </c>
      <c r="S55" s="156">
        <v>0.38550001382827759</v>
      </c>
      <c r="T55" s="156">
        <v>0.41650000214576721</v>
      </c>
      <c r="U55" s="156">
        <v>0.44499999284744263</v>
      </c>
      <c r="V55" s="156">
        <f t="shared" ref="V55:V57" si="0">AVERAGE(U55,W55)</f>
        <v>0.44730000197887421</v>
      </c>
      <c r="W55" s="156">
        <v>0.44960001111030579</v>
      </c>
      <c r="X55" s="156">
        <v>0.44879999756813049</v>
      </c>
      <c r="Y55" s="156">
        <v>0.44650000333786011</v>
      </c>
      <c r="Z55" s="156">
        <v>0.44389998912811279</v>
      </c>
      <c r="AA55" s="156">
        <v>0.44470000267028809</v>
      </c>
      <c r="AB55" s="156">
        <v>0.44740000367164612</v>
      </c>
      <c r="AC55" s="156">
        <v>0.45170000195503235</v>
      </c>
      <c r="AD55" s="156">
        <v>0.45750001072883606</v>
      </c>
      <c r="AE55" s="156">
        <v>0.46599999070167542</v>
      </c>
      <c r="AF55" s="156">
        <v>0.4781000018119812</v>
      </c>
    </row>
    <row r="56" spans="1:32" x14ac:dyDescent="0.2">
      <c r="A56" s="157" t="s">
        <v>386</v>
      </c>
      <c r="B56" s="157">
        <v>0.10740000009536743</v>
      </c>
      <c r="C56" s="157">
        <v>0.10719999670982361</v>
      </c>
      <c r="D56" s="157">
        <v>0.10769999772310257</v>
      </c>
      <c r="E56" s="157">
        <v>0.10830000042915344</v>
      </c>
      <c r="F56" s="157">
        <v>0.10909999907016754</v>
      </c>
      <c r="G56" s="157">
        <v>0.11100000143051147</v>
      </c>
      <c r="H56" s="157">
        <v>0.11379999667406082</v>
      </c>
      <c r="I56" s="157">
        <v>0.11869999766349792</v>
      </c>
      <c r="J56" s="157">
        <v>0.12669999897480011</v>
      </c>
      <c r="K56" s="157">
        <v>0.13920000195503235</v>
      </c>
      <c r="L56" s="157">
        <v>0.15710000693798065</v>
      </c>
      <c r="M56" s="157">
        <v>0.18119999766349792</v>
      </c>
      <c r="N56" s="157">
        <v>0.21170000731945038</v>
      </c>
      <c r="O56" s="157">
        <v>0.24750000238418579</v>
      </c>
      <c r="P56" s="157">
        <v>0.2872999906539917</v>
      </c>
      <c r="Q56" s="157">
        <v>0.33289998769760132</v>
      </c>
      <c r="R56" s="157">
        <v>0.37580001354217529</v>
      </c>
      <c r="S56" s="157">
        <v>0.41060000658035278</v>
      </c>
      <c r="T56" s="157">
        <v>0.43619999289512634</v>
      </c>
      <c r="U56" s="157">
        <v>0.4440000057220459</v>
      </c>
      <c r="V56" s="157">
        <f t="shared" si="0"/>
        <v>0.44345000386238098</v>
      </c>
      <c r="W56" s="157">
        <v>0.44290000200271606</v>
      </c>
      <c r="X56" s="157">
        <v>0.43930000066757202</v>
      </c>
      <c r="Y56" s="157">
        <v>0.43779999017715454</v>
      </c>
      <c r="Z56" s="157">
        <v>0.4359000027179718</v>
      </c>
      <c r="AA56" s="157">
        <v>0.43790000677108765</v>
      </c>
      <c r="AB56" s="157">
        <v>0.44220000505447388</v>
      </c>
      <c r="AC56" s="157">
        <v>0.44949999451637268</v>
      </c>
      <c r="AD56" s="157">
        <v>0.45559999346733093</v>
      </c>
      <c r="AE56" s="157">
        <v>0.4650999903678894</v>
      </c>
      <c r="AF56" s="157">
        <v>0.47670000791549683</v>
      </c>
    </row>
    <row r="57" spans="1:32" x14ac:dyDescent="0.2">
      <c r="A57" s="168" t="s">
        <v>387</v>
      </c>
      <c r="B57" s="168">
        <v>0.10530000180006027</v>
      </c>
      <c r="C57" s="168">
        <v>0.10530000180006027</v>
      </c>
      <c r="D57" s="168">
        <v>0.1054999977350235</v>
      </c>
      <c r="E57" s="168">
        <v>0.10599999874830246</v>
      </c>
      <c r="F57" s="168">
        <v>0.10639999806880951</v>
      </c>
      <c r="G57" s="168">
        <v>0.10750000178813934</v>
      </c>
      <c r="H57" s="168">
        <v>0.10930000245571136</v>
      </c>
      <c r="I57" s="168">
        <v>0.11230000108480453</v>
      </c>
      <c r="J57" s="168">
        <v>0.11749999970197678</v>
      </c>
      <c r="K57" s="168">
        <v>0.12600000202655792</v>
      </c>
      <c r="L57" s="168">
        <v>0.13869999349117279</v>
      </c>
      <c r="M57" s="168">
        <v>0.15649999678134918</v>
      </c>
      <c r="N57" s="168">
        <v>0.18050000071525574</v>
      </c>
      <c r="O57" s="168">
        <v>0.21060000360012054</v>
      </c>
      <c r="P57" s="168">
        <v>0.24529999494552612</v>
      </c>
      <c r="Q57" s="168">
        <v>0.28519999980926514</v>
      </c>
      <c r="R57" s="168">
        <v>0.32989999651908875</v>
      </c>
      <c r="S57" s="168">
        <v>0.37389999628067017</v>
      </c>
      <c r="T57" s="168">
        <v>0.40590000152587891</v>
      </c>
      <c r="U57" s="168">
        <v>0.43450000882148743</v>
      </c>
      <c r="V57" s="168">
        <f t="shared" si="0"/>
        <v>0.43585000932216644</v>
      </c>
      <c r="W57" s="168">
        <v>0.43720000982284546</v>
      </c>
      <c r="X57" s="168">
        <v>0.4357999861240387</v>
      </c>
      <c r="Y57" s="168">
        <v>0.43239998817443848</v>
      </c>
      <c r="Z57" s="168">
        <v>0.42950001358985901</v>
      </c>
      <c r="AA57" s="168">
        <v>0.43050000071525574</v>
      </c>
      <c r="AB57" s="168">
        <v>0.43299999833106995</v>
      </c>
      <c r="AC57" s="168">
        <v>0.43540000915527344</v>
      </c>
      <c r="AD57" s="168">
        <v>0.44170001149177551</v>
      </c>
      <c r="AE57" s="168">
        <v>0.44940000772476196</v>
      </c>
      <c r="AF57" s="168">
        <v>0.45980000495910645</v>
      </c>
    </row>
    <row r="58" spans="1:32" x14ac:dyDescent="0.2">
      <c r="A58" s="158" t="s">
        <v>209</v>
      </c>
      <c r="B58" s="158">
        <v>0.10480000078678131</v>
      </c>
      <c r="C58" s="158">
        <v>0.1046999990940094</v>
      </c>
      <c r="D58" s="158">
        <v>0.1046999990940094</v>
      </c>
      <c r="E58" s="158">
        <v>0.10480000078678131</v>
      </c>
      <c r="F58" s="158">
        <v>0.10459999740123749</v>
      </c>
      <c r="G58" s="158">
        <v>0.10450000315904617</v>
      </c>
      <c r="H58" s="158">
        <v>0.10440000146627426</v>
      </c>
      <c r="I58" s="158">
        <v>0.10429999977350235</v>
      </c>
      <c r="J58" s="158">
        <v>0.10419999808073044</v>
      </c>
      <c r="K58" s="158">
        <v>0.10419999808073044</v>
      </c>
      <c r="L58" s="158">
        <v>0.10419999808073044</v>
      </c>
      <c r="M58" s="158">
        <v>0.10409999638795853</v>
      </c>
      <c r="N58" s="158">
        <v>0.10400000214576721</v>
      </c>
      <c r="O58" s="158">
        <v>0.1039000004529953</v>
      </c>
      <c r="P58" s="158">
        <v>0.10379999876022339</v>
      </c>
      <c r="Q58" s="158">
        <v>0.10379999876022339</v>
      </c>
      <c r="R58" s="158">
        <v>0.1039000004529953</v>
      </c>
      <c r="S58" s="158">
        <v>0.10360000282526016</v>
      </c>
      <c r="T58" s="158">
        <v>0.10360000282526016</v>
      </c>
      <c r="U58" s="158">
        <v>0.10379999876022339</v>
      </c>
      <c r="V58" s="158">
        <f>AVERAGE(U58,W58)</f>
        <v>0.10359999909996986</v>
      </c>
      <c r="W58" s="158">
        <v>0.10339999943971634</v>
      </c>
      <c r="X58" s="158">
        <v>0.10329999774694443</v>
      </c>
      <c r="Y58" s="158">
        <v>0.10320000350475311</v>
      </c>
      <c r="Z58" s="158">
        <v>0.10320000350475311</v>
      </c>
      <c r="AA58" s="158">
        <v>0.1031000018119812</v>
      </c>
      <c r="AB58" s="158">
        <v>0.1031000018119812</v>
      </c>
      <c r="AC58" s="158">
        <v>0.10300000011920929</v>
      </c>
      <c r="AD58" s="158">
        <v>0.10300000011920929</v>
      </c>
      <c r="AE58" s="158">
        <v>0.10289999842643738</v>
      </c>
      <c r="AF58" s="158">
        <v>0.10289999842643738</v>
      </c>
    </row>
    <row r="59" spans="1:32" x14ac:dyDescent="0.2">
      <c r="A59" s="158" t="s">
        <v>210</v>
      </c>
      <c r="B59" s="158">
        <v>0.10660000145435333</v>
      </c>
      <c r="C59" s="158">
        <v>0.10649999976158142</v>
      </c>
      <c r="D59" s="158">
        <v>0.10649999976158142</v>
      </c>
      <c r="E59" s="158">
        <v>0.10649999976158142</v>
      </c>
      <c r="F59" s="158">
        <v>0.10639999806880951</v>
      </c>
      <c r="G59" s="158">
        <v>0.1062999963760376</v>
      </c>
      <c r="H59" s="158">
        <v>0.1062999963760376</v>
      </c>
      <c r="I59" s="158">
        <v>0.10610000044107437</v>
      </c>
      <c r="J59" s="158">
        <v>0.10610000044107437</v>
      </c>
      <c r="K59" s="158">
        <v>0.10610000044107437</v>
      </c>
      <c r="L59" s="158">
        <v>0.10610000044107437</v>
      </c>
      <c r="M59" s="158">
        <v>0.10599999874830246</v>
      </c>
      <c r="N59" s="158">
        <v>0.10589999705553055</v>
      </c>
      <c r="O59" s="158">
        <v>0.10589999705553055</v>
      </c>
      <c r="P59" s="158">
        <v>0.10570000112056732</v>
      </c>
      <c r="Q59" s="158">
        <v>0.10570000112056732</v>
      </c>
      <c r="R59" s="158">
        <v>0.10570000112056732</v>
      </c>
      <c r="S59" s="158">
        <v>0.10559999942779541</v>
      </c>
      <c r="T59" s="158">
        <v>0.10559999942779541</v>
      </c>
      <c r="U59" s="158">
        <v>0.10559999942779541</v>
      </c>
      <c r="V59" s="158">
        <f t="shared" ref="V59:V93" si="1">AVERAGE(U59,W59)</f>
        <v>0.1055000014603138</v>
      </c>
      <c r="W59" s="158">
        <v>0.10540000349283218</v>
      </c>
      <c r="X59" s="158">
        <v>0.10540000349283218</v>
      </c>
      <c r="Y59" s="158">
        <v>0.10530000180006027</v>
      </c>
      <c r="Z59" s="158">
        <v>0.10530000180006027</v>
      </c>
      <c r="AA59" s="158">
        <v>0.10520000010728836</v>
      </c>
      <c r="AB59" s="158">
        <v>0.10520000010728836</v>
      </c>
      <c r="AC59" s="158">
        <v>0.10520000010728836</v>
      </c>
      <c r="AD59" s="158">
        <v>0.10509999841451645</v>
      </c>
      <c r="AE59" s="158">
        <v>0.10509999841451645</v>
      </c>
      <c r="AF59" s="158">
        <v>0.10509999841451645</v>
      </c>
    </row>
    <row r="60" spans="1:32" x14ac:dyDescent="0.2">
      <c r="A60" s="158" t="s">
        <v>211</v>
      </c>
      <c r="B60" s="158">
        <v>0.10740000009536743</v>
      </c>
      <c r="C60" s="158">
        <v>0.10740000009536743</v>
      </c>
      <c r="D60" s="158">
        <v>0.10729999840259552</v>
      </c>
      <c r="E60" s="158">
        <v>0.10729999840259552</v>
      </c>
      <c r="F60" s="158">
        <v>0.10719999670982361</v>
      </c>
      <c r="G60" s="158">
        <v>0.10719999670982361</v>
      </c>
      <c r="H60" s="158">
        <v>0.10710000246763229</v>
      </c>
      <c r="I60" s="158">
        <v>0.10689999908208847</v>
      </c>
      <c r="J60" s="158">
        <v>0.10689999908208847</v>
      </c>
      <c r="K60" s="158">
        <v>0.10710000246763229</v>
      </c>
      <c r="L60" s="158">
        <v>0.10679999738931656</v>
      </c>
      <c r="M60" s="158">
        <v>0.10670000314712524</v>
      </c>
      <c r="N60" s="158">
        <v>0.10670000314712524</v>
      </c>
      <c r="O60" s="158">
        <v>0.10660000145435333</v>
      </c>
      <c r="P60" s="158">
        <v>0.10649999976158142</v>
      </c>
      <c r="Q60" s="158">
        <v>0.10649999976158142</v>
      </c>
      <c r="R60" s="158">
        <v>0.10639999806880951</v>
      </c>
      <c r="S60" s="158">
        <v>0.1062999963760376</v>
      </c>
      <c r="T60" s="158">
        <v>0.1062999963760376</v>
      </c>
      <c r="U60" s="158">
        <v>0.1062999963760376</v>
      </c>
      <c r="V60" s="158">
        <f t="shared" si="1"/>
        <v>0.10624999925494194</v>
      </c>
      <c r="W60" s="158">
        <v>0.10620000213384628</v>
      </c>
      <c r="X60" s="158">
        <v>0.10610000044107437</v>
      </c>
      <c r="Y60" s="158">
        <v>0.10610000044107437</v>
      </c>
      <c r="Z60" s="158">
        <v>0.10599999874830246</v>
      </c>
      <c r="AA60" s="158">
        <v>0.10589999705553055</v>
      </c>
      <c r="AB60" s="158">
        <v>0.10589999705553055</v>
      </c>
      <c r="AC60" s="158">
        <v>0.10599999874830246</v>
      </c>
      <c r="AD60" s="158">
        <v>0.10580000281333923</v>
      </c>
      <c r="AE60" s="158">
        <v>0.10580000281333923</v>
      </c>
      <c r="AF60" s="158">
        <v>0.10580000281333923</v>
      </c>
    </row>
    <row r="61" spans="1:32" x14ac:dyDescent="0.2">
      <c r="A61" s="158" t="s">
        <v>212</v>
      </c>
      <c r="B61" s="158">
        <v>0.10700000077486038</v>
      </c>
      <c r="C61" s="158">
        <v>0.10689999908208847</v>
      </c>
      <c r="D61" s="158">
        <v>0.10679999738931656</v>
      </c>
      <c r="E61" s="158">
        <v>0.10689999908208847</v>
      </c>
      <c r="F61" s="158">
        <v>0.10670000314712524</v>
      </c>
      <c r="G61" s="158">
        <v>0.10689999908208847</v>
      </c>
      <c r="H61" s="158">
        <v>0.10660000145435333</v>
      </c>
      <c r="I61" s="158">
        <v>0.10639999806880951</v>
      </c>
      <c r="J61" s="158">
        <v>0.10639999806880951</v>
      </c>
      <c r="K61" s="158">
        <v>0.1062999963760376</v>
      </c>
      <c r="L61" s="158">
        <v>0.1062999963760376</v>
      </c>
      <c r="M61" s="158">
        <v>0.1062999963760376</v>
      </c>
      <c r="N61" s="158">
        <v>0.10620000213384628</v>
      </c>
      <c r="O61" s="158">
        <v>0.10610000044107437</v>
      </c>
      <c r="P61" s="158">
        <v>0.10599999874830246</v>
      </c>
      <c r="Q61" s="158">
        <v>0.10599999874830246</v>
      </c>
      <c r="R61" s="158">
        <v>0.10599999874830246</v>
      </c>
      <c r="S61" s="158">
        <v>0.10580000281333923</v>
      </c>
      <c r="T61" s="158">
        <v>0.10580000281333923</v>
      </c>
      <c r="U61" s="158">
        <v>0.10580000281333923</v>
      </c>
      <c r="V61" s="158">
        <f t="shared" si="1"/>
        <v>0.10575000196695328</v>
      </c>
      <c r="W61" s="158">
        <v>0.10570000112056732</v>
      </c>
      <c r="X61" s="158">
        <v>0.10559999942779541</v>
      </c>
      <c r="Y61" s="158">
        <v>0.10559999942779541</v>
      </c>
      <c r="Z61" s="158">
        <v>0.10559999942779541</v>
      </c>
      <c r="AA61" s="158">
        <v>0.10540000349283218</v>
      </c>
      <c r="AB61" s="158">
        <v>0.10540000349283218</v>
      </c>
      <c r="AC61" s="158">
        <v>0.10540000349283218</v>
      </c>
      <c r="AD61" s="158">
        <v>0.10540000349283218</v>
      </c>
      <c r="AE61" s="158">
        <v>0.10530000180006027</v>
      </c>
      <c r="AF61" s="158">
        <v>0.10530000180006027</v>
      </c>
    </row>
    <row r="62" spans="1:32" x14ac:dyDescent="0.2">
      <c r="A62" s="158" t="s">
        <v>213</v>
      </c>
      <c r="B62" s="158">
        <v>0.10570000112056732</v>
      </c>
      <c r="C62" s="158">
        <v>0.1054999977350235</v>
      </c>
      <c r="D62" s="158">
        <v>0.1054999977350235</v>
      </c>
      <c r="E62" s="158">
        <v>0.1054999977350235</v>
      </c>
      <c r="F62" s="158">
        <v>0.10540000349283218</v>
      </c>
      <c r="G62" s="158">
        <v>0.10530000180006027</v>
      </c>
      <c r="H62" s="158">
        <v>0.10520000010728836</v>
      </c>
      <c r="I62" s="158">
        <v>0.10520000010728836</v>
      </c>
      <c r="J62" s="158">
        <v>0.10499999672174454</v>
      </c>
      <c r="K62" s="158">
        <v>0.10499999672174454</v>
      </c>
      <c r="L62" s="158">
        <v>0.10499999672174454</v>
      </c>
      <c r="M62" s="158">
        <v>0.10490000247955322</v>
      </c>
      <c r="N62" s="158">
        <v>0.10490000247955322</v>
      </c>
      <c r="O62" s="158">
        <v>0.10480000078678131</v>
      </c>
      <c r="P62" s="158">
        <v>0.10459999740123749</v>
      </c>
      <c r="Q62" s="158">
        <v>0.10459999740123749</v>
      </c>
      <c r="R62" s="158">
        <v>0.10459999740123749</v>
      </c>
      <c r="S62" s="158">
        <v>0.10440000146627426</v>
      </c>
      <c r="T62" s="158">
        <v>0.10450000315904617</v>
      </c>
      <c r="U62" s="158">
        <v>0.10450000315904617</v>
      </c>
      <c r="V62" s="158">
        <f t="shared" si="1"/>
        <v>0.10445000231266022</v>
      </c>
      <c r="W62" s="158">
        <v>0.10440000146627426</v>
      </c>
      <c r="X62" s="158">
        <v>0.10440000146627426</v>
      </c>
      <c r="Y62" s="158">
        <v>0.10429999977350235</v>
      </c>
      <c r="Z62" s="158">
        <v>0.10419999808073044</v>
      </c>
      <c r="AA62" s="158">
        <v>0.10419999808073044</v>
      </c>
      <c r="AB62" s="158">
        <v>0.10419999808073044</v>
      </c>
      <c r="AC62" s="158">
        <v>0.10440000146627426</v>
      </c>
      <c r="AD62" s="158">
        <v>0.10409999638795853</v>
      </c>
      <c r="AE62" s="158">
        <v>0.10400000214576721</v>
      </c>
      <c r="AF62" s="158">
        <v>0.10400000214576721</v>
      </c>
    </row>
    <row r="63" spans="1:32" x14ac:dyDescent="0.2">
      <c r="A63" s="158" t="s">
        <v>214</v>
      </c>
      <c r="B63" s="158">
        <v>0.10689999908208847</v>
      </c>
      <c r="C63" s="158">
        <v>0.10679999738931656</v>
      </c>
      <c r="D63" s="158">
        <v>0.10679999738931656</v>
      </c>
      <c r="E63" s="158">
        <v>0.10679999738931656</v>
      </c>
      <c r="F63" s="158">
        <v>0.10670000314712524</v>
      </c>
      <c r="G63" s="158">
        <v>0.10660000145435333</v>
      </c>
      <c r="H63" s="158">
        <v>0.10649999976158142</v>
      </c>
      <c r="I63" s="158">
        <v>0.1062999963760376</v>
      </c>
      <c r="J63" s="158">
        <v>0.1062999963760376</v>
      </c>
      <c r="K63" s="158">
        <v>0.10620000213384628</v>
      </c>
      <c r="L63" s="158">
        <v>0.1062999963760376</v>
      </c>
      <c r="M63" s="158">
        <v>0.10620000213384628</v>
      </c>
      <c r="N63" s="158">
        <v>0.10610000044107437</v>
      </c>
      <c r="O63" s="158">
        <v>0.10610000044107437</v>
      </c>
      <c r="P63" s="158">
        <v>0.10580000281333923</v>
      </c>
      <c r="Q63" s="158">
        <v>0.10589999705553055</v>
      </c>
      <c r="R63" s="158">
        <v>0.10580000281333923</v>
      </c>
      <c r="S63" s="158">
        <v>0.10570000112056732</v>
      </c>
      <c r="T63" s="158">
        <v>0.10570000112056732</v>
      </c>
      <c r="U63" s="158">
        <v>0.10570000112056732</v>
      </c>
      <c r="V63" s="158">
        <f t="shared" si="1"/>
        <v>0.10565000027418137</v>
      </c>
      <c r="W63" s="158">
        <v>0.10559999942779541</v>
      </c>
      <c r="X63" s="158">
        <v>0.1054999977350235</v>
      </c>
      <c r="Y63" s="158">
        <v>0.1054999977350235</v>
      </c>
      <c r="Z63" s="158">
        <v>0.10540000349283218</v>
      </c>
      <c r="AA63" s="158">
        <v>0.10540000349283218</v>
      </c>
      <c r="AB63" s="158">
        <v>0.10540000349283218</v>
      </c>
      <c r="AC63" s="158">
        <v>0.10540000349283218</v>
      </c>
      <c r="AD63" s="158">
        <v>0.10530000180006027</v>
      </c>
      <c r="AE63" s="158">
        <v>0.10520000010728836</v>
      </c>
      <c r="AF63" s="158">
        <v>0.10530000180006027</v>
      </c>
    </row>
    <row r="64" spans="1:32" x14ac:dyDescent="0.2">
      <c r="A64" s="158" t="s">
        <v>215</v>
      </c>
      <c r="B64" s="158">
        <v>0.10819999873638153</v>
      </c>
      <c r="C64" s="158">
        <v>0.10790000110864639</v>
      </c>
      <c r="D64" s="158">
        <v>0.10779999941587448</v>
      </c>
      <c r="E64" s="158">
        <v>0.1080000028014183</v>
      </c>
      <c r="F64" s="158">
        <v>0.10760000348091125</v>
      </c>
      <c r="G64" s="158">
        <v>0.10750000178813934</v>
      </c>
      <c r="H64" s="158">
        <v>0.10740000009536743</v>
      </c>
      <c r="I64" s="158">
        <v>0.10719999670982361</v>
      </c>
      <c r="J64" s="158">
        <v>0.10719999670982361</v>
      </c>
      <c r="K64" s="158">
        <v>0.10710000246763229</v>
      </c>
      <c r="L64" s="158">
        <v>0.10719999670982361</v>
      </c>
      <c r="M64" s="158">
        <v>0.10700000077486038</v>
      </c>
      <c r="N64" s="158">
        <v>0.10700000077486038</v>
      </c>
      <c r="O64" s="158">
        <v>0.10700000077486038</v>
      </c>
      <c r="P64" s="158">
        <v>0.10679999738931656</v>
      </c>
      <c r="Q64" s="158">
        <v>0.10679999738931656</v>
      </c>
      <c r="R64" s="158">
        <v>0.10670000314712524</v>
      </c>
      <c r="S64" s="158">
        <v>0.10660000145435333</v>
      </c>
      <c r="T64" s="158">
        <v>0.10660000145435333</v>
      </c>
      <c r="U64" s="158">
        <v>0.10660000145435333</v>
      </c>
      <c r="V64" s="158">
        <f t="shared" si="1"/>
        <v>0.10655000060796738</v>
      </c>
      <c r="W64" s="158">
        <v>0.10649999976158142</v>
      </c>
      <c r="X64" s="158">
        <v>0.10649999976158142</v>
      </c>
      <c r="Y64" s="158">
        <v>0.1062999963760376</v>
      </c>
      <c r="Z64" s="158">
        <v>0.1062999963760376</v>
      </c>
      <c r="AA64" s="158">
        <v>0.1062999963760376</v>
      </c>
      <c r="AB64" s="158">
        <v>0.1062999963760376</v>
      </c>
      <c r="AC64" s="158">
        <v>0.1062999963760376</v>
      </c>
      <c r="AD64" s="158">
        <v>0.10620000213384628</v>
      </c>
      <c r="AE64" s="158">
        <v>0.10610000044107437</v>
      </c>
      <c r="AF64" s="158">
        <v>0.10610000044107437</v>
      </c>
    </row>
    <row r="65" spans="1:32" x14ac:dyDescent="0.2">
      <c r="A65" s="158" t="s">
        <v>216</v>
      </c>
      <c r="B65" s="158">
        <v>0.10639999806880951</v>
      </c>
      <c r="C65" s="158">
        <v>0.10599999874830246</v>
      </c>
      <c r="D65" s="158">
        <v>0.10589999705553055</v>
      </c>
      <c r="E65" s="158">
        <v>0.10840000212192535</v>
      </c>
      <c r="F65" s="158">
        <v>0.10869999974966049</v>
      </c>
      <c r="G65" s="158">
        <v>0.10819999873638153</v>
      </c>
      <c r="H65" s="158">
        <v>0.10819999873638153</v>
      </c>
      <c r="I65" s="158">
        <v>0.1080000028014183</v>
      </c>
      <c r="J65" s="158">
        <v>0.10779999941587448</v>
      </c>
      <c r="K65" s="158">
        <v>0.1080000028014183</v>
      </c>
      <c r="L65" s="158">
        <v>0.10830000042915344</v>
      </c>
      <c r="M65" s="158">
        <v>0.1080000028014183</v>
      </c>
      <c r="N65" s="158">
        <v>0.10809999704360962</v>
      </c>
      <c r="O65" s="158">
        <v>0.10779999941587448</v>
      </c>
      <c r="P65" s="158">
        <v>0.10740000009536743</v>
      </c>
      <c r="Q65" s="158">
        <v>0.10760000348091125</v>
      </c>
      <c r="R65" s="158">
        <v>0.10760000348091125</v>
      </c>
      <c r="S65" s="158">
        <v>0.1080000028014183</v>
      </c>
      <c r="T65" s="158">
        <v>0.10750000178813934</v>
      </c>
      <c r="U65" s="158">
        <v>0.10750000178813934</v>
      </c>
      <c r="V65" s="158">
        <f t="shared" si="1"/>
        <v>0.1075500026345253</v>
      </c>
      <c r="W65" s="158">
        <v>0.10760000348091125</v>
      </c>
      <c r="X65" s="158">
        <v>0.10779999941587448</v>
      </c>
      <c r="Y65" s="158">
        <v>0.10740000009536743</v>
      </c>
      <c r="Z65" s="158">
        <v>0.10750000178813934</v>
      </c>
      <c r="AA65" s="158">
        <v>0.10920000076293945</v>
      </c>
      <c r="AB65" s="158">
        <v>0.10830000042915344</v>
      </c>
      <c r="AC65" s="158">
        <v>0.10909999907016754</v>
      </c>
      <c r="AD65" s="158">
        <v>0.10819999873638153</v>
      </c>
      <c r="AE65" s="158">
        <v>0.10740000009536743</v>
      </c>
      <c r="AF65" s="158">
        <v>0.10849999636411667</v>
      </c>
    </row>
    <row r="66" spans="1:32" x14ac:dyDescent="0.2">
      <c r="A66" s="158" t="s">
        <v>217</v>
      </c>
      <c r="B66" s="158">
        <v>0.10580000281333923</v>
      </c>
      <c r="C66" s="158">
        <v>0.10570000112056732</v>
      </c>
      <c r="D66" s="158">
        <v>0.10570000112056732</v>
      </c>
      <c r="E66" s="158">
        <v>0.10580000281333923</v>
      </c>
      <c r="F66" s="158">
        <v>0.1054999977350235</v>
      </c>
      <c r="G66" s="158">
        <v>0.10559999942779541</v>
      </c>
      <c r="H66" s="158">
        <v>0.10540000349283218</v>
      </c>
      <c r="I66" s="158">
        <v>0.10530000180006027</v>
      </c>
      <c r="J66" s="158">
        <v>0.10520000010728836</v>
      </c>
      <c r="K66" s="158">
        <v>0.10520000010728836</v>
      </c>
      <c r="L66" s="158">
        <v>0.10520000010728836</v>
      </c>
      <c r="M66" s="158">
        <v>0.10509999841451645</v>
      </c>
      <c r="N66" s="158">
        <v>0.10509999841451645</v>
      </c>
      <c r="O66" s="158">
        <v>0.10499999672174454</v>
      </c>
      <c r="P66" s="158">
        <v>0.10480000078678131</v>
      </c>
      <c r="Q66" s="158">
        <v>0.10480000078678131</v>
      </c>
      <c r="R66" s="158">
        <v>0.10480000078678131</v>
      </c>
      <c r="S66" s="158">
        <v>0.1046999990940094</v>
      </c>
      <c r="T66" s="158">
        <v>0.1046999990940094</v>
      </c>
      <c r="U66" s="158">
        <v>0.1046999990940094</v>
      </c>
      <c r="V66" s="158">
        <f t="shared" si="1"/>
        <v>0.10464999824762344</v>
      </c>
      <c r="W66" s="158">
        <v>0.10459999740123749</v>
      </c>
      <c r="X66" s="158">
        <v>0.10459999740123749</v>
      </c>
      <c r="Y66" s="158">
        <v>0.10450000315904617</v>
      </c>
      <c r="Z66" s="158">
        <v>0.10450000315904617</v>
      </c>
      <c r="AA66" s="158">
        <v>0.10429999977350235</v>
      </c>
      <c r="AB66" s="158">
        <v>0.10429999977350235</v>
      </c>
      <c r="AC66" s="158">
        <v>0.10429999977350235</v>
      </c>
      <c r="AD66" s="158">
        <v>0.10429999977350235</v>
      </c>
      <c r="AE66" s="158">
        <v>0.10419999808073044</v>
      </c>
      <c r="AF66" s="158">
        <v>0.10419999808073044</v>
      </c>
    </row>
    <row r="67" spans="1:32" x14ac:dyDescent="0.2">
      <c r="A67" s="158" t="s">
        <v>218</v>
      </c>
      <c r="B67" s="158">
        <v>0.10999999940395355</v>
      </c>
      <c r="C67" s="158">
        <v>0.10859999805688858</v>
      </c>
      <c r="D67" s="158">
        <v>0.1088000014424324</v>
      </c>
      <c r="E67" s="158">
        <v>0.10869999974966049</v>
      </c>
      <c r="F67" s="158">
        <v>0.10859999805688858</v>
      </c>
      <c r="G67" s="158">
        <v>0.10890000313520432</v>
      </c>
      <c r="H67" s="158">
        <v>0.10849999636411667</v>
      </c>
      <c r="I67" s="158">
        <v>0.10830000042915344</v>
      </c>
      <c r="J67" s="158">
        <v>0.10840000212192535</v>
      </c>
      <c r="K67" s="158">
        <v>0.10809999704360962</v>
      </c>
      <c r="L67" s="158">
        <v>0.10869999974966049</v>
      </c>
      <c r="M67" s="158">
        <v>0.10849999636411667</v>
      </c>
      <c r="N67" s="158">
        <v>0.10859999805688858</v>
      </c>
      <c r="O67" s="158">
        <v>0.10849999636411667</v>
      </c>
      <c r="P67" s="158">
        <v>0.1080000028014183</v>
      </c>
      <c r="Q67" s="158">
        <v>0.10769999772310257</v>
      </c>
      <c r="R67" s="158">
        <v>0.10769999772310257</v>
      </c>
      <c r="S67" s="158">
        <v>0.1080000028014183</v>
      </c>
      <c r="T67" s="158">
        <v>0.10769999772310257</v>
      </c>
      <c r="U67" s="158">
        <v>0.10809999704360962</v>
      </c>
      <c r="V67" s="158">
        <f t="shared" si="1"/>
        <v>0.10794999822974205</v>
      </c>
      <c r="W67" s="158">
        <v>0.10779999941587448</v>
      </c>
      <c r="X67" s="158">
        <v>0.10740000009536743</v>
      </c>
      <c r="Y67" s="158">
        <v>0.10750000178813934</v>
      </c>
      <c r="Z67" s="158">
        <v>0.10750000178813934</v>
      </c>
      <c r="AA67" s="158">
        <v>0.10620000213384628</v>
      </c>
      <c r="AB67" s="158">
        <v>0.10670000314712524</v>
      </c>
      <c r="AC67" s="158">
        <v>0.10620000213384628</v>
      </c>
      <c r="AD67" s="158">
        <v>0.10700000077486038</v>
      </c>
      <c r="AE67" s="158">
        <v>0.10679999738931656</v>
      </c>
      <c r="AF67" s="158">
        <v>0.10639999806880951</v>
      </c>
    </row>
    <row r="68" spans="1:32" x14ac:dyDescent="0.2">
      <c r="A68" s="158" t="s">
        <v>219</v>
      </c>
      <c r="B68" s="158">
        <v>0.10649999976158142</v>
      </c>
      <c r="C68" s="158">
        <v>0.10620000213384628</v>
      </c>
      <c r="D68" s="158">
        <v>0.10610000044107437</v>
      </c>
      <c r="E68" s="158">
        <v>0.10639999806880951</v>
      </c>
      <c r="F68" s="158">
        <v>0.10620000213384628</v>
      </c>
      <c r="G68" s="158">
        <v>0.10620000213384628</v>
      </c>
      <c r="H68" s="158">
        <v>0.10610000044107437</v>
      </c>
      <c r="I68" s="158">
        <v>0.10589999705553055</v>
      </c>
      <c r="J68" s="158">
        <v>0.10610000044107437</v>
      </c>
      <c r="K68" s="158">
        <v>0.10589999705553055</v>
      </c>
      <c r="L68" s="158">
        <v>0.10589999705553055</v>
      </c>
      <c r="M68" s="158">
        <v>0.10570000112056732</v>
      </c>
      <c r="N68" s="158">
        <v>0.10570000112056732</v>
      </c>
      <c r="O68" s="158">
        <v>0.10559999942779541</v>
      </c>
      <c r="P68" s="158">
        <v>0.10540000349283218</v>
      </c>
      <c r="Q68" s="158">
        <v>0.10540000349283218</v>
      </c>
      <c r="R68" s="158">
        <v>0.10540000349283218</v>
      </c>
      <c r="S68" s="158">
        <v>0.10530000180006027</v>
      </c>
      <c r="T68" s="158">
        <v>0.10530000180006027</v>
      </c>
      <c r="U68" s="158">
        <v>0.10530000180006027</v>
      </c>
      <c r="V68" s="158">
        <f t="shared" si="1"/>
        <v>0.10525000095367432</v>
      </c>
      <c r="W68" s="158">
        <v>0.10520000010728836</v>
      </c>
      <c r="X68" s="158">
        <v>0.10509999841451645</v>
      </c>
      <c r="Y68" s="158">
        <v>0.10499999672174454</v>
      </c>
      <c r="Z68" s="158">
        <v>0.10520000010728836</v>
      </c>
      <c r="AA68" s="158">
        <v>0.10490000247955322</v>
      </c>
      <c r="AB68" s="158">
        <v>0.10490000247955322</v>
      </c>
      <c r="AC68" s="158">
        <v>0.10490000247955322</v>
      </c>
      <c r="AD68" s="158">
        <v>0.10480000078678131</v>
      </c>
      <c r="AE68" s="158">
        <v>0.10499999672174454</v>
      </c>
      <c r="AF68" s="158">
        <v>0.10480000078678131</v>
      </c>
    </row>
    <row r="69" spans="1:32" x14ac:dyDescent="0.2">
      <c r="A69" s="158" t="s">
        <v>220</v>
      </c>
      <c r="B69" s="158">
        <v>0.10679999738931656</v>
      </c>
      <c r="C69" s="158">
        <v>0.10660000145435333</v>
      </c>
      <c r="D69" s="158">
        <v>0.10649999976158142</v>
      </c>
      <c r="E69" s="158">
        <v>0.10649999976158142</v>
      </c>
      <c r="F69" s="158">
        <v>0.1062999963760376</v>
      </c>
      <c r="G69" s="158">
        <v>0.10620000213384628</v>
      </c>
      <c r="H69" s="158">
        <v>0.10610000044107437</v>
      </c>
      <c r="I69" s="158">
        <v>0.10599999874830246</v>
      </c>
      <c r="J69" s="158">
        <v>0.10589999705553055</v>
      </c>
      <c r="K69" s="158">
        <v>0.10589999705553055</v>
      </c>
      <c r="L69" s="158">
        <v>0.10589999705553055</v>
      </c>
      <c r="M69" s="158">
        <v>0.10580000281333923</v>
      </c>
      <c r="N69" s="158">
        <v>0.10570000112056732</v>
      </c>
      <c r="O69" s="158">
        <v>0.10559999942779541</v>
      </c>
      <c r="P69" s="158">
        <v>0.10540000349283218</v>
      </c>
      <c r="Q69" s="158">
        <v>0.10540000349283218</v>
      </c>
      <c r="R69" s="158">
        <v>0.10530000180006027</v>
      </c>
      <c r="S69" s="158">
        <v>0.10520000010728836</v>
      </c>
      <c r="T69" s="158">
        <v>0.10520000010728836</v>
      </c>
      <c r="U69" s="158">
        <v>0.10520000010728836</v>
      </c>
      <c r="V69" s="158">
        <f t="shared" si="1"/>
        <v>0.10509999841451645</v>
      </c>
      <c r="W69" s="158">
        <v>0.10499999672174454</v>
      </c>
      <c r="X69" s="158">
        <v>0.10499999672174454</v>
      </c>
      <c r="Y69" s="158">
        <v>0.10480000078678131</v>
      </c>
      <c r="Z69" s="158">
        <v>0.10480000078678131</v>
      </c>
      <c r="AA69" s="158">
        <v>0.10459999740123749</v>
      </c>
      <c r="AB69" s="158">
        <v>0.10459999740123749</v>
      </c>
      <c r="AC69" s="158">
        <v>0.10459999740123749</v>
      </c>
      <c r="AD69" s="158">
        <v>0.10450000315904617</v>
      </c>
      <c r="AE69" s="158">
        <v>0.10440000146627426</v>
      </c>
      <c r="AF69" s="158">
        <v>0.10440000146627426</v>
      </c>
    </row>
    <row r="70" spans="1:32" x14ac:dyDescent="0.2">
      <c r="A70" s="158" t="s">
        <v>221</v>
      </c>
      <c r="B70" s="158">
        <v>0.10620000213384628</v>
      </c>
      <c r="C70" s="158">
        <v>0.10610000044107437</v>
      </c>
      <c r="D70" s="158">
        <v>0.10599999874830246</v>
      </c>
      <c r="E70" s="158">
        <v>0.10610000044107437</v>
      </c>
      <c r="F70" s="158">
        <v>0.10589999705553055</v>
      </c>
      <c r="G70" s="158">
        <v>0.10599999874830246</v>
      </c>
      <c r="H70" s="158">
        <v>0.10589999705553055</v>
      </c>
      <c r="I70" s="158">
        <v>0.10580000281333923</v>
      </c>
      <c r="J70" s="158">
        <v>0.10570000112056732</v>
      </c>
      <c r="K70" s="158">
        <v>0.10570000112056732</v>
      </c>
      <c r="L70" s="158">
        <v>0.10580000281333923</v>
      </c>
      <c r="M70" s="158">
        <v>0.10570000112056732</v>
      </c>
      <c r="N70" s="158">
        <v>0.10559999942779541</v>
      </c>
      <c r="O70" s="158">
        <v>0.10540000349283218</v>
      </c>
      <c r="P70" s="158">
        <v>0.10530000180006027</v>
      </c>
      <c r="Q70" s="158">
        <v>0.10530000180006027</v>
      </c>
      <c r="R70" s="158">
        <v>0.10520000010728836</v>
      </c>
      <c r="S70" s="158">
        <v>0.10530000180006027</v>
      </c>
      <c r="T70" s="158">
        <v>0.10530000180006027</v>
      </c>
      <c r="U70" s="158">
        <v>0.10540000349283218</v>
      </c>
      <c r="V70" s="158">
        <f t="shared" si="1"/>
        <v>0.10530000180006027</v>
      </c>
      <c r="W70" s="158">
        <v>0.10520000010728836</v>
      </c>
      <c r="X70" s="158">
        <v>0.10520000010728836</v>
      </c>
      <c r="Y70" s="158">
        <v>0.10499999672174454</v>
      </c>
      <c r="Z70" s="158">
        <v>0.10490000247955322</v>
      </c>
      <c r="AA70" s="158">
        <v>0.10490000247955322</v>
      </c>
      <c r="AB70" s="158">
        <v>0.10480000078678131</v>
      </c>
      <c r="AC70" s="158">
        <v>0.1046999990940094</v>
      </c>
      <c r="AD70" s="158">
        <v>0.10480000078678131</v>
      </c>
      <c r="AE70" s="158">
        <v>0.1046999990940094</v>
      </c>
      <c r="AF70" s="158">
        <v>0.10480000078678131</v>
      </c>
    </row>
    <row r="71" spans="1:32" x14ac:dyDescent="0.2">
      <c r="A71" s="158" t="s">
        <v>222</v>
      </c>
      <c r="B71" s="158">
        <v>0.10649999976158142</v>
      </c>
      <c r="C71" s="158">
        <v>0.10610000044107437</v>
      </c>
      <c r="D71" s="158">
        <v>0.10599999874830246</v>
      </c>
      <c r="E71" s="158">
        <v>0.10610000044107437</v>
      </c>
      <c r="F71" s="158">
        <v>0.10589999705553055</v>
      </c>
      <c r="G71" s="158">
        <v>0.10580000281333923</v>
      </c>
      <c r="H71" s="158">
        <v>0.10570000112056732</v>
      </c>
      <c r="I71" s="158">
        <v>0.10559999942779541</v>
      </c>
      <c r="J71" s="158">
        <v>0.1054999977350235</v>
      </c>
      <c r="K71" s="158">
        <v>0.1054999977350235</v>
      </c>
      <c r="L71" s="158">
        <v>0.1054999977350235</v>
      </c>
      <c r="M71" s="158">
        <v>0.10540000349283218</v>
      </c>
      <c r="N71" s="158">
        <v>0.10540000349283218</v>
      </c>
      <c r="O71" s="158">
        <v>0.10530000180006027</v>
      </c>
      <c r="P71" s="158">
        <v>0.10499999672174454</v>
      </c>
      <c r="Q71" s="158">
        <v>0.10499999672174454</v>
      </c>
      <c r="R71" s="158">
        <v>0.10499999672174454</v>
      </c>
      <c r="S71" s="158">
        <v>0.10490000247955322</v>
      </c>
      <c r="T71" s="158">
        <v>0.10490000247955322</v>
      </c>
      <c r="U71" s="158">
        <v>0.10490000247955322</v>
      </c>
      <c r="V71" s="158">
        <f t="shared" si="1"/>
        <v>0.10485000163316727</v>
      </c>
      <c r="W71" s="158">
        <v>0.10480000078678131</v>
      </c>
      <c r="X71" s="158">
        <v>0.10480000078678131</v>
      </c>
      <c r="Y71" s="158">
        <v>0.1046999990940094</v>
      </c>
      <c r="Z71" s="158">
        <v>0.10450000315904617</v>
      </c>
      <c r="AA71" s="158">
        <v>0.10450000315904617</v>
      </c>
      <c r="AB71" s="158">
        <v>0.10450000315904617</v>
      </c>
      <c r="AC71" s="158">
        <v>0.10440000146627426</v>
      </c>
      <c r="AD71" s="158">
        <v>0.10440000146627426</v>
      </c>
      <c r="AE71" s="158">
        <v>0.10440000146627426</v>
      </c>
      <c r="AF71" s="158">
        <v>0.10429999977350235</v>
      </c>
    </row>
    <row r="72" spans="1:32" x14ac:dyDescent="0.2">
      <c r="A72" s="158" t="s">
        <v>223</v>
      </c>
      <c r="B72" s="158">
        <v>0.10710000246763229</v>
      </c>
      <c r="C72" s="158">
        <v>0.10689999908208847</v>
      </c>
      <c r="D72" s="158">
        <v>0.10679999738931656</v>
      </c>
      <c r="E72" s="158">
        <v>0.10679999738931656</v>
      </c>
      <c r="F72" s="158">
        <v>0.10689999908208847</v>
      </c>
      <c r="G72" s="158">
        <v>0.10670000314712524</v>
      </c>
      <c r="H72" s="158">
        <v>0.10670000314712524</v>
      </c>
      <c r="I72" s="158">
        <v>0.10649999976158142</v>
      </c>
      <c r="J72" s="158">
        <v>0.10649999976158142</v>
      </c>
      <c r="K72" s="158">
        <v>0.10639999806880951</v>
      </c>
      <c r="L72" s="158">
        <v>0.10649999976158142</v>
      </c>
      <c r="M72" s="158">
        <v>0.10639999806880951</v>
      </c>
      <c r="N72" s="158">
        <v>0.1062999963760376</v>
      </c>
      <c r="O72" s="158">
        <v>0.10620000213384628</v>
      </c>
      <c r="P72" s="158">
        <v>0.10610000044107437</v>
      </c>
      <c r="Q72" s="158">
        <v>0.10599999874830246</v>
      </c>
      <c r="R72" s="158">
        <v>0.10599999874830246</v>
      </c>
      <c r="S72" s="158">
        <v>0.10610000044107437</v>
      </c>
      <c r="T72" s="158">
        <v>0.10610000044107437</v>
      </c>
      <c r="U72" s="158">
        <v>0.10610000044107437</v>
      </c>
      <c r="V72" s="158">
        <f t="shared" si="1"/>
        <v>0.10610000044107437</v>
      </c>
      <c r="W72" s="158">
        <v>0.10610000044107437</v>
      </c>
      <c r="X72" s="158">
        <v>0.10599999874830246</v>
      </c>
      <c r="Y72" s="158">
        <v>0.10589999705553055</v>
      </c>
      <c r="Z72" s="158">
        <v>0.10580000281333923</v>
      </c>
      <c r="AA72" s="158">
        <v>0.10589999705553055</v>
      </c>
      <c r="AB72" s="158">
        <v>0.10559999942779541</v>
      </c>
      <c r="AC72" s="158">
        <v>0.10559999942779541</v>
      </c>
      <c r="AD72" s="158">
        <v>0.10559999942779541</v>
      </c>
      <c r="AE72" s="158">
        <v>0.10559999942779541</v>
      </c>
      <c r="AF72" s="158">
        <v>0.10589999705553055</v>
      </c>
    </row>
    <row r="73" spans="1:32" x14ac:dyDescent="0.2">
      <c r="A73" s="158" t="s">
        <v>224</v>
      </c>
      <c r="B73" s="158">
        <v>0.10710000246763229</v>
      </c>
      <c r="C73" s="158">
        <v>0.10679999738931656</v>
      </c>
      <c r="D73" s="158">
        <v>0.10670000314712524</v>
      </c>
      <c r="E73" s="158">
        <v>0.10670000314712524</v>
      </c>
      <c r="F73" s="158">
        <v>0.10660000145435333</v>
      </c>
      <c r="G73" s="158">
        <v>0.10660000145435333</v>
      </c>
      <c r="H73" s="158">
        <v>0.10639999806880951</v>
      </c>
      <c r="I73" s="158">
        <v>0.1062999963760376</v>
      </c>
      <c r="J73" s="158">
        <v>0.10620000213384628</v>
      </c>
      <c r="K73" s="158">
        <v>0.10620000213384628</v>
      </c>
      <c r="L73" s="158">
        <v>0.10620000213384628</v>
      </c>
      <c r="M73" s="158">
        <v>0.10599999874830246</v>
      </c>
      <c r="N73" s="158">
        <v>0.10589999705553055</v>
      </c>
      <c r="O73" s="158">
        <v>0.10570000112056732</v>
      </c>
      <c r="P73" s="158">
        <v>0.1054999977350235</v>
      </c>
      <c r="Q73" s="158">
        <v>0.1054999977350235</v>
      </c>
      <c r="R73" s="158">
        <v>0.1054999977350235</v>
      </c>
      <c r="S73" s="158">
        <v>0.1054999977350235</v>
      </c>
      <c r="T73" s="158">
        <v>0.10559999942779541</v>
      </c>
      <c r="U73" s="158">
        <v>0.10570000112056732</v>
      </c>
      <c r="V73" s="158">
        <f t="shared" si="1"/>
        <v>0.10559999942779541</v>
      </c>
      <c r="W73" s="158">
        <v>0.1054999977350235</v>
      </c>
      <c r="X73" s="158">
        <v>0.10540000349283218</v>
      </c>
      <c r="Y73" s="158">
        <v>0.10520000010728836</v>
      </c>
      <c r="Z73" s="158">
        <v>0.10509999841451645</v>
      </c>
      <c r="AA73" s="158">
        <v>0.10490000247955322</v>
      </c>
      <c r="AB73" s="158">
        <v>0.10480000078678131</v>
      </c>
      <c r="AC73" s="158">
        <v>0.10480000078678131</v>
      </c>
      <c r="AD73" s="158">
        <v>0.10480000078678131</v>
      </c>
      <c r="AE73" s="158">
        <v>0.1046999990940094</v>
      </c>
      <c r="AF73" s="158">
        <v>0.10490000247955322</v>
      </c>
    </row>
    <row r="74" spans="1:32" x14ac:dyDescent="0.2">
      <c r="A74" s="158" t="s">
        <v>225</v>
      </c>
      <c r="B74" s="158">
        <v>0.10719999670982361</v>
      </c>
      <c r="C74" s="158">
        <v>0.10719999670982361</v>
      </c>
      <c r="D74" s="158">
        <v>0.10719999670982361</v>
      </c>
      <c r="E74" s="158">
        <v>0.10729999840259552</v>
      </c>
      <c r="F74" s="158">
        <v>0.10729999840259552</v>
      </c>
      <c r="G74" s="158">
        <v>0.10740000009536743</v>
      </c>
      <c r="H74" s="158">
        <v>0.10729999840259552</v>
      </c>
      <c r="I74" s="158">
        <v>0.10729999840259552</v>
      </c>
      <c r="J74" s="158">
        <v>0.10719999670982361</v>
      </c>
      <c r="K74" s="158">
        <v>0.10719999670982361</v>
      </c>
      <c r="L74" s="158">
        <v>0.10719999670982361</v>
      </c>
      <c r="M74" s="158">
        <v>0.10729999840259552</v>
      </c>
      <c r="N74" s="158">
        <v>0.10689999908208847</v>
      </c>
      <c r="O74" s="158">
        <v>0.10679999738931656</v>
      </c>
      <c r="P74" s="158">
        <v>0.10660000145435333</v>
      </c>
      <c r="Q74" s="158">
        <v>0.10660000145435333</v>
      </c>
      <c r="R74" s="158">
        <v>0.10660000145435333</v>
      </c>
      <c r="S74" s="158">
        <v>0.10670000314712524</v>
      </c>
      <c r="T74" s="158">
        <v>0.10679999738931656</v>
      </c>
      <c r="U74" s="158">
        <v>0.10689999908208847</v>
      </c>
      <c r="V74" s="158">
        <f t="shared" si="1"/>
        <v>0.10684999823570251</v>
      </c>
      <c r="W74" s="158">
        <v>0.10679999738931656</v>
      </c>
      <c r="X74" s="158">
        <v>0.10679999738931656</v>
      </c>
      <c r="Y74" s="158">
        <v>0.10649999976158142</v>
      </c>
      <c r="Z74" s="158">
        <v>0.1062999963760376</v>
      </c>
      <c r="AA74" s="158">
        <v>0.10620000213384628</v>
      </c>
      <c r="AB74" s="158">
        <v>0.10610000044107437</v>
      </c>
      <c r="AC74" s="158">
        <v>0.10610000044107437</v>
      </c>
      <c r="AD74" s="158">
        <v>0.10610000044107437</v>
      </c>
      <c r="AE74" s="158">
        <v>0.10610000044107437</v>
      </c>
      <c r="AF74" s="158">
        <v>0.10620000213384628</v>
      </c>
    </row>
    <row r="75" spans="1:32" x14ac:dyDescent="0.2">
      <c r="A75" s="158" t="s">
        <v>226</v>
      </c>
      <c r="B75" s="158">
        <v>0.10740000009536743</v>
      </c>
      <c r="C75" s="158">
        <v>0.10710000246763229</v>
      </c>
      <c r="D75" s="158">
        <v>0.10710000246763229</v>
      </c>
      <c r="E75" s="158">
        <v>0.10700000077486038</v>
      </c>
      <c r="F75" s="158">
        <v>0.10689999908208847</v>
      </c>
      <c r="G75" s="158">
        <v>0.10719999670982361</v>
      </c>
      <c r="H75" s="158">
        <v>0.10679999738931656</v>
      </c>
      <c r="I75" s="158">
        <v>0.10670000314712524</v>
      </c>
      <c r="J75" s="158">
        <v>0.10670000314712524</v>
      </c>
      <c r="K75" s="158">
        <v>0.10670000314712524</v>
      </c>
      <c r="L75" s="158">
        <v>0.10670000314712524</v>
      </c>
      <c r="M75" s="158">
        <v>0.10649999976158142</v>
      </c>
      <c r="N75" s="158">
        <v>0.10639999806880951</v>
      </c>
      <c r="O75" s="158">
        <v>0.10620000213384628</v>
      </c>
      <c r="P75" s="158">
        <v>0.10599999874830246</v>
      </c>
      <c r="Q75" s="158">
        <v>0.10599999874830246</v>
      </c>
      <c r="R75" s="158">
        <v>0.10599999874830246</v>
      </c>
      <c r="S75" s="158">
        <v>0.10599999874830246</v>
      </c>
      <c r="T75" s="158">
        <v>0.10610000044107437</v>
      </c>
      <c r="U75" s="158">
        <v>0.10620000213384628</v>
      </c>
      <c r="V75" s="158">
        <f t="shared" si="1"/>
        <v>0.10615000128746033</v>
      </c>
      <c r="W75" s="158">
        <v>0.10610000044107437</v>
      </c>
      <c r="X75" s="158">
        <v>0.10599999874830246</v>
      </c>
      <c r="Y75" s="158">
        <v>0.10570000112056732</v>
      </c>
      <c r="Z75" s="158">
        <v>0.1054999977350235</v>
      </c>
      <c r="AA75" s="158">
        <v>0.10540000349283218</v>
      </c>
      <c r="AB75" s="158">
        <v>0.10540000349283218</v>
      </c>
      <c r="AC75" s="158">
        <v>0.10530000180006027</v>
      </c>
      <c r="AD75" s="158">
        <v>0.10540000349283218</v>
      </c>
      <c r="AE75" s="158">
        <v>0.10530000180006027</v>
      </c>
      <c r="AF75" s="158">
        <v>0.1054999977350235</v>
      </c>
    </row>
    <row r="76" spans="1:32" x14ac:dyDescent="0.2">
      <c r="A76" s="158" t="s">
        <v>227</v>
      </c>
      <c r="B76" s="158">
        <v>0.10859999805688858</v>
      </c>
      <c r="C76" s="158">
        <v>0.10819999873638153</v>
      </c>
      <c r="D76" s="158">
        <v>0.10809999704360962</v>
      </c>
      <c r="E76" s="158">
        <v>0.10819999873638153</v>
      </c>
      <c r="F76" s="158">
        <v>0.10809999704360962</v>
      </c>
      <c r="G76" s="158">
        <v>0.10819999873638153</v>
      </c>
      <c r="H76" s="158">
        <v>0.10809999704360962</v>
      </c>
      <c r="I76" s="158">
        <v>0.1080000028014183</v>
      </c>
      <c r="J76" s="158">
        <v>0.1080000028014183</v>
      </c>
      <c r="K76" s="158">
        <v>0.1080000028014183</v>
      </c>
      <c r="L76" s="158">
        <v>0.1080000028014183</v>
      </c>
      <c r="M76" s="158">
        <v>0.10779999941587448</v>
      </c>
      <c r="N76" s="158">
        <v>0.10769999772310257</v>
      </c>
      <c r="O76" s="158">
        <v>0.10750000178813934</v>
      </c>
      <c r="P76" s="158">
        <v>0.10729999840259552</v>
      </c>
      <c r="Q76" s="158">
        <v>0.10760000348091125</v>
      </c>
      <c r="R76" s="158">
        <v>0.10729999840259552</v>
      </c>
      <c r="S76" s="158">
        <v>0.10760000348091125</v>
      </c>
      <c r="T76" s="158">
        <v>0.10760000348091125</v>
      </c>
      <c r="U76" s="158">
        <v>0.10769999772310257</v>
      </c>
      <c r="V76" s="158">
        <f t="shared" si="1"/>
        <v>0.10799999907612801</v>
      </c>
      <c r="W76" s="158">
        <v>0.10830000042915344</v>
      </c>
      <c r="X76" s="158">
        <v>0.10819999873638153</v>
      </c>
      <c r="Y76" s="158">
        <v>0.10939999669790268</v>
      </c>
      <c r="Z76" s="158">
        <v>0.10899999737739563</v>
      </c>
      <c r="AA76" s="158">
        <v>0.10920000076293945</v>
      </c>
      <c r="AB76" s="158">
        <v>0.10930000245571136</v>
      </c>
      <c r="AC76" s="158">
        <v>0.10890000313520432</v>
      </c>
      <c r="AD76" s="158">
        <v>0.10890000313520432</v>
      </c>
      <c r="AE76" s="158">
        <v>0.1088000014424324</v>
      </c>
      <c r="AF76" s="158">
        <v>0.10830000042915344</v>
      </c>
    </row>
    <row r="77" spans="1:32" x14ac:dyDescent="0.2">
      <c r="A77" s="158" t="s">
        <v>228</v>
      </c>
      <c r="B77" s="158">
        <v>0.10719999670982361</v>
      </c>
      <c r="C77" s="158">
        <v>0.10660000145435333</v>
      </c>
      <c r="D77" s="158">
        <v>0.10660000145435333</v>
      </c>
      <c r="E77" s="158">
        <v>0.10660000145435333</v>
      </c>
      <c r="F77" s="158">
        <v>0.10639999806880951</v>
      </c>
      <c r="G77" s="158">
        <v>0.10649999976158142</v>
      </c>
      <c r="H77" s="158">
        <v>0.10660000145435333</v>
      </c>
      <c r="I77" s="158">
        <v>0.10620000213384628</v>
      </c>
      <c r="J77" s="158">
        <v>0.10620000213384628</v>
      </c>
      <c r="K77" s="158">
        <v>0.10620000213384628</v>
      </c>
      <c r="L77" s="158">
        <v>0.10610000044107437</v>
      </c>
      <c r="M77" s="158">
        <v>0.10589999705553055</v>
      </c>
      <c r="N77" s="158">
        <v>0.10580000281333923</v>
      </c>
      <c r="O77" s="158">
        <v>0.1054999977350235</v>
      </c>
      <c r="P77" s="158">
        <v>0.10530000180006027</v>
      </c>
      <c r="Q77" s="158">
        <v>0.10530000180006027</v>
      </c>
      <c r="R77" s="158">
        <v>0.10530000180006027</v>
      </c>
      <c r="S77" s="158">
        <v>0.10540000349283218</v>
      </c>
      <c r="T77" s="158">
        <v>0.10570000112056732</v>
      </c>
      <c r="U77" s="158">
        <v>0.10570000112056732</v>
      </c>
      <c r="V77" s="158">
        <f t="shared" si="1"/>
        <v>0.10610000044107437</v>
      </c>
      <c r="W77" s="158">
        <v>0.10649999976158142</v>
      </c>
      <c r="X77" s="158">
        <v>0.10639999806880951</v>
      </c>
      <c r="Y77" s="158">
        <v>0.10620000213384628</v>
      </c>
      <c r="Z77" s="158">
        <v>0.10580000281333923</v>
      </c>
      <c r="AA77" s="158">
        <v>0.10570000112056732</v>
      </c>
      <c r="AB77" s="158">
        <v>0.10559999942779541</v>
      </c>
      <c r="AC77" s="158">
        <v>0.10540000349283218</v>
      </c>
      <c r="AD77" s="158">
        <v>0.1054999977350235</v>
      </c>
      <c r="AE77" s="158">
        <v>0.1054999977350235</v>
      </c>
      <c r="AF77" s="158">
        <v>0.10580000281333923</v>
      </c>
    </row>
    <row r="78" spans="1:32" x14ac:dyDescent="0.2">
      <c r="A78" s="158" t="s">
        <v>229</v>
      </c>
      <c r="B78" s="158">
        <v>0.10790000110864639</v>
      </c>
      <c r="C78" s="158">
        <v>0.10760000348091125</v>
      </c>
      <c r="D78" s="158">
        <v>0.10750000178813934</v>
      </c>
      <c r="E78" s="158">
        <v>0.10750000178813934</v>
      </c>
      <c r="F78" s="158">
        <v>0.10750000178813934</v>
      </c>
      <c r="G78" s="158">
        <v>0.10760000348091125</v>
      </c>
      <c r="H78" s="158">
        <v>0.10750000178813934</v>
      </c>
      <c r="I78" s="158">
        <v>0.10750000178813934</v>
      </c>
      <c r="J78" s="158">
        <v>0.10740000009536743</v>
      </c>
      <c r="K78" s="158">
        <v>0.10740000009536743</v>
      </c>
      <c r="L78" s="158">
        <v>0.10740000009536743</v>
      </c>
      <c r="M78" s="158">
        <v>0.10719999670982361</v>
      </c>
      <c r="N78" s="158">
        <v>0.10700000077486038</v>
      </c>
      <c r="O78" s="158">
        <v>0.10670000314712524</v>
      </c>
      <c r="P78" s="158">
        <v>0.10679999738931656</v>
      </c>
      <c r="Q78" s="158">
        <v>0.10649999976158142</v>
      </c>
      <c r="R78" s="158">
        <v>0.10660000145435333</v>
      </c>
      <c r="S78" s="158">
        <v>0.10679999738931656</v>
      </c>
      <c r="T78" s="158">
        <v>0.10700000077486038</v>
      </c>
      <c r="U78" s="158">
        <v>0.10710000246763229</v>
      </c>
      <c r="V78" s="158">
        <f t="shared" si="1"/>
        <v>0.10710000246763229</v>
      </c>
      <c r="W78" s="158">
        <v>0.10710000246763229</v>
      </c>
      <c r="X78" s="158">
        <v>0.10679999738931656</v>
      </c>
      <c r="Y78" s="158">
        <v>0.10660000145435333</v>
      </c>
      <c r="Z78" s="158">
        <v>0.1062999963760376</v>
      </c>
      <c r="AA78" s="158">
        <v>0.10620000213384628</v>
      </c>
      <c r="AB78" s="158">
        <v>0.10599999874830246</v>
      </c>
      <c r="AC78" s="158">
        <v>0.10589999705553055</v>
      </c>
      <c r="AD78" s="158">
        <v>0.10599999874830246</v>
      </c>
      <c r="AE78" s="158">
        <v>0.10599999874830246</v>
      </c>
      <c r="AF78" s="158">
        <v>0.10610000044107437</v>
      </c>
    </row>
    <row r="79" spans="1:32" x14ac:dyDescent="0.2">
      <c r="A79" s="158" t="s">
        <v>230</v>
      </c>
      <c r="B79" s="158">
        <v>0.10639999806880951</v>
      </c>
      <c r="C79" s="158">
        <v>0.10589999705553055</v>
      </c>
      <c r="D79" s="158">
        <v>0.10570000112056732</v>
      </c>
      <c r="E79" s="158">
        <v>0.10570000112056732</v>
      </c>
      <c r="F79" s="158">
        <v>0.1054999977350235</v>
      </c>
      <c r="G79" s="158">
        <v>0.10559999942779541</v>
      </c>
      <c r="H79" s="158">
        <v>0.10540000349283218</v>
      </c>
      <c r="I79" s="158">
        <v>0.10530000180006027</v>
      </c>
      <c r="J79" s="158">
        <v>0.10509999841451645</v>
      </c>
      <c r="K79" s="158">
        <v>0.10520000010728836</v>
      </c>
      <c r="L79" s="158">
        <v>0.10520000010728836</v>
      </c>
      <c r="M79" s="158">
        <v>0.10499999672174454</v>
      </c>
      <c r="N79" s="158">
        <v>0.10480000078678131</v>
      </c>
      <c r="O79" s="158">
        <v>0.10450000315904617</v>
      </c>
      <c r="P79" s="158">
        <v>0.10429999977350235</v>
      </c>
      <c r="Q79" s="158">
        <v>0.10429999977350235</v>
      </c>
      <c r="R79" s="158">
        <v>0.10429999977350235</v>
      </c>
      <c r="S79" s="158">
        <v>0.10440000146627426</v>
      </c>
      <c r="T79" s="158">
        <v>0.10459999740123749</v>
      </c>
      <c r="U79" s="158">
        <v>0.1046999990940094</v>
      </c>
      <c r="V79" s="158">
        <f t="shared" si="1"/>
        <v>0.10520000010728836</v>
      </c>
      <c r="W79" s="158">
        <v>0.10570000112056732</v>
      </c>
      <c r="X79" s="158">
        <v>0.10540000349283218</v>
      </c>
      <c r="Y79" s="158">
        <v>0.10509999841451645</v>
      </c>
      <c r="Z79" s="158">
        <v>0.10499999672174454</v>
      </c>
      <c r="AA79" s="158">
        <v>0.10480000078678131</v>
      </c>
      <c r="AB79" s="158">
        <v>0.1046999990940094</v>
      </c>
      <c r="AC79" s="158">
        <v>0.10459999740123749</v>
      </c>
      <c r="AD79" s="158">
        <v>0.10459999740123749</v>
      </c>
      <c r="AE79" s="158">
        <v>0.1046999990940094</v>
      </c>
      <c r="AF79" s="158">
        <v>0.10400000214576721</v>
      </c>
    </row>
    <row r="80" spans="1:32" x14ac:dyDescent="0.2">
      <c r="A80" s="158" t="s">
        <v>231</v>
      </c>
      <c r="B80" s="158">
        <v>0.10719999670982361</v>
      </c>
      <c r="C80" s="158">
        <v>0.10679999738931656</v>
      </c>
      <c r="D80" s="158">
        <v>0.10670000314712524</v>
      </c>
      <c r="E80" s="158">
        <v>0.10660000145435333</v>
      </c>
      <c r="F80" s="158">
        <v>0.10660000145435333</v>
      </c>
      <c r="G80" s="158">
        <v>0.10679999738931656</v>
      </c>
      <c r="H80" s="158">
        <v>0.10670000314712524</v>
      </c>
      <c r="I80" s="158">
        <v>0.10670000314712524</v>
      </c>
      <c r="J80" s="158">
        <v>0.10660000145435333</v>
      </c>
      <c r="K80" s="158">
        <v>0.10679999738931656</v>
      </c>
      <c r="L80" s="158">
        <v>0.10660000145435333</v>
      </c>
      <c r="M80" s="158">
        <v>0.10639999806880951</v>
      </c>
      <c r="N80" s="158">
        <v>0.10620000213384628</v>
      </c>
      <c r="O80" s="158">
        <v>0.10599999874830246</v>
      </c>
      <c r="P80" s="158">
        <v>0.10580000281333923</v>
      </c>
      <c r="Q80" s="158">
        <v>0.10580000281333923</v>
      </c>
      <c r="R80" s="158">
        <v>0.10580000281333923</v>
      </c>
      <c r="S80" s="158">
        <v>0.10599999874830246</v>
      </c>
      <c r="T80" s="158">
        <v>0.10620000213384628</v>
      </c>
      <c r="U80" s="158">
        <v>0.1062999963760376</v>
      </c>
      <c r="V80" s="158">
        <f t="shared" si="1"/>
        <v>0.1062999963760376</v>
      </c>
      <c r="W80" s="158">
        <v>0.1062999963760376</v>
      </c>
      <c r="X80" s="158">
        <v>0.10610000044107437</v>
      </c>
      <c r="Y80" s="158">
        <v>0.10580000281333923</v>
      </c>
      <c r="Z80" s="158">
        <v>0.10559999942779541</v>
      </c>
      <c r="AA80" s="158">
        <v>0.10540000349283218</v>
      </c>
      <c r="AB80" s="158">
        <v>0.10530000180006027</v>
      </c>
      <c r="AC80" s="158">
        <v>0.10520000010728836</v>
      </c>
      <c r="AD80" s="158">
        <v>0.10520000010728836</v>
      </c>
      <c r="AE80" s="158">
        <v>0.10530000180006027</v>
      </c>
      <c r="AF80" s="158">
        <v>0.10530000180006027</v>
      </c>
    </row>
    <row r="81" spans="1:32" x14ac:dyDescent="0.2">
      <c r="A81" s="158" t="s">
        <v>232</v>
      </c>
      <c r="B81" s="158">
        <v>0.10719999670982361</v>
      </c>
      <c r="C81" s="158">
        <v>0.10660000145435333</v>
      </c>
      <c r="D81" s="158">
        <v>0.1062999963760376</v>
      </c>
      <c r="E81" s="158">
        <v>0.1062999963760376</v>
      </c>
      <c r="F81" s="158">
        <v>0.10620000213384628</v>
      </c>
      <c r="G81" s="158">
        <v>0.1062999963760376</v>
      </c>
      <c r="H81" s="158">
        <v>0.10620000213384628</v>
      </c>
      <c r="I81" s="158">
        <v>0.10610000044107437</v>
      </c>
      <c r="J81" s="158">
        <v>0.10599999874830246</v>
      </c>
      <c r="K81" s="158">
        <v>0.10599999874830246</v>
      </c>
      <c r="L81" s="158">
        <v>0.10599999874830246</v>
      </c>
      <c r="M81" s="158">
        <v>0.10570000112056732</v>
      </c>
      <c r="N81" s="158">
        <v>0.1054999977350235</v>
      </c>
      <c r="O81" s="158">
        <v>0.10520000010728836</v>
      </c>
      <c r="P81" s="158">
        <v>0.10499999672174454</v>
      </c>
      <c r="Q81" s="158">
        <v>0.10499999672174454</v>
      </c>
      <c r="R81" s="158">
        <v>0.10499999672174454</v>
      </c>
      <c r="S81" s="158">
        <v>0.10520000010728836</v>
      </c>
      <c r="T81" s="158">
        <v>0.10540000349283218</v>
      </c>
      <c r="U81" s="158">
        <v>0.1054999977350235</v>
      </c>
      <c r="V81" s="158">
        <f t="shared" si="1"/>
        <v>0.10545000061392784</v>
      </c>
      <c r="W81" s="158">
        <v>0.10540000349283218</v>
      </c>
      <c r="X81" s="158">
        <v>0.10520000010728836</v>
      </c>
      <c r="Y81" s="158">
        <v>0.10490000247955322</v>
      </c>
      <c r="Z81" s="158">
        <v>0.10459999740123749</v>
      </c>
      <c r="AA81" s="158">
        <v>0.10440000146627426</v>
      </c>
      <c r="AB81" s="158">
        <v>0.10429999977350235</v>
      </c>
      <c r="AC81" s="158">
        <v>0.10419999808073044</v>
      </c>
      <c r="AD81" s="158">
        <v>0.10419999808073044</v>
      </c>
      <c r="AE81" s="158">
        <v>0.10419999808073044</v>
      </c>
      <c r="AF81" s="158">
        <v>0.10440000146627426</v>
      </c>
    </row>
    <row r="82" spans="1:32" x14ac:dyDescent="0.2">
      <c r="A82" s="158" t="s">
        <v>233</v>
      </c>
      <c r="B82" s="158">
        <v>0.10769999772310257</v>
      </c>
      <c r="C82" s="158">
        <v>0.10729999840259552</v>
      </c>
      <c r="D82" s="158">
        <v>0.10689999908208847</v>
      </c>
      <c r="E82" s="158">
        <v>0.10689999908208847</v>
      </c>
      <c r="F82" s="158">
        <v>0.10689999908208847</v>
      </c>
      <c r="G82" s="158">
        <v>0.10719999670982361</v>
      </c>
      <c r="H82" s="158">
        <v>0.10710000246763229</v>
      </c>
      <c r="I82" s="158">
        <v>0.10710000246763229</v>
      </c>
      <c r="J82" s="158">
        <v>0.10700000077486038</v>
      </c>
      <c r="K82" s="158">
        <v>0.10700000077486038</v>
      </c>
      <c r="L82" s="158">
        <v>0.10689999908208847</v>
      </c>
      <c r="M82" s="158">
        <v>0.10670000314712524</v>
      </c>
      <c r="N82" s="158">
        <v>0.10639999806880951</v>
      </c>
      <c r="O82" s="158">
        <v>0.10620000213384628</v>
      </c>
      <c r="P82" s="158">
        <v>0.10599999874830246</v>
      </c>
      <c r="Q82" s="158">
        <v>0.10589999705553055</v>
      </c>
      <c r="R82" s="158">
        <v>0.10599999874830246</v>
      </c>
      <c r="S82" s="158">
        <v>0.10620000213384628</v>
      </c>
      <c r="T82" s="158">
        <v>0.10670000314712524</v>
      </c>
      <c r="U82" s="158">
        <v>0.10660000145435333</v>
      </c>
      <c r="V82" s="158">
        <f t="shared" si="1"/>
        <v>0.10660000145435333</v>
      </c>
      <c r="W82" s="158">
        <v>0.10660000145435333</v>
      </c>
      <c r="X82" s="158">
        <v>0.1062999963760376</v>
      </c>
      <c r="Y82" s="158">
        <v>0.10620000213384628</v>
      </c>
      <c r="Z82" s="158">
        <v>0.10559999942779541</v>
      </c>
      <c r="AA82" s="158">
        <v>0.1054999977350235</v>
      </c>
      <c r="AB82" s="158">
        <v>0.10530000180006027</v>
      </c>
      <c r="AC82" s="158">
        <v>0.10509999841451645</v>
      </c>
      <c r="AD82" s="158">
        <v>0.10509999841451645</v>
      </c>
      <c r="AE82" s="158">
        <v>0.10520000010728836</v>
      </c>
      <c r="AF82" s="158">
        <v>0.10530000180006027</v>
      </c>
    </row>
    <row r="83" spans="1:32" x14ac:dyDescent="0.2">
      <c r="A83" s="158" t="s">
        <v>234</v>
      </c>
      <c r="B83" s="158">
        <v>0.10710000246763229</v>
      </c>
      <c r="C83" s="158">
        <v>0.10679999738931656</v>
      </c>
      <c r="D83" s="158">
        <v>0.10639999806880951</v>
      </c>
      <c r="E83" s="158">
        <v>0.10639999806880951</v>
      </c>
      <c r="F83" s="158">
        <v>0.1062999963760376</v>
      </c>
      <c r="G83" s="158">
        <v>0.10649999976158142</v>
      </c>
      <c r="H83" s="158">
        <v>0.10639999806880951</v>
      </c>
      <c r="I83" s="158">
        <v>0.1062999963760376</v>
      </c>
      <c r="J83" s="158">
        <v>0.10639999806880951</v>
      </c>
      <c r="K83" s="158">
        <v>0.10620000213384628</v>
      </c>
      <c r="L83" s="158">
        <v>0.10620000213384628</v>
      </c>
      <c r="M83" s="158">
        <v>0.10599999874830246</v>
      </c>
      <c r="N83" s="158">
        <v>0.10580000281333923</v>
      </c>
      <c r="O83" s="158">
        <v>0.1054999977350235</v>
      </c>
      <c r="P83" s="158">
        <v>0.10530000180006027</v>
      </c>
      <c r="Q83" s="158">
        <v>0.10530000180006027</v>
      </c>
      <c r="R83" s="158">
        <v>0.10540000349283218</v>
      </c>
      <c r="S83" s="158">
        <v>0.10559999942779541</v>
      </c>
      <c r="T83" s="158">
        <v>0.10580000281333923</v>
      </c>
      <c r="U83" s="158">
        <v>0.10589999705553055</v>
      </c>
      <c r="V83" s="158">
        <f t="shared" si="1"/>
        <v>0.10589999705553055</v>
      </c>
      <c r="W83" s="158">
        <v>0.10589999705553055</v>
      </c>
      <c r="X83" s="158">
        <v>0.10570000112056732</v>
      </c>
      <c r="Y83" s="158">
        <v>0.10530000180006027</v>
      </c>
      <c r="Z83" s="158">
        <v>0.10509999841451645</v>
      </c>
      <c r="AA83" s="158">
        <v>0.10520000010728836</v>
      </c>
      <c r="AB83" s="158">
        <v>0.10480000078678131</v>
      </c>
      <c r="AC83" s="158">
        <v>0.10459999740123749</v>
      </c>
      <c r="AD83" s="158">
        <v>0.1046999990940094</v>
      </c>
      <c r="AE83" s="158">
        <v>0.1046999990940094</v>
      </c>
      <c r="AF83" s="158">
        <v>0.10509999841451645</v>
      </c>
    </row>
    <row r="84" spans="1:32" x14ac:dyDescent="0.2">
      <c r="A84" s="158" t="s">
        <v>235</v>
      </c>
      <c r="B84" s="158">
        <v>0.10719999670982361</v>
      </c>
      <c r="C84" s="158">
        <v>0.10679999738931656</v>
      </c>
      <c r="D84" s="158">
        <v>0.10670000314712524</v>
      </c>
      <c r="E84" s="158">
        <v>0.10649999976158142</v>
      </c>
      <c r="F84" s="158">
        <v>0.10639999806880951</v>
      </c>
      <c r="G84" s="158">
        <v>0.10670000314712524</v>
      </c>
      <c r="H84" s="158">
        <v>0.10660000145435333</v>
      </c>
      <c r="I84" s="158">
        <v>0.10639999806880951</v>
      </c>
      <c r="J84" s="158">
        <v>0.10639999806880951</v>
      </c>
      <c r="K84" s="158">
        <v>0.10639999806880951</v>
      </c>
      <c r="L84" s="158">
        <v>0.10639999806880951</v>
      </c>
      <c r="M84" s="158">
        <v>0.10610000044107437</v>
      </c>
      <c r="N84" s="158">
        <v>0.10580000281333923</v>
      </c>
      <c r="O84" s="158">
        <v>0.10559999942779541</v>
      </c>
      <c r="P84" s="158">
        <v>0.10540000349283218</v>
      </c>
      <c r="Q84" s="158">
        <v>0.10540000349283218</v>
      </c>
      <c r="R84" s="158">
        <v>0.1054999977350235</v>
      </c>
      <c r="S84" s="158">
        <v>0.10559999942779541</v>
      </c>
      <c r="T84" s="158">
        <v>0.10589999705553055</v>
      </c>
      <c r="U84" s="158">
        <v>0.10599999874830246</v>
      </c>
      <c r="V84" s="158">
        <f t="shared" si="1"/>
        <v>0.10604999959468842</v>
      </c>
      <c r="W84" s="158">
        <v>0.10610000044107437</v>
      </c>
      <c r="X84" s="158">
        <v>0.10580000281333923</v>
      </c>
      <c r="Y84" s="158">
        <v>0.1054999977350235</v>
      </c>
      <c r="Z84" s="158">
        <v>0.10520000010728836</v>
      </c>
      <c r="AA84" s="158">
        <v>0.10499999672174454</v>
      </c>
      <c r="AB84" s="158">
        <v>0.10490000247955322</v>
      </c>
      <c r="AC84" s="158">
        <v>0.1046999990940094</v>
      </c>
      <c r="AD84" s="158">
        <v>0.10480000078678131</v>
      </c>
      <c r="AE84" s="158">
        <v>0.10480000078678131</v>
      </c>
      <c r="AF84" s="158">
        <v>0.10499999672174454</v>
      </c>
    </row>
    <row r="85" spans="1:32" x14ac:dyDescent="0.2">
      <c r="A85" s="158" t="s">
        <v>236</v>
      </c>
      <c r="B85" s="158">
        <v>0.10639999806880951</v>
      </c>
      <c r="C85" s="158">
        <v>0.10599999874830246</v>
      </c>
      <c r="D85" s="158">
        <v>0.10580000281333923</v>
      </c>
      <c r="E85" s="158">
        <v>0.10580000281333923</v>
      </c>
      <c r="F85" s="158">
        <v>0.10610000044107437</v>
      </c>
      <c r="G85" s="158">
        <v>0.10620000213384628</v>
      </c>
      <c r="H85" s="158">
        <v>0.10610000044107437</v>
      </c>
      <c r="I85" s="158">
        <v>0.10599999874830246</v>
      </c>
      <c r="J85" s="158">
        <v>0.10580000281333923</v>
      </c>
      <c r="K85" s="158">
        <v>0.10580000281333923</v>
      </c>
      <c r="L85" s="158">
        <v>0.10580000281333923</v>
      </c>
      <c r="M85" s="158">
        <v>0.10559999942779541</v>
      </c>
      <c r="N85" s="158">
        <v>0.10530000180006027</v>
      </c>
      <c r="O85" s="158">
        <v>0.10490000247955322</v>
      </c>
      <c r="P85" s="158">
        <v>0.10490000247955322</v>
      </c>
      <c r="Q85" s="158">
        <v>0.10480000078678131</v>
      </c>
      <c r="R85" s="158">
        <v>0.10480000078678131</v>
      </c>
      <c r="S85" s="158">
        <v>0.10509999841451645</v>
      </c>
      <c r="T85" s="158">
        <v>0.10530000180006027</v>
      </c>
      <c r="U85" s="158">
        <v>0.10559999942779541</v>
      </c>
      <c r="V85" s="158">
        <f t="shared" si="1"/>
        <v>0.10619999840855598</v>
      </c>
      <c r="W85" s="158">
        <v>0.10679999738931656</v>
      </c>
      <c r="X85" s="158">
        <v>0.1062999963760376</v>
      </c>
      <c r="Y85" s="158">
        <v>0.10589999705553055</v>
      </c>
      <c r="Z85" s="158">
        <v>0.10580000281333923</v>
      </c>
      <c r="AA85" s="158">
        <v>0.10570000112056732</v>
      </c>
      <c r="AB85" s="158">
        <v>0.10540000349283218</v>
      </c>
      <c r="AC85" s="158">
        <v>0.1054999977350235</v>
      </c>
      <c r="AD85" s="158">
        <v>0.10520000010728836</v>
      </c>
      <c r="AE85" s="158">
        <v>0.10540000349283218</v>
      </c>
      <c r="AF85" s="158">
        <v>0.10480000078678131</v>
      </c>
    </row>
    <row r="86" spans="1:32" x14ac:dyDescent="0.2">
      <c r="A86" s="158" t="s">
        <v>237</v>
      </c>
      <c r="B86" s="158">
        <v>0.10670000314712524</v>
      </c>
      <c r="C86" s="158">
        <v>0.1062999963760376</v>
      </c>
      <c r="D86" s="158">
        <v>0.10620000213384628</v>
      </c>
      <c r="E86" s="158">
        <v>0.10610000044107437</v>
      </c>
      <c r="F86" s="158">
        <v>0.10599999874830246</v>
      </c>
      <c r="G86" s="158">
        <v>0.1062999963760376</v>
      </c>
      <c r="H86" s="158">
        <v>0.10620000213384628</v>
      </c>
      <c r="I86" s="158">
        <v>0.10610000044107437</v>
      </c>
      <c r="J86" s="158">
        <v>0.10649999976158142</v>
      </c>
      <c r="K86" s="158">
        <v>0.10599999874830246</v>
      </c>
      <c r="L86" s="158">
        <v>0.10610000044107437</v>
      </c>
      <c r="M86" s="158">
        <v>0.10589999705553055</v>
      </c>
      <c r="N86" s="158">
        <v>0.1054999977350235</v>
      </c>
      <c r="O86" s="158">
        <v>0.10520000010728836</v>
      </c>
      <c r="P86" s="158">
        <v>0.10499999672174454</v>
      </c>
      <c r="Q86" s="158">
        <v>0.10499999672174454</v>
      </c>
      <c r="R86" s="158">
        <v>0.10509999841451645</v>
      </c>
      <c r="S86" s="158">
        <v>0.10520000010728836</v>
      </c>
      <c r="T86" s="158">
        <v>0.1054999977350235</v>
      </c>
      <c r="U86" s="158">
        <v>0.10559999942779541</v>
      </c>
      <c r="V86" s="158">
        <f t="shared" si="1"/>
        <v>0.10559999942779541</v>
      </c>
      <c r="W86" s="158">
        <v>0.10559999942779541</v>
      </c>
      <c r="X86" s="158">
        <v>0.10540000349283218</v>
      </c>
      <c r="Y86" s="158">
        <v>0.10509999841451645</v>
      </c>
      <c r="Z86" s="158">
        <v>0.10480000078678131</v>
      </c>
      <c r="AA86" s="158">
        <v>0.10459999740123749</v>
      </c>
      <c r="AB86" s="158">
        <v>0.10440000146627426</v>
      </c>
      <c r="AC86" s="158">
        <v>0.10429999977350235</v>
      </c>
      <c r="AD86" s="158">
        <v>0.10429999977350235</v>
      </c>
      <c r="AE86" s="158">
        <v>0.10440000146627426</v>
      </c>
      <c r="AF86" s="158">
        <v>0.10459999740123749</v>
      </c>
    </row>
    <row r="87" spans="1:32" x14ac:dyDescent="0.2">
      <c r="A87" s="158" t="s">
        <v>238</v>
      </c>
      <c r="B87" s="158">
        <v>0.10679999738931656</v>
      </c>
      <c r="C87" s="158">
        <v>0.10649999976158142</v>
      </c>
      <c r="D87" s="158">
        <v>0.10639999806880951</v>
      </c>
      <c r="E87" s="158">
        <v>0.1062999963760376</v>
      </c>
      <c r="F87" s="158">
        <v>0.10620000213384628</v>
      </c>
      <c r="G87" s="158">
        <v>0.10639999806880951</v>
      </c>
      <c r="H87" s="158">
        <v>0.1062999963760376</v>
      </c>
      <c r="I87" s="158">
        <v>0.10620000213384628</v>
      </c>
      <c r="J87" s="158">
        <v>0.10610000044107437</v>
      </c>
      <c r="K87" s="158">
        <v>0.10610000044107437</v>
      </c>
      <c r="L87" s="158">
        <v>0.10610000044107437</v>
      </c>
      <c r="M87" s="158">
        <v>0.10580000281333923</v>
      </c>
      <c r="N87" s="158">
        <v>0.10559999942779541</v>
      </c>
      <c r="O87" s="158">
        <v>0.1054999977350235</v>
      </c>
      <c r="P87" s="158">
        <v>0.10509999841451645</v>
      </c>
      <c r="Q87" s="158">
        <v>0.10509999841451645</v>
      </c>
      <c r="R87" s="158">
        <v>0.10520000010728836</v>
      </c>
      <c r="S87" s="158">
        <v>0.10530000180006027</v>
      </c>
      <c r="T87" s="158">
        <v>0.10559999942779541</v>
      </c>
      <c r="U87" s="158">
        <v>0.10559999942779541</v>
      </c>
      <c r="V87" s="158">
        <f t="shared" si="1"/>
        <v>0.10565000027418137</v>
      </c>
      <c r="W87" s="158">
        <v>0.10570000112056732</v>
      </c>
      <c r="X87" s="158">
        <v>0.10540000349283218</v>
      </c>
      <c r="Y87" s="158">
        <v>0.10509999841451645</v>
      </c>
      <c r="Z87" s="158">
        <v>0.10490000247955322</v>
      </c>
      <c r="AA87" s="158">
        <v>0.10459999740123749</v>
      </c>
      <c r="AB87" s="158">
        <v>0.10450000315904617</v>
      </c>
      <c r="AC87" s="158">
        <v>0.10440000146627426</v>
      </c>
      <c r="AD87" s="158">
        <v>0.10440000146627426</v>
      </c>
      <c r="AE87" s="158">
        <v>0.10440000146627426</v>
      </c>
      <c r="AF87" s="158">
        <v>0.10459999740123749</v>
      </c>
    </row>
    <row r="88" spans="1:32" x14ac:dyDescent="0.2">
      <c r="A88" s="158" t="s">
        <v>239</v>
      </c>
      <c r="B88" s="158">
        <v>0.10679999738931656</v>
      </c>
      <c r="C88" s="158">
        <v>0.1062999963760376</v>
      </c>
      <c r="D88" s="158">
        <v>0.10620000213384628</v>
      </c>
      <c r="E88" s="158">
        <v>0.10610000044107437</v>
      </c>
      <c r="F88" s="158">
        <v>0.10610000044107437</v>
      </c>
      <c r="G88" s="158">
        <v>0.10620000213384628</v>
      </c>
      <c r="H88" s="158">
        <v>0.10620000213384628</v>
      </c>
      <c r="I88" s="158">
        <v>0.10599999874830246</v>
      </c>
      <c r="J88" s="158">
        <v>0.10589999705553055</v>
      </c>
      <c r="K88" s="158">
        <v>0.10589999705553055</v>
      </c>
      <c r="L88" s="158">
        <v>0.10589999705553055</v>
      </c>
      <c r="M88" s="158">
        <v>0.10570000112056732</v>
      </c>
      <c r="N88" s="158">
        <v>0.10540000349283218</v>
      </c>
      <c r="O88" s="158">
        <v>0.10520000010728836</v>
      </c>
      <c r="P88" s="158">
        <v>0.10490000247955322</v>
      </c>
      <c r="Q88" s="158">
        <v>0.10499999672174454</v>
      </c>
      <c r="R88" s="158">
        <v>0.10499999672174454</v>
      </c>
      <c r="S88" s="158">
        <v>0.10520000010728836</v>
      </c>
      <c r="T88" s="158">
        <v>0.1054999977350235</v>
      </c>
      <c r="U88" s="158">
        <v>0.1054999977350235</v>
      </c>
      <c r="V88" s="158">
        <f t="shared" si="1"/>
        <v>0.1054999977350235</v>
      </c>
      <c r="W88" s="158">
        <v>0.1054999977350235</v>
      </c>
      <c r="X88" s="158">
        <v>0.10520000010728836</v>
      </c>
      <c r="Y88" s="158">
        <v>0.10499999672174454</v>
      </c>
      <c r="Z88" s="158">
        <v>0.1046999990940094</v>
      </c>
      <c r="AA88" s="158">
        <v>0.10450000315904617</v>
      </c>
      <c r="AB88" s="158">
        <v>0.10440000146627426</v>
      </c>
      <c r="AC88" s="158">
        <v>0.10429999977350235</v>
      </c>
      <c r="AD88" s="158">
        <v>0.10419999808073044</v>
      </c>
      <c r="AE88" s="158">
        <v>0.10429999977350235</v>
      </c>
      <c r="AF88" s="158">
        <v>0.10450000315904617</v>
      </c>
    </row>
    <row r="89" spans="1:32" x14ac:dyDescent="0.2">
      <c r="A89" s="158" t="s">
        <v>240</v>
      </c>
      <c r="B89" s="158">
        <v>0.10649999976158142</v>
      </c>
      <c r="C89" s="158">
        <v>0.10610000044107437</v>
      </c>
      <c r="D89" s="158">
        <v>0.10589999705553055</v>
      </c>
      <c r="E89" s="158">
        <v>0.10589999705553055</v>
      </c>
      <c r="F89" s="158">
        <v>0.10589999705553055</v>
      </c>
      <c r="G89" s="158">
        <v>0.10599999874830246</v>
      </c>
      <c r="H89" s="158">
        <v>0.10620000213384628</v>
      </c>
      <c r="I89" s="158">
        <v>0.10570000112056732</v>
      </c>
      <c r="J89" s="158">
        <v>0.10570000112056732</v>
      </c>
      <c r="K89" s="158">
        <v>0.10559999942779541</v>
      </c>
      <c r="L89" s="158">
        <v>0.10570000112056732</v>
      </c>
      <c r="M89" s="158">
        <v>0.10540000349283218</v>
      </c>
      <c r="N89" s="158">
        <v>0.10520000010728836</v>
      </c>
      <c r="O89" s="158">
        <v>0.10490000247955322</v>
      </c>
      <c r="P89" s="158">
        <v>0.1046999990940094</v>
      </c>
      <c r="Q89" s="158">
        <v>0.1046999990940094</v>
      </c>
      <c r="R89" s="158">
        <v>0.1046999990940094</v>
      </c>
      <c r="S89" s="158">
        <v>0.10509999841451645</v>
      </c>
      <c r="T89" s="158">
        <v>0.10520000010728836</v>
      </c>
      <c r="U89" s="158">
        <v>0.10530000180006027</v>
      </c>
      <c r="V89" s="158">
        <f t="shared" si="1"/>
        <v>0.10530000180006027</v>
      </c>
      <c r="W89" s="158">
        <v>0.10530000180006027</v>
      </c>
      <c r="X89" s="158">
        <v>0.10499999672174454</v>
      </c>
      <c r="Y89" s="158">
        <v>0.10480000078678131</v>
      </c>
      <c r="Z89" s="158">
        <v>0.10450000315904617</v>
      </c>
      <c r="AA89" s="158">
        <v>0.10419999808073044</v>
      </c>
      <c r="AB89" s="158">
        <v>0.10409999638795853</v>
      </c>
      <c r="AC89" s="158">
        <v>0.10400000214576721</v>
      </c>
      <c r="AD89" s="158">
        <v>0.10400000214576721</v>
      </c>
      <c r="AE89" s="158">
        <v>0.10409999638795853</v>
      </c>
      <c r="AF89" s="158">
        <v>0.10419999808073044</v>
      </c>
    </row>
    <row r="90" spans="1:32" x14ac:dyDescent="0.2">
      <c r="A90" s="158" t="s">
        <v>241</v>
      </c>
      <c r="B90" s="158">
        <v>0.10740000009536743</v>
      </c>
      <c r="C90" s="158">
        <v>0.10700000077486038</v>
      </c>
      <c r="D90" s="158">
        <v>0.10700000077486038</v>
      </c>
      <c r="E90" s="158">
        <v>0.10670000314712524</v>
      </c>
      <c r="F90" s="158">
        <v>0.10660000145435333</v>
      </c>
      <c r="G90" s="158">
        <v>0.10689999908208847</v>
      </c>
      <c r="H90" s="158">
        <v>0.10670000314712524</v>
      </c>
      <c r="I90" s="158">
        <v>0.10660000145435333</v>
      </c>
      <c r="J90" s="158">
        <v>0.10649999976158142</v>
      </c>
      <c r="K90" s="158">
        <v>0.10649999976158142</v>
      </c>
      <c r="L90" s="158">
        <v>0.10679999738931656</v>
      </c>
      <c r="M90" s="158">
        <v>0.1062999963760376</v>
      </c>
      <c r="N90" s="158">
        <v>0.10599999874830246</v>
      </c>
      <c r="O90" s="158">
        <v>0.10580000281333923</v>
      </c>
      <c r="P90" s="158">
        <v>0.1054999977350235</v>
      </c>
      <c r="Q90" s="158">
        <v>0.1054999977350235</v>
      </c>
      <c r="R90" s="158">
        <v>0.10559999942779541</v>
      </c>
      <c r="S90" s="158">
        <v>0.10570000112056732</v>
      </c>
      <c r="T90" s="158">
        <v>0.10599999874830246</v>
      </c>
      <c r="U90" s="158">
        <v>0.10610000044107437</v>
      </c>
      <c r="V90" s="158">
        <f t="shared" si="1"/>
        <v>0.10610000044107437</v>
      </c>
      <c r="W90" s="158">
        <v>0.10610000044107437</v>
      </c>
      <c r="X90" s="158">
        <v>0.10580000281333923</v>
      </c>
      <c r="Y90" s="158">
        <v>0.1054999977350235</v>
      </c>
      <c r="Z90" s="158">
        <v>0.10530000180006027</v>
      </c>
      <c r="AA90" s="158">
        <v>0.10499999672174454</v>
      </c>
      <c r="AB90" s="158">
        <v>0.10490000247955322</v>
      </c>
      <c r="AC90" s="158">
        <v>0.10480000078678131</v>
      </c>
      <c r="AD90" s="158">
        <v>0.10490000247955322</v>
      </c>
      <c r="AE90" s="158">
        <v>0.10480000078678131</v>
      </c>
      <c r="AF90" s="158">
        <v>0.10499999672174454</v>
      </c>
    </row>
    <row r="91" spans="1:32" x14ac:dyDescent="0.2">
      <c r="A91" s="158" t="s">
        <v>242</v>
      </c>
      <c r="B91" s="158">
        <v>0.10719999670982361</v>
      </c>
      <c r="C91" s="158">
        <v>0.10660000145435333</v>
      </c>
      <c r="D91" s="158">
        <v>0.10639999806880951</v>
      </c>
      <c r="E91" s="158">
        <v>0.10639999806880951</v>
      </c>
      <c r="F91" s="158">
        <v>0.10620000213384628</v>
      </c>
      <c r="G91" s="158">
        <v>0.10639999806880951</v>
      </c>
      <c r="H91" s="158">
        <v>0.10620000213384628</v>
      </c>
      <c r="I91" s="158">
        <v>0.10610000044107437</v>
      </c>
      <c r="J91" s="158">
        <v>0.10599999874830246</v>
      </c>
      <c r="K91" s="158">
        <v>0.10610000044107437</v>
      </c>
      <c r="L91" s="158">
        <v>0.10599999874830246</v>
      </c>
      <c r="M91" s="158">
        <v>0.10580000281333923</v>
      </c>
      <c r="N91" s="158">
        <v>0.1054999977350235</v>
      </c>
      <c r="O91" s="158">
        <v>0.10540000349283218</v>
      </c>
      <c r="P91" s="158">
        <v>0.10499999672174454</v>
      </c>
      <c r="Q91" s="158">
        <v>0.10509999841451645</v>
      </c>
      <c r="R91" s="158">
        <v>0.10509999841451645</v>
      </c>
      <c r="S91" s="158">
        <v>0.10520000010728836</v>
      </c>
      <c r="T91" s="158">
        <v>0.1054999977350235</v>
      </c>
      <c r="U91" s="158">
        <v>0.10559999942779541</v>
      </c>
      <c r="V91" s="158">
        <f t="shared" si="1"/>
        <v>0.10559999942779541</v>
      </c>
      <c r="W91" s="158">
        <v>0.10559999942779541</v>
      </c>
      <c r="X91" s="158">
        <v>0.10540000349283218</v>
      </c>
      <c r="Y91" s="158">
        <v>0.10509999841451645</v>
      </c>
      <c r="Z91" s="158">
        <v>0.10490000247955322</v>
      </c>
      <c r="AA91" s="158">
        <v>0.10459999740123749</v>
      </c>
      <c r="AB91" s="158">
        <v>0.10440000146627426</v>
      </c>
      <c r="AC91" s="158">
        <v>0.10440000146627426</v>
      </c>
      <c r="AD91" s="158">
        <v>0.10440000146627426</v>
      </c>
      <c r="AE91" s="158">
        <v>0.10440000146627426</v>
      </c>
      <c r="AF91" s="158">
        <v>0.10459999740123749</v>
      </c>
    </row>
    <row r="92" spans="1:32" x14ac:dyDescent="0.2">
      <c r="A92" s="158" t="s">
        <v>243</v>
      </c>
      <c r="B92" s="158">
        <v>0.10740000009536743</v>
      </c>
      <c r="C92" s="158">
        <v>0.10679999738931656</v>
      </c>
      <c r="D92" s="158">
        <v>0.10660000145435333</v>
      </c>
      <c r="E92" s="158">
        <v>0.10639999806880951</v>
      </c>
      <c r="F92" s="158">
        <v>0.1062999963760376</v>
      </c>
      <c r="G92" s="158">
        <v>0.10649999976158142</v>
      </c>
      <c r="H92" s="158">
        <v>0.1062999963760376</v>
      </c>
      <c r="I92" s="158">
        <v>0.10620000213384628</v>
      </c>
      <c r="J92" s="158">
        <v>0.10610000044107437</v>
      </c>
      <c r="K92" s="158">
        <v>0.10610000044107437</v>
      </c>
      <c r="L92" s="158">
        <v>0.10599999874830246</v>
      </c>
      <c r="M92" s="158">
        <v>0.10580000281333923</v>
      </c>
      <c r="N92" s="158">
        <v>0.1054999977350235</v>
      </c>
      <c r="O92" s="158">
        <v>0.10530000180006027</v>
      </c>
      <c r="P92" s="158">
        <v>0.10499999672174454</v>
      </c>
      <c r="Q92" s="158">
        <v>0.10499999672174454</v>
      </c>
      <c r="R92" s="158">
        <v>0.10509999841451645</v>
      </c>
      <c r="S92" s="158">
        <v>0.10520000010728836</v>
      </c>
      <c r="T92" s="158">
        <v>0.1054999977350235</v>
      </c>
      <c r="U92" s="158">
        <v>0.10559999942779541</v>
      </c>
      <c r="V92" s="158">
        <f t="shared" si="1"/>
        <v>0.10559999942779541</v>
      </c>
      <c r="W92" s="158">
        <v>0.10559999942779541</v>
      </c>
      <c r="X92" s="158">
        <v>0.10530000180006027</v>
      </c>
      <c r="Y92" s="158">
        <v>0.10509999841451645</v>
      </c>
      <c r="Z92" s="158">
        <v>0.10480000078678131</v>
      </c>
      <c r="AA92" s="158">
        <v>0.10450000315904617</v>
      </c>
      <c r="AB92" s="158">
        <v>0.10440000146627426</v>
      </c>
      <c r="AC92" s="158">
        <v>0.10429999977350235</v>
      </c>
      <c r="AD92" s="158">
        <v>0.10429999977350235</v>
      </c>
      <c r="AE92" s="158">
        <v>0.10429999977350235</v>
      </c>
      <c r="AF92" s="158">
        <v>0.10450000315904617</v>
      </c>
    </row>
    <row r="93" spans="1:32" x14ac:dyDescent="0.2">
      <c r="A93" s="158" t="s">
        <v>244</v>
      </c>
      <c r="B93" s="158">
        <v>0.10750000178813934</v>
      </c>
      <c r="C93" s="158">
        <v>0.10639999806880951</v>
      </c>
      <c r="D93" s="158">
        <v>0.10639999806880951</v>
      </c>
      <c r="E93" s="158">
        <v>0.10670000314712524</v>
      </c>
      <c r="F93" s="158">
        <v>0.10639999806880951</v>
      </c>
      <c r="G93" s="158">
        <v>0.10660000145435333</v>
      </c>
      <c r="H93" s="158">
        <v>0.1062999963760376</v>
      </c>
      <c r="I93" s="158">
        <v>0.10620000213384628</v>
      </c>
      <c r="J93" s="158">
        <v>0.10599999874830246</v>
      </c>
      <c r="K93" s="158">
        <v>0.10599999874830246</v>
      </c>
      <c r="L93" s="158">
        <v>0.10599999874830246</v>
      </c>
      <c r="M93" s="158">
        <v>0.10570000112056732</v>
      </c>
      <c r="N93" s="158">
        <v>0.1054999977350235</v>
      </c>
      <c r="O93" s="158">
        <v>0.10530000180006027</v>
      </c>
      <c r="P93" s="158">
        <v>0.10490000247955322</v>
      </c>
      <c r="Q93" s="158">
        <v>0.10490000247955322</v>
      </c>
      <c r="R93" s="158">
        <v>0.10499999672174454</v>
      </c>
      <c r="S93" s="158">
        <v>0.10509999841451645</v>
      </c>
      <c r="T93" s="158">
        <v>0.10530000180006027</v>
      </c>
      <c r="U93" s="158">
        <v>0.10530000180006027</v>
      </c>
      <c r="V93" s="158">
        <f t="shared" si="1"/>
        <v>0.10530000180006027</v>
      </c>
      <c r="W93" s="158">
        <v>0.10530000180006027</v>
      </c>
      <c r="X93" s="158">
        <v>0.10499999672174454</v>
      </c>
      <c r="Y93" s="158">
        <v>0.1046999990940094</v>
      </c>
      <c r="Z93" s="158">
        <v>0.10450000315904617</v>
      </c>
      <c r="AA93" s="158">
        <v>0.10419999808073044</v>
      </c>
      <c r="AB93" s="158">
        <v>0.10400000214576721</v>
      </c>
      <c r="AC93" s="158">
        <v>0.10400000214576721</v>
      </c>
      <c r="AD93" s="158">
        <v>0.10409999638795853</v>
      </c>
      <c r="AE93" s="158">
        <v>0.1039000004529953</v>
      </c>
      <c r="AF93" s="158">
        <v>0.10350000113248825</v>
      </c>
    </row>
    <row r="94" spans="1:32" x14ac:dyDescent="0.2">
      <c r="A94" s="156" t="s">
        <v>388</v>
      </c>
      <c r="B94" s="156">
        <f>$B$55-AVERAGE($B$58,$B$59,$B$62,$B$66,$B$68,$B$70,$B$71,$B$79,$B$85,$B$86,$B$89)</f>
        <v>6.0908767310055567E-4</v>
      </c>
      <c r="C94" s="156">
        <f>$C$55-AVERAGE($C$58,$C$59,$C$62,$C$66,$C$68,$C$70,$C$71,$C$79,$C$85,$C$86,$C$89)</f>
        <v>6.8182024088772608E-4</v>
      </c>
      <c r="D94" s="156">
        <f>$D$55-AVERAGE($D$58,$D$59,$D$62,$D$66,$D$68,$D$70,$D$71,$D$79,$D$85,$D$86,$D$89)</f>
        <v>1.1727281592108924E-3</v>
      </c>
      <c r="E94" s="156">
        <f>$E$55-AVERAGE($E$58,$E$59,$E$62,$E$66,$E$68,$E$70,$E$71,$E$79,$E$85,$E$86,$E$89)</f>
        <v>1.5181817791678626E-3</v>
      </c>
      <c r="F94" s="156">
        <f>$F$55-AVERAGE($F$58,$F$59,$F$62,$F$66,$F$68,$F$70,$F$71,$F$79,$F$85,$F$86,$F$89)</f>
        <v>2.136365933851761E-3</v>
      </c>
      <c r="G94" s="156">
        <f>$G$55-AVERAGE($G$58,$G$59,$G$62,$G$66,$G$68,$G$70,$G$71,$G$79,$G$85,$G$86,$G$89)</f>
        <v>3.4000006589022524E-3</v>
      </c>
      <c r="H94" s="156">
        <f>$H$55-AVERAGE($H$58,$H$59,$H$62,$H$66,$H$68,$H$70,$H$71,$H$79,$H$85,$H$86,$H$89)</f>
        <v>5.3818205540830388E-3</v>
      </c>
      <c r="I94" s="156">
        <f>$I$55-AVERAGE($I$58,$I$59,$I$62,$I$66,$I$68,$I$70,$I$71,$I$79,$I$85,$I$86,$I$89)</f>
        <v>8.9272734793749697E-3</v>
      </c>
      <c r="J94" s="156">
        <f>$J$55-AVERAGE($J$58,$J$59,$J$62,$J$66,$J$68,$J$70,$J$71,$J$79,$J$85,$J$86,$J$89)</f>
        <v>1.4863633296706466E-2</v>
      </c>
      <c r="K94" s="156">
        <f>$K$55-AVERAGE($K$58,$K$59,$K$62,$K$66,$K$68,$K$70,$K$71,$K$79,$K$85,$K$86,$K$89)</f>
        <v>2.4227278476411651E-2</v>
      </c>
      <c r="L94" s="156">
        <f>$L$55-AVERAGE($L$58,$L$59,$L$62,$L$66,$L$68,$L$70,$L$71,$L$79,$L$85,$L$86,$L$89)</f>
        <v>3.8200003856962372E-2</v>
      </c>
      <c r="M94" s="156">
        <f>$M$55-AVERAGE($M$58,$M$59,$M$62,$M$66,$M$68,$M$70,$M$71,$M$79,$M$85,$M$86,$M$89)</f>
        <v>5.7654548097740524E-2</v>
      </c>
      <c r="N94" s="156">
        <f>$N$55-AVERAGE($N$58,$N$59,$N$62,$N$66,$N$68,$N$70,$N$71,$N$79,$N$85,$N$86,$N$89)</f>
        <v>8.3281819793311035E-2</v>
      </c>
      <c r="O94" s="156">
        <f>$O$55-AVERAGE($O$58,$O$59,$O$62,$O$66,$O$68,$O$70,$O$71,$O$79,$O$85,$O$86,$O$89)</f>
        <v>0.11516363783316179</v>
      </c>
      <c r="P94" s="156">
        <f>$P$55-AVERAGE($P$58,$P$59,$P$62,$P$66,$P$68,$P$70,$P$71,$P$79,$P$85,$P$86,$P$89)</f>
        <v>0.15083635598421097</v>
      </c>
      <c r="Q94" s="156">
        <f>$Q$55-AVERAGE($Q$58,$Q$59,$Q$62,$Q$66,$Q$68,$Q$70,$Q$71,$Q$79,$Q$85,$Q$86,$Q$89)</f>
        <v>0.19274545596404508</v>
      </c>
      <c r="R94" s="156">
        <f>$R$55-AVERAGE($R$58,$R$59,$R$62,$R$66,$R$68,$R$70,$R$71,$R$79,$R$85,$R$86,$R$89)</f>
        <v>0.23753637820482254</v>
      </c>
      <c r="S94" s="156">
        <f>$S$55-AVERAGE($S$58,$S$59,$S$62,$S$66,$S$68,$S$70,$S$71,$S$79,$S$85,$S$86,$S$89)</f>
        <v>0.28062728589231317</v>
      </c>
      <c r="T94" s="156">
        <f>$T$55-AVERAGE($T$58,$T$59,$T$62,$T$66,$T$68,$T$70,$T$71,$T$79,$T$85,$T$86,$T$89)</f>
        <v>0.31154545599764044</v>
      </c>
      <c r="U94" s="156">
        <f>$U$55-AVERAGE($U$58,$U$59,$U$62,$U$66,$U$68,$U$70,$U$71,$U$79,$U$85,$U$86,$U$89)</f>
        <v>0.3399636284871535</v>
      </c>
      <c r="V94" s="156">
        <f>$V$55-AVERAGE($V$58,$V$59,$V$62,$V$66,$V$68,$V$70,$V$71,$V$79,$V$85,$V$86,$V$89)</f>
        <v>0.34221818331967702</v>
      </c>
      <c r="W94" s="156">
        <f>$W$55-AVERAGE($W$58,$W$59,$W$62,$W$66,$W$68,$W$70,$W$71,$W$79,$W$85,$W$86,$W$89)</f>
        <v>0.34447273815220053</v>
      </c>
      <c r="X94" s="156">
        <f>$X$55-AVERAGE($X$58,$X$59,$X$62,$X$66,$X$68,$X$70,$X$71,$X$79,$X$85,$X$86,$X$89)</f>
        <v>0.34380908852273767</v>
      </c>
      <c r="Y94" s="156">
        <f>$Y$55-AVERAGE($Y$58,$Y$59,$Y$62,$Y$66,$Y$68,$Y$70,$Y$71,$Y$79,$Y$85,$Y$86,$Y$89)</f>
        <v>0.34169091284275055</v>
      </c>
      <c r="Z94" s="156">
        <f>$Z$55-AVERAGE($Z$58,$Z$59,$Z$62,$Z$66,$Z$68,$Z$70,$Z$71,$Z$79,$Z$85,$Z$86,$Z$89)</f>
        <v>0.33918180587616831</v>
      </c>
      <c r="AA94" s="156">
        <f>$AA$55-AVERAGE($AA$58,$AA$59,$AA$62,$AA$66,$AA$68,$AA$70,$AA$71,$AA$79,$AA$85,$AA$86,$AA$89)</f>
        <v>0.34011818400838156</v>
      </c>
      <c r="AB94" s="156">
        <f>$AB$55-AVERAGE($AB$58,$AB$59,$AB$62,$AB$66,$AB$68,$AB$70,$AB$71,$AB$79,$AB$85,$AB$86,$AB$89)</f>
        <v>0.3428909121589227</v>
      </c>
      <c r="AC94" s="156">
        <f>$AC$55-AVERAGE($AC$58,$AC$59,$AC$62,$AC$66,$AC$68,$AC$70,$AC$71,$AC$79,$AC$85,$AC$86,$AC$89)</f>
        <v>0.34721818363124674</v>
      </c>
      <c r="AD94" s="156">
        <f>$AD$55-AVERAGE($AD$58,$AD$59,$AD$62,$AD$66,$AD$68,$AD$70,$AD$71,$AD$79,$AD$85,$AD$86,$AD$89)</f>
        <v>0.35308182916857977</v>
      </c>
      <c r="AE94" s="156">
        <f>$AE$55-AVERAGE($AE$58,$AE$59,$AE$62,$AE$66,$AE$68,$AE$70,$AE$71,$AE$79,$AE$85,$AE$86,$AE$89)</f>
        <v>0.36155453662980686</v>
      </c>
      <c r="AF94" s="156">
        <f>$AF$55-AVERAGE($AF$58,$AF$59,$AF$62,$AF$66,$AF$68,$AF$70,$AF$71,$AF$79,$AF$85,$AF$86,$AF$89)</f>
        <v>0.37376363846388727</v>
      </c>
    </row>
    <row r="95" spans="1:32" x14ac:dyDescent="0.2">
      <c r="A95" s="157" t="s">
        <v>389</v>
      </c>
      <c r="B95" s="157">
        <f>$B$56-AVERAGE($B$58,$B$59,$B$61,$B$62,$B$63,$B$66,$B$68,$B$69,$B$70,$B$71,$B$72,$B$73,$B$77,$B$79,$B$80,$B$81,$B$83,$B$84,$B$85,$B$86,$B$87,$B$88,$B$89,$B$91)</f>
        <v>7.4583385139703751E-4</v>
      </c>
      <c r="C95" s="157">
        <f>$C$56-AVERAGE($C$58,$C$59,$C$61,$C$62,$C$63,$C$66,$C$68,$C$69,$C$70,$C$71,$C$72,$C$73,$C$77,$C$79,$C$80,$C$81,$C$83,$C$84,$C$85,$C$86,$C$87,$C$88,$C$89,$C$91)</f>
        <v>8.6249752591054107E-4</v>
      </c>
      <c r="D95" s="157">
        <f>$D$56-AVERAGE($D$58,$D$59,$D$61,$D$62,$D$63,$D$66,$D$68,$D$69,$D$70,$D$71,$D$72,$D$73,$D$77,$D$79,$D$80,$D$81,$D$83,$D$84,$D$85,$D$86,$D$87,$D$88,$D$89,$D$91)</f>
        <v>1.4749979600310326E-3</v>
      </c>
      <c r="E95" s="157">
        <f>$E$56-AVERAGE($E$58,$E$59,$E$61,$E$62,$E$63,$E$66,$E$68,$E$69,$E$70,$E$71,$E$72,$E$73,$E$77,$E$79,$E$80,$E$81,$E$83,$E$84,$E$85,$E$86,$E$87,$E$88,$E$89,$E$91)</f>
        <v>2.0666675021250996E-3</v>
      </c>
      <c r="F95" s="157">
        <f>$F$56-AVERAGE($F$58,$F$59,$F$61,$F$62,$F$63,$F$66,$F$68,$F$69,$F$70,$F$71,$F$72,$F$73,$F$77,$F$79,$F$80,$F$81,$F$83,$F$84,$F$85,$F$86,$F$87,$F$88,$F$89,$F$91)</f>
        <v>2.9749994476636205E-3</v>
      </c>
      <c r="G95" s="157">
        <f>$G$56-AVERAGE($G$58,$G$59,$G$61,$G$62,$G$63,$G$66,$G$68,$G$69,$G$70,$G$71,$G$72,$G$73,$G$77,$G$79,$G$80,$G$81,$G$83,$G$84,$G$85,$G$86,$G$87,$G$88,$G$89,$G$91)</f>
        <v>4.8083346337080002E-3</v>
      </c>
      <c r="H95" s="157">
        <f>$H$56-AVERAGE($H$58,$H$59,$H$61,$H$62,$H$63,$H$66,$H$68,$H$69,$H$70,$H$71,$H$72,$H$73,$H$77,$H$79,$H$80,$H$81,$H$83,$H$84,$H$85,$H$86,$H$87,$H$88,$H$89,$H$91)</f>
        <v>7.6999959225455966E-3</v>
      </c>
      <c r="I95" s="157">
        <f>$I$56-AVERAGE($I$58,$I$59,$I$61,$I$62,$I$63,$I$66,$I$68,$I$69,$I$70,$I$71,$I$72,$I$73,$I$77,$I$79,$I$80,$I$81,$I$83,$I$84,$I$85,$I$86,$I$87,$I$88,$I$89,$I$91)</f>
        <v>1.2749997898936272E-2</v>
      </c>
      <c r="J95" s="157">
        <f>$J$56-AVERAGE($J$58,$J$59,$J$61,$J$62,$J$63,$J$66,$J$68,$J$69,$J$70,$J$71,$J$72,$J$73,$J$77,$J$79,$J$80,$J$81,$J$83,$J$84,$J$85,$J$86,$J$87,$J$88,$J$89,$J$91)</f>
        <v>2.07916662717859E-2</v>
      </c>
      <c r="K95" s="157">
        <f>$K$56-AVERAGE($K$58,$K$59,$K$61,$K$62,$K$63,$K$66,$K$68,$K$69,$K$70,$K$71,$K$72,$K$73,$K$77,$K$79,$K$80,$K$81,$K$83,$K$84,$K$85,$K$86,$K$87,$K$88,$K$89,$K$91)</f>
        <v>3.3329169265925884E-2</v>
      </c>
      <c r="L95" s="157">
        <f>$L$56-AVERAGE($L$58,$L$59,$L$61,$L$62,$L$63,$L$66,$L$68,$L$69,$L$70,$L$71,$L$72,$L$73,$L$77,$L$79,$L$80,$L$81,$L$83,$L$84,$L$85,$L$86,$L$87,$L$88,$L$89,$L$91)</f>
        <v>5.1225007511675358E-2</v>
      </c>
      <c r="M95" s="157">
        <f>$M$56-AVERAGE($M$58,$M$59,$M$61,$M$62,$M$63,$M$66,$M$68,$M$69,$M$70,$M$71,$M$72,$M$73,$M$77,$M$79,$M$80,$M$81,$M$83,$M$84,$M$85,$M$86,$M$87,$M$88,$M$89,$M$91)</f>
        <v>7.5495831047495202E-2</v>
      </c>
      <c r="N95" s="157">
        <f>$N$56-AVERAGE($N$58,$N$59,$N$61,$N$62,$N$63,$N$66,$N$68,$N$69,$N$70,$N$71,$N$72,$N$73,$N$77,$N$79,$N$80,$N$81,$N$83,$N$84,$N$85,$N$86,$N$87,$N$88,$N$89,$N$91)</f>
        <v>0.10615000687539577</v>
      </c>
      <c r="O95" s="157">
        <f>$O$56-AVERAGE($O$58,$O$59,$O$61,$O$62,$O$63,$O$66,$O$68,$O$69,$O$70,$O$71,$O$72,$O$73,$O$77,$O$79,$O$80,$O$81,$O$83,$O$84,$O$85,$O$86,$O$87,$O$88,$O$89,$O$91)</f>
        <v>0.14212500210851431</v>
      </c>
      <c r="P95" s="157">
        <f>$P$56-AVERAGE($P$58,$P$59,$P$61,$P$62,$P$63,$P$66,$P$68,$P$69,$P$70,$P$71,$P$72,$P$73,$P$77,$P$79,$P$80,$P$81,$P$83,$P$84,$P$85,$P$86,$P$87,$P$88,$P$89,$P$91)</f>
        <v>0.18212915708621341</v>
      </c>
      <c r="Q95" s="157">
        <f>$Q$56-AVERAGE($Q$58,$Q$59,$Q$61,$Q$62,$Q$63,$Q$66,$Q$68,$Q$69,$Q$70,$Q$71,$Q$72,$Q$73,$Q$77,$Q$79,$Q$80,$Q$81,$Q$83,$Q$84,$Q$85,$Q$86,$Q$87,$Q$88,$Q$89,$Q$91)</f>
        <v>0.22772498801350594</v>
      </c>
      <c r="R95" s="157">
        <f>$R$56-AVERAGE($R$58,$R$59,$R$61,$R$62,$R$63,$R$66,$R$68,$R$69,$R$70,$R$71,$R$72,$R$73,$R$77,$R$79,$R$80,$R$81,$R$83,$R$84,$R$85,$R$86,$R$87,$R$88,$R$89,$R$91)</f>
        <v>0.27061668038368225</v>
      </c>
      <c r="S95" s="157">
        <f>$S$56-AVERAGE($S$58,$S$59,$S$61,$S$62,$S$63,$S$66,$S$68,$S$69,$S$70,$S$71,$S$72,$S$73,$S$77,$S$79,$S$80,$S$81,$S$83,$S$84,$S$85,$S$86,$S$87,$S$88,$S$89,$S$91)</f>
        <v>0.30537500604987144</v>
      </c>
      <c r="T95" s="157">
        <f>$T$56-AVERAGE($T$58,$T$59,$T$61,$T$62,$T$63,$T$66,$T$68,$T$69,$T$70,$T$71,$T$72,$T$73,$T$77,$T$79,$T$80,$T$81,$T$83,$T$84,$T$85,$T$86,$T$87,$T$88,$T$89,$T$91)</f>
        <v>0.33084582568456727</v>
      </c>
      <c r="U95" s="157">
        <f>$U$56-AVERAGE($U$58,$U$59,$U$61,$U$62,$U$63,$U$66,$U$68,$U$69,$U$70,$U$71,$U$72,$U$73,$U$77,$U$79,$U$80,$U$81,$U$83,$U$84,$U$85,$U$86,$U$87,$U$88,$U$89,$U$91)</f>
        <v>0.33858333900570869</v>
      </c>
      <c r="V95" s="157">
        <f>$V$56-AVERAGE($V$58,$V$59,$V$61,$V$62,$V$63,$V$66,$V$68,$V$69,$V$70,$V$71,$V$72,$V$73,$V$77,$V$79,$V$80,$V$81,$V$83,$V$84,$V$85,$V$86,$V$87,$V$88,$V$89,$V$91)</f>
        <v>0.33800625397513312</v>
      </c>
      <c r="W95" s="157">
        <f>$W$56-AVERAGE($W$58,$W$59,$W$61,$W$62,$W$63,$W$66,$W$68,$W$69,$W$70,$W$71,$W$72,$W$73,$W$77,$W$79,$W$80,$W$81,$W$83,$W$84,$W$85,$W$86,$W$87,$W$88,$W$89,$W$91)</f>
        <v>0.33742916894455749</v>
      </c>
      <c r="X95" s="157">
        <f>$X$56-AVERAGE($X$58,$X$59,$X$61,$X$62,$X$63,$X$66,$X$68,$X$69,$X$70,$X$71,$X$72,$X$73,$X$77,$X$79,$X$80,$X$81,$X$83,$X$84,$X$85,$X$86,$X$87,$X$88,$X$89,$X$91)</f>
        <v>0.33398333378136158</v>
      </c>
      <c r="Y95" s="157">
        <f>$Y$56-AVERAGE($Y$58,$Y$59,$Y$61,$Y$62,$Y$63,$Y$66,$Y$68,$Y$69,$Y$70,$Y$71,$Y$72,$Y$73,$Y$77,$Y$79,$Y$80,$Y$81,$Y$83,$Y$84,$Y$85,$Y$86,$Y$87,$Y$88,$Y$89,$Y$91)</f>
        <v>0.3326833238825202</v>
      </c>
      <c r="Z95" s="157">
        <f>$Z$56-AVERAGE($Z$58,$Z$59,$Z$61,$Z$62,$Z$63,$Z$66,$Z$68,$Z$69,$Z$70,$Z$71,$Z$72,$Z$73,$Z$77,$Z$79,$Z$80,$Z$81,$Z$83,$Z$84,$Z$85,$Z$86,$Z$87,$Z$88,$Z$89,$Z$91)</f>
        <v>0.33092500176280737</v>
      </c>
      <c r="AA95" s="157">
        <f>$AA$56-AVERAGE($AA$58,$AA$59,$AA$61,$AA$62,$AA$63,$AA$66,$AA$68,$AA$69,$AA$70,$AA$71,$AA$72,$AA$73,$AA$77,$AA$79,$AA$80,$AA$81,$AA$83,$AA$84,$AA$85,$AA$86,$AA$87,$AA$88,$AA$89,$AA$91)</f>
        <v>0.33306667301803827</v>
      </c>
      <c r="AB95" s="157">
        <f>$AB$56-AVERAGE($AB$58,$AB$59,$AB$61,$AB$62,$AB$63,$AB$66,$AB$68,$AB$69,$AB$70,$AB$71,$AB$72,$AB$73,$AB$77,$AB$79,$AB$80,$AB$81,$AB$83,$AB$84,$AB$85,$AB$86,$AB$87,$AB$88,$AB$89,$AB$91)</f>
        <v>0.33746667082111043</v>
      </c>
      <c r="AC95" s="157">
        <f>$AC$56-AVERAGE($AC$58,$AC$59,$AC$61,$AC$62,$AC$63,$AC$66,$AC$68,$AC$69,$AC$70,$AC$71,$AC$72,$AC$73,$AC$77,$AC$79,$AC$80,$AC$81,$AC$83,$AC$84,$AC$85,$AC$86,$AC$87,$AC$88,$AC$89,$AC$91)</f>
        <v>0.34482082755615312</v>
      </c>
      <c r="AD95" s="157">
        <f>$AD$56-AVERAGE($AD$58,$AD$59,$AD$61,$AD$62,$AD$63,$AD$66,$AD$68,$AD$69,$AD$70,$AD$71,$AD$72,$AD$73,$AD$77,$AD$79,$AD$80,$AD$81,$AD$83,$AD$84,$AD$85,$AD$86,$AD$87,$AD$88,$AD$89,$AD$91)</f>
        <v>0.35094999335706234</v>
      </c>
      <c r="AE95" s="157">
        <f>$AE$56-AVERAGE($AE$58,$AE$59,$AE$61,$AE$62,$AE$63,$AE$66,$AE$68,$AE$69,$AE$70,$AE$71,$AE$72,$AE$73,$AE$77,$AE$79,$AE$80,$AE$81,$AE$83,$AE$84,$AE$85,$AE$86,$AE$87,$AE$88,$AE$89,$AE$91)</f>
        <v>0.36044582383086282</v>
      </c>
      <c r="AF95" s="157">
        <f>$AF$56-AVERAGE($AF$58,$AF$59,$AF$61,$AF$62,$AF$63,$AF$66,$AF$68,$AF$69,$AF$70,$AF$71,$AF$72,$AF$73,$AF$77,$AF$79,$AF$80,$AF$81,$AF$83,$AF$84,$AF$85,$AF$86,$AF$87,$AF$88,$AF$89,$AF$91)</f>
        <v>0.37200000789016485</v>
      </c>
    </row>
    <row r="96" spans="1:32" x14ac:dyDescent="0.2">
      <c r="A96" s="168" t="s">
        <v>390</v>
      </c>
      <c r="B96" s="168">
        <f>$B$57-AVERAGE($B$58)</f>
        <v>5.0000101327896118E-4</v>
      </c>
      <c r="C96" s="168">
        <f>$C$57-AVERAGE($C$58)</f>
        <v>6.000027060508728E-4</v>
      </c>
      <c r="D96" s="168">
        <f>$D$57-AVERAGE($D$58)</f>
        <v>7.9999864101409912E-4</v>
      </c>
      <c r="E96" s="168">
        <f>$E$57-AVERAGE($E$58)</f>
        <v>1.1999979615211487E-3</v>
      </c>
      <c r="F96" s="168">
        <f>$F$57-AVERAGE($F$58)</f>
        <v>1.8000006675720215E-3</v>
      </c>
      <c r="G96" s="168">
        <f>$G$57-AVERAGE($G$58)</f>
        <v>2.9999986290931702E-3</v>
      </c>
      <c r="H96" s="168">
        <f>$H$57-AVERAGE($H$58)</f>
        <v>4.9000009894371033E-3</v>
      </c>
      <c r="I96" s="168">
        <f>$I$57-AVERAGE($I$58)</f>
        <v>8.0000013113021851E-3</v>
      </c>
      <c r="J96" s="168">
        <f>$J$57-AVERAGE($J$58)</f>
        <v>1.3300001621246338E-2</v>
      </c>
      <c r="K96" s="168">
        <f>$K$57-AVERAGE($K$58)</f>
        <v>2.1800003945827484E-2</v>
      </c>
      <c r="L96" s="168">
        <f>$L$57-AVERAGE($L$58)</f>
        <v>3.4499995410442352E-2</v>
      </c>
      <c r="M96" s="168">
        <f>$M$57-AVERAGE($M$58)</f>
        <v>5.2400000393390656E-2</v>
      </c>
      <c r="N96" s="168">
        <f>$N$57-AVERAGE($N$58)</f>
        <v>7.6499998569488525E-2</v>
      </c>
      <c r="O96" s="168">
        <f>$O$57-AVERAGE($O$58)</f>
        <v>0.10670000314712524</v>
      </c>
      <c r="P96" s="168">
        <f>$P$57-AVERAGE($P$58)</f>
        <v>0.14149999618530273</v>
      </c>
      <c r="Q96" s="168">
        <f>$Q$57-AVERAGE($Q$58)</f>
        <v>0.18140000104904175</v>
      </c>
      <c r="R96" s="168">
        <f>$R$57-AVERAGE($R$58)</f>
        <v>0.22599999606609344</v>
      </c>
      <c r="S96" s="168">
        <f>$S$57-AVERAGE($S$58)</f>
        <v>0.27029999345541</v>
      </c>
      <c r="T96" s="168">
        <f>$T$57-AVERAGE($T$58)</f>
        <v>0.30229999870061874</v>
      </c>
      <c r="U96" s="168">
        <f>$U$57-AVERAGE($U$58)</f>
        <v>0.33070001006126404</v>
      </c>
      <c r="V96" s="168">
        <f>$V$57-AVERAGE($V$58)</f>
        <v>0.33225001022219658</v>
      </c>
      <c r="W96" s="168">
        <f>$W$57-AVERAGE($W$58)</f>
        <v>0.33380001038312912</v>
      </c>
      <c r="X96" s="168">
        <f>$X$57-AVERAGE($X$58)</f>
        <v>0.33249998837709427</v>
      </c>
      <c r="Y96" s="168">
        <f>$Y$57-AVERAGE($Y$58)</f>
        <v>0.32919998466968536</v>
      </c>
      <c r="Z96" s="168">
        <f>$Z$57-AVERAGE($Z$58)</f>
        <v>0.3263000100851059</v>
      </c>
      <c r="AA96" s="168">
        <f>$AA$57-AVERAGE($AA$58)</f>
        <v>0.32739999890327454</v>
      </c>
      <c r="AB96" s="168">
        <f>$AB$57-AVERAGE($AB$58)</f>
        <v>0.32989999651908875</v>
      </c>
      <c r="AC96" s="168">
        <f>$AC$57-AVERAGE($AC$58)</f>
        <v>0.33240000903606415</v>
      </c>
      <c r="AD96" s="168">
        <f>$AD$57-AVERAGE($AD$58)</f>
        <v>0.33870001137256622</v>
      </c>
      <c r="AE96" s="168">
        <f>$AE$57-AVERAGE($AE$58)</f>
        <v>0.34650000929832458</v>
      </c>
      <c r="AF96" s="168">
        <f>$AF$57-AVERAGE($AF$58)</f>
        <v>0.35690000653266907</v>
      </c>
    </row>
    <row r="97" spans="1:32" x14ac:dyDescent="0.2">
      <c r="A97" t="s">
        <v>391</v>
      </c>
      <c r="H97">
        <f>INDEX(LOGEST($B$94:$H$94,$B$54:$H$54,TRUE,TRUE), 3)</f>
        <v>0.98547149676926071</v>
      </c>
      <c r="I97">
        <f>INDEX(LOGEST($B$94:$I$94,$B$54:$I$54,TRUE,TRUE), 3)</f>
        <v>0.98644243322235403</v>
      </c>
      <c r="J97">
        <f>INDEX(LOGEST($B$94:$J$94,$B$54:$J$54,TRUE,TRUE), 3)</f>
        <v>0.9872337221405203</v>
      </c>
      <c r="K97">
        <f>INDEX(LOGEST($B$94:$K$94,$B$54:$K$54,TRUE,TRUE), 3)</f>
        <v>0.98867094125813026</v>
      </c>
      <c r="L97">
        <f>INDEX(LOGEST($B$94:$L$94,$B$54:$L$54,TRUE,TRUE), 3)</f>
        <v>0.99056659080208076</v>
      </c>
      <c r="M97">
        <f>INDEX(LOGEST($B$94:$M$94,$B$54:$M$54,TRUE,TRUE), 3)</f>
        <v>0.99252422620870329</v>
      </c>
      <c r="N97">
        <f>INDEX(LOGEST($B$94:$N$94,$B$54:$N$54,TRUE,TRUE), 3)</f>
        <v>0.99412590042667437</v>
      </c>
      <c r="O97">
        <f>INDEX(LOGEST($B$94:$O$94,$B$54:$O$54,TRUE,TRUE), 3)</f>
        <v>0.99507403666087157</v>
      </c>
      <c r="P97" s="155">
        <f>INDEX(LOGEST($B$94:$P$94,$B$54:$P$54,TRUE,TRUE), 3)</f>
        <v>0.99508455170291721</v>
      </c>
      <c r="Q97">
        <f>INDEX(LOGEST($B$94:$Q$94,$B$54:$Q$54,TRUE,TRUE), 3)</f>
        <v>0.99416394949934894</v>
      </c>
      <c r="R97">
        <f>INDEX(LOGEST($B$94:$R$94,$B$54:$R$54,TRUE,TRUE), 3)</f>
        <v>0.9922493591003172</v>
      </c>
      <c r="S97">
        <f>INDEX(LOGEST($B$94:$S$94,$B$54:$S$54,TRUE,TRUE), 3)</f>
        <v>0.98918192108199365</v>
      </c>
      <c r="T97">
        <f>INDEX(LOGEST($B$94:$T$94,$B$54:$T$54,TRUE,TRUE), 3)</f>
        <v>0.98445907114263442</v>
      </c>
      <c r="U97">
        <f>INDEX(LOGEST($B$94:$U$94,$B$54:$U$54,TRUE,TRUE), 3)</f>
        <v>0.97830026405793424</v>
      </c>
      <c r="V97">
        <f>INDEX(LOGEST($B$94:$V$94,$B$54:$V$54,TRUE,TRUE), 3)</f>
        <v>0.96964756280043274</v>
      </c>
      <c r="W97">
        <f>INDEX(LOGEST($B$94:$W$94,$B$54:$W$54,TRUE,TRUE), 3)</f>
        <v>0.95907046717195876</v>
      </c>
      <c r="X97">
        <f>INDEX(LOGEST($B$94:$X$94,$B$54:$X$54,TRUE,TRUE), 3)</f>
        <v>0.94687322174789013</v>
      </c>
      <c r="Y97">
        <f>INDEX(LOGEST($B$94:$Y$94,$B$54:$Y$54,TRUE,TRUE), 3)</f>
        <v>0.93338601049117542</v>
      </c>
      <c r="Z97">
        <f>INDEX(LOGEST($B$94:$Z$94,$B$54:$Z$54,TRUE,TRUE), 3)</f>
        <v>0.91893989612085103</v>
      </c>
      <c r="AA97">
        <f>INDEX(LOGEST($B$94:$AA$94,$B$54:$AA$54,TRUE,TRUE), 3)</f>
        <v>0.90407880927972506</v>
      </c>
      <c r="AB97">
        <f>INDEX(LOGEST($B$94:$AB$94,$B$54:$AB$54,TRUE,TRUE), 3)</f>
        <v>0.88913376818138123</v>
      </c>
      <c r="AC97">
        <f>INDEX(LOGEST($B$94:$AC$94,$B$54:$AC$54,TRUE,TRUE), 3)</f>
        <v>0.87434859907614892</v>
      </c>
      <c r="AD97">
        <f>INDEX(LOGEST($B$94:$AD$94,$B$54:$AD$54,TRUE,TRUE), 3)</f>
        <v>0.85991272406488539</v>
      </c>
      <c r="AE97">
        <f>INDEX(LOGEST($B$94:$AE$94,$B$54:$AE$54,TRUE,TRUE), 3)</f>
        <v>0.84604422034779747</v>
      </c>
      <c r="AF97">
        <f>INDEX(LOGEST($B$94:$AF$94,$B$54:$AF$54,TRUE,TRUE), 3)</f>
        <v>0.83297884006388345</v>
      </c>
    </row>
    <row r="98" spans="1:32" x14ac:dyDescent="0.2">
      <c r="A98" t="s">
        <v>392</v>
      </c>
      <c r="H98">
        <f>INDEX(LOGEST($B$95:$H$95,$B$54:$H$54,TRUE,TRUE), 3)</f>
        <v>0.98969188961952581</v>
      </c>
      <c r="I98">
        <f>INDEX(LOGEST($B$95:$I$95,$B$54:$I$54,TRUE,TRUE), 3)</f>
        <v>0.99084076146411293</v>
      </c>
      <c r="J98">
        <f>INDEX(LOGEST($B$95:$J$95,$B$54:$J$54,TRUE,TRUE), 3)</f>
        <v>0.99202145608955761</v>
      </c>
      <c r="K98">
        <f>INDEX(LOGEST($B$95:$K$95,$B$54:$K$54,TRUE,TRUE), 3)</f>
        <v>0.99334292047757078</v>
      </c>
      <c r="L98">
        <f>INDEX(LOGEST($B$95:$L$95,$B$54:$L$54,TRUE,TRUE), 3)</f>
        <v>0.99478004557038435</v>
      </c>
      <c r="M98">
        <f>INDEX(LOGEST($B$95:$M$95,$B$54:$M$54,TRUE,TRUE), 3)</f>
        <v>0.99598432911857471</v>
      </c>
      <c r="N98" s="155">
        <f>INDEX(LOGEST($B$95:$N$95,$B$54:$N$54,TRUE,TRUE), 3)</f>
        <v>0.99664501486747947</v>
      </c>
      <c r="O98">
        <f>INDEX(LOGEST($B$95:$O$95,$B$54:$O$54,TRUE,TRUE), 3)</f>
        <v>0.99648501354506624</v>
      </c>
      <c r="P98">
        <f>INDEX(LOGEST($B$95:$P$95,$B$54:$P$54,TRUE,TRUE), 3)</f>
        <v>0.99531429244207914</v>
      </c>
      <c r="Q98">
        <f>INDEX(LOGEST($B$95:$Q$95,$B$54:$Q$54,TRUE,TRUE), 3)</f>
        <v>0.99321702184375127</v>
      </c>
      <c r="R98">
        <f>INDEX(LOGEST($B$95:$R$95,$B$54:$R$54,TRUE,TRUE), 3)</f>
        <v>0.98989920422851529</v>
      </c>
      <c r="S98">
        <f>INDEX(LOGEST($B$95:$S$95,$B$54:$S$54,TRUE,TRUE), 3)</f>
        <v>0.98501290208163228</v>
      </c>
      <c r="T98">
        <f>INDEX(LOGEST($B$95:$T$95,$B$54:$T$54,TRUE,TRUE), 3)</f>
        <v>0.97836325055960016</v>
      </c>
      <c r="U98">
        <f>INDEX(LOGEST($B$95:$U$95,$B$54:$U$54,TRUE,TRUE), 3)</f>
        <v>0.96934062571036006</v>
      </c>
      <c r="V98">
        <f>INDEX(LOGEST($B$95:$V$95,$B$54:$V$54,TRUE,TRUE), 3)</f>
        <v>0.95799653605504442</v>
      </c>
      <c r="W98">
        <f>INDEX(LOGEST($B$95:$W$95,$B$54:$W$54,TRUE,TRUE), 3)</f>
        <v>0.9449255953989274</v>
      </c>
      <c r="X98">
        <f>INDEX(LOGEST($B$95:$X$95,$B$54:$X$54,TRUE,TRUE), 3)</f>
        <v>0.93039130035244</v>
      </c>
      <c r="Y98">
        <f>INDEX(LOGEST($B$95:$Y$95,$B$54:$Y$54,TRUE,TRUE), 3)</f>
        <v>0.9149822135646819</v>
      </c>
      <c r="Z98">
        <f>INDEX(LOGEST($B$95:$Z$95,$B$54:$Z$54,TRUE,TRUE), 3)</f>
        <v>0.89896569007009985</v>
      </c>
      <c r="AA98">
        <f>INDEX(LOGEST($B$95:$AA$95,$B$54:$AA$54,TRUE,TRUE), 3)</f>
        <v>0.88290983834791892</v>
      </c>
      <c r="AB98">
        <f>INDEX(LOGEST($B$95:$AB$95,$B$54:$AB$54,TRUE,TRUE), 3)</f>
        <v>0.86713914404219095</v>
      </c>
      <c r="AC98">
        <f>INDEX(LOGEST($B$95:$AC$95,$B$54:$AC$54,TRUE,TRUE), 3)</f>
        <v>0.85196057794453395</v>
      </c>
      <c r="AD98">
        <f>INDEX(LOGEST($B$95:$AD$95,$B$54:$AD$54,TRUE,TRUE), 3)</f>
        <v>0.83728569820418852</v>
      </c>
      <c r="AE98">
        <f>INDEX(LOGEST($B$95:$AE$95,$B$54:$AE$54,TRUE,TRUE), 3)</f>
        <v>0.82337829937827811</v>
      </c>
      <c r="AF98">
        <f>INDEX(LOGEST($B$95:$AF$95,$B$54:$AF$54,TRUE,TRUE), 3)</f>
        <v>0.810339065875746</v>
      </c>
    </row>
    <row r="99" spans="1:32" x14ac:dyDescent="0.2">
      <c r="A99" t="s">
        <v>393</v>
      </c>
      <c r="H99">
        <f>INDEX(LOGEST($B$96:$H$96,$B$54:$H$54,TRUE,TRUE), 3)</f>
        <v>0.97958304731208901</v>
      </c>
      <c r="I99">
        <f>INDEX(LOGEST($B$96:$I$96,$B$54:$I$54,TRUE,TRUE), 3)</f>
        <v>0.98307618260754492</v>
      </c>
      <c r="J99">
        <f>INDEX(LOGEST($B$96:$J$96,$B$54:$J$54,TRUE,TRUE), 3)</f>
        <v>0.98578060230183506</v>
      </c>
      <c r="K99">
        <f>INDEX(LOGEST($B$96:$K$96,$B$54:$K$54,TRUE,TRUE), 3)</f>
        <v>0.98822826593493684</v>
      </c>
      <c r="L99">
        <f>INDEX(LOGEST($B$96:$L$96,$B$54:$L$54,TRUE,TRUE), 3)</f>
        <v>0.99058839065411264</v>
      </c>
      <c r="M99">
        <f>INDEX(LOGEST($B$96:$M$96,$B$54:$M$54,TRUE,TRUE), 3)</f>
        <v>0.99266550248074692</v>
      </c>
      <c r="N99">
        <f>INDEX(LOGEST($B$96:$N$96,$B$54:$N$54,TRUE,TRUE), 3)</f>
        <v>0.99422178132747652</v>
      </c>
      <c r="O99" s="155">
        <f>INDEX(LOGEST($B$96:$O$96,$B$54:$O$54,TRUE,TRUE), 3)</f>
        <v>0.99507018353624987</v>
      </c>
      <c r="P99">
        <f>INDEX(LOGEST($B$96:$P$96,$B$54:$P$54,TRUE,TRUE), 3)</f>
        <v>0.99500545541517949</v>
      </c>
      <c r="Q99">
        <f>INDEX(LOGEST($B$96:$Q$96,$B$54:$Q$54,TRUE,TRUE), 3)</f>
        <v>0.99398128170441924</v>
      </c>
      <c r="R99">
        <f>INDEX(LOGEST($B$96:$R$96,$B$54:$R$54,TRUE,TRUE), 3)</f>
        <v>0.99203848813229334</v>
      </c>
      <c r="S99">
        <f>INDEX(LOGEST($B$96:$S$96,$B$54:$S$54,TRUE,TRUE), 3)</f>
        <v>0.98904639231277303</v>
      </c>
      <c r="T99">
        <f>INDEX(LOGEST($B$96:$T$96,$B$54:$T$54,TRUE,TRUE), 3)</f>
        <v>0.9844521071270399</v>
      </c>
      <c r="U99">
        <f>INDEX(LOGEST($B$96:$U$96,$B$54:$U$54,TRUE,TRUE), 3)</f>
        <v>0.9783982717091797</v>
      </c>
      <c r="V99">
        <f>INDEX(LOGEST($B$96:$V$96,$B$54:$V$54,TRUE,TRUE), 3)</f>
        <v>0.96979692567022402</v>
      </c>
      <c r="W99">
        <f>INDEX(LOGEST($B$96:$W$96,$B$54:$W$54,TRUE,TRUE), 3)</f>
        <v>0.95922001494427467</v>
      </c>
      <c r="X99">
        <f>INDEX(LOGEST($B$96:$X$96,$B$54:$X$54,TRUE,TRUE), 3)</f>
        <v>0.94698047909129124</v>
      </c>
      <c r="Y99">
        <f>INDEX(LOGEST($B$96:$Y$96,$B$54:$Y$54,TRUE,TRUE), 3)</f>
        <v>0.93337330526352824</v>
      </c>
      <c r="Z99">
        <f>INDEX(LOGEST($B$96:$Z$96,$B$54:$Z$54,TRUE,TRUE), 3)</f>
        <v>0.91879440934059331</v>
      </c>
      <c r="AA99">
        <f>INDEX(LOGEST($B$96:$AA$96,$B$54:$AA$54,TRUE,TRUE), 3)</f>
        <v>0.90383306853469025</v>
      </c>
      <c r="AB99">
        <f>INDEX(LOGEST($B$96:$AB$96,$B$54:$AB$54,TRUE,TRUE), 3)</f>
        <v>0.88878456389848925</v>
      </c>
      <c r="AC99">
        <f>INDEX(LOGEST($B$96:$AC$96,$B$54:$AC$54,TRUE,TRUE), 3)</f>
        <v>0.87378089276968252</v>
      </c>
      <c r="AD99">
        <f>INDEX(LOGEST($B$96:$AD$96,$B$54:$AD$54,TRUE,TRUE), 3)</f>
        <v>0.85919598999816904</v>
      </c>
      <c r="AE99">
        <f>INDEX(LOGEST($B$96:$AE$96,$B$54:$AE$54,TRUE,TRUE), 3)</f>
        <v>0.84516193354329028</v>
      </c>
      <c r="AF99">
        <f>INDEX(LOGEST($B$96:$AF$96,$B$54:$AF$54,TRUE,TRUE), 3)</f>
        <v>0.83184806008311896</v>
      </c>
    </row>
    <row r="100" spans="1:32" s="160" customFormat="1" x14ac:dyDescent="0.2">
      <c r="A100" s="160" t="s">
        <v>394</v>
      </c>
      <c r="B100" s="160">
        <f>$K$43*EXP($J$49*$B$54)</f>
        <v>4.7284778564217922E-4</v>
      </c>
      <c r="C100" s="160">
        <f>$K$43*EXP($J$49*$C$54)</f>
        <v>7.2279031512713669E-4</v>
      </c>
      <c r="D100" s="160">
        <f>$K$43*EXP($J$49*$D$54)</f>
        <v>1.1048499231778659E-3</v>
      </c>
      <c r="E100" s="160">
        <f>$K$43*EXP($J$49*$E$54)</f>
        <v>1.688862353574037E-3</v>
      </c>
      <c r="F100" s="160">
        <f>$K$43*EXP($J$49*$F$54)</f>
        <v>2.5815778138588521E-3</v>
      </c>
      <c r="G100" s="160">
        <f>$K$43*EXP($J$49*$G$54)</f>
        <v>3.9461735853750773E-3</v>
      </c>
      <c r="H100" s="160">
        <f>$K$43*EXP($J$49*$H$54)</f>
        <v>6.032080800475694E-3</v>
      </c>
      <c r="I100" s="160">
        <f>$K$43*EXP($J$49*$I$54)</f>
        <v>9.2205773507576302E-3</v>
      </c>
      <c r="J100" s="160">
        <f>$K$43*EXP($J$49*$J$54)</f>
        <v>1.4094480742797739E-2</v>
      </c>
      <c r="K100" s="160">
        <f>$K$43*EXP($J$49*$K$54)</f>
        <v>2.1544679888485872E-2</v>
      </c>
      <c r="L100" s="160">
        <f>$K$43*EXP($J$49*$L$54)</f>
        <v>3.2932978516042148E-2</v>
      </c>
      <c r="M100" s="160">
        <f>$K$43*EXP($J$49*$M$54)</f>
        <v>5.0341015951586576E-2</v>
      </c>
      <c r="N100" s="160">
        <f>$K$43*EXP($J$49*$N$54)</f>
        <v>7.6950764893720089E-2</v>
      </c>
      <c r="O100" s="160">
        <f>$K$43*EXP($J$49*$O$54)</f>
        <v>0.11762615644116646</v>
      </c>
      <c r="P100" s="160">
        <f>$K$43*EXP($J$49*$P$54)</f>
        <v>0.17980214619349313</v>
      </c>
    </row>
    <row r="101" spans="1:32" s="161" customFormat="1" x14ac:dyDescent="0.2">
      <c r="A101" s="161" t="s">
        <v>395</v>
      </c>
      <c r="B101" s="161">
        <f>$Q$43*EXP($P$49*$B$54)</f>
        <v>5.9789954559343246E-4</v>
      </c>
      <c r="C101" s="161">
        <f>$Q$43*EXP($P$49*$C$54)</f>
        <v>9.2543051123992787E-4</v>
      </c>
      <c r="D101" s="161">
        <f>$Q$43*EXP($P$49*$D$54)</f>
        <v>1.4323838133774983E-3</v>
      </c>
      <c r="E101" s="161">
        <f>$Q$43*EXP($P$49*$E$54)</f>
        <v>2.2170474864470213E-3</v>
      </c>
      <c r="F101" s="161">
        <f>$Q$43*EXP($P$49*$F$54)</f>
        <v>3.4315520122857259E-3</v>
      </c>
      <c r="G101" s="161">
        <f>$Q$43*EXP($P$49*$G$54)</f>
        <v>5.311365356406225E-3</v>
      </c>
      <c r="H101" s="161">
        <f>$Q$43*EXP($P$49*$H$54)</f>
        <v>8.2209454638111149E-3</v>
      </c>
      <c r="I101" s="161">
        <f>$Q$43*EXP($P$49*$I$54)</f>
        <v>1.2724401313767876E-2</v>
      </c>
      <c r="J101" s="161">
        <f>$Q$43*EXP($P$49*$J$54)</f>
        <v>1.9694862288839248E-2</v>
      </c>
      <c r="K101" s="161">
        <f>$Q$43*EXP($P$49*$K$54)</f>
        <v>3.0483760375951491E-2</v>
      </c>
      <c r="L101" s="161">
        <f>$Q$43*EXP($P$49*$L$54)</f>
        <v>4.7182845608675618E-2</v>
      </c>
      <c r="M101" s="161">
        <f>$Q$43*EXP($P$49*$M$54)</f>
        <v>7.3029734267573448E-2</v>
      </c>
      <c r="N101" s="161">
        <f>$Q$43*EXP($P$49*$N$54)</f>
        <v>0.11303561746627112</v>
      </c>
    </row>
    <row r="102" spans="1:32" s="169" customFormat="1" x14ac:dyDescent="0.2">
      <c r="A102" s="169" t="s">
        <v>396</v>
      </c>
      <c r="B102" s="169">
        <f>$W$43*EXP($V$49*$B$54)</f>
        <v>3.6687214032822665E-4</v>
      </c>
      <c r="C102" s="169">
        <f>$W$43*EXP($V$49*$C$54)</f>
        <v>5.7143515250934751E-4</v>
      </c>
      <c r="D102" s="169">
        <f>$W$43*EXP($V$49*$D$54)</f>
        <v>8.9005977186286194E-4</v>
      </c>
      <c r="E102" s="169">
        <f>$W$43*EXP($V$49*$E$54)</f>
        <v>1.3863452292176073E-3</v>
      </c>
      <c r="F102" s="169">
        <f>$W$43*EXP($V$49*$F$54)</f>
        <v>2.1593528382389919E-3</v>
      </c>
      <c r="G102" s="169">
        <f>$W$43*EXP($V$49*$G$54)</f>
        <v>3.3633791798326255E-3</v>
      </c>
      <c r="H102" s="169">
        <f>$W$43*EXP($V$49*$H$54)</f>
        <v>5.2387545504407121E-3</v>
      </c>
      <c r="I102" s="169">
        <f>$W$43*EXP($V$49*$I$54)</f>
        <v>8.1598142143250729E-3</v>
      </c>
      <c r="J102" s="169">
        <f>$W$43*EXP($V$49*$J$54)</f>
        <v>1.2709617786292395E-2</v>
      </c>
      <c r="K102" s="169">
        <f>$W$43*EXP($V$49*$K$54)</f>
        <v>1.9796331145635171E-2</v>
      </c>
      <c r="L102" s="169">
        <f>$W$43*EXP($V$49*$L$54)</f>
        <v>3.0834501353007839E-2</v>
      </c>
      <c r="M102" s="169">
        <f>$W$43*EXP($V$49*$M$54)</f>
        <v>4.8027408043145044E-2</v>
      </c>
      <c r="N102" s="169">
        <f>$W$43*EXP($V$49*$N$54)</f>
        <v>7.4806850188214508E-2</v>
      </c>
      <c r="O102" s="169">
        <f>$W$43*EXP($V$49*$O$54)</f>
        <v>0.11651815209462864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173D5-426C-2C42-8A16-4BF19DFB9405}">
  <sheetPr codeName="Sheet50"/>
  <dimension ref="A42:AF102"/>
  <sheetViews>
    <sheetView workbookViewId="0"/>
  </sheetViews>
  <sheetFormatPr baseColWidth="10" defaultRowHeight="15" x14ac:dyDescent="0.2"/>
  <sheetData>
    <row r="42" spans="9:24" x14ac:dyDescent="0.2">
      <c r="I42" t="s">
        <v>249</v>
      </c>
      <c r="O42" t="s">
        <v>249</v>
      </c>
      <c r="U42" t="s">
        <v>249</v>
      </c>
    </row>
    <row r="43" spans="9:24" x14ac:dyDescent="0.2">
      <c r="I43" t="s">
        <v>250</v>
      </c>
      <c r="J43" s="159">
        <f t="array" ref="J43:K47">LOGEST($B$94:$P$94,$B$54:$P$54,TRUE,TRUE)</f>
        <v>1.0004376213654025</v>
      </c>
      <c r="K43" s="159">
        <v>9.3624479838552905E-4</v>
      </c>
      <c r="L43" t="s">
        <v>255</v>
      </c>
      <c r="O43" t="s">
        <v>250</v>
      </c>
      <c r="P43" s="159">
        <f t="array" ref="P43:Q47">LOGEST($B$95:$Q$95,$B$54:$Q$54,TRUE,TRUE)</f>
        <v>1.0003925662882285</v>
      </c>
      <c r="Q43" s="159">
        <v>1.5549259977352145E-3</v>
      </c>
      <c r="R43" t="s">
        <v>255</v>
      </c>
      <c r="U43" t="s">
        <v>250</v>
      </c>
      <c r="V43" s="159">
        <f t="array" ref="V43:W47">LOGEST($B$96:$P$96,$B$54:$P$54,TRUE,TRUE)</f>
        <v>1.0004298673467109</v>
      </c>
      <c r="W43" s="159">
        <v>1.039599462722443E-3</v>
      </c>
      <c r="X43" t="s">
        <v>255</v>
      </c>
    </row>
    <row r="44" spans="9:24" x14ac:dyDescent="0.2">
      <c r="I44" t="s">
        <v>251</v>
      </c>
      <c r="J44" s="159">
        <v>1.1851887574044307E-5</v>
      </c>
      <c r="K44" s="159">
        <v>8.7753748406131829E-2</v>
      </c>
      <c r="L44" t="s">
        <v>256</v>
      </c>
      <c r="O44" t="s">
        <v>251</v>
      </c>
      <c r="P44" s="159">
        <v>1.2109471799762426E-5</v>
      </c>
      <c r="Q44" s="159">
        <v>9.5954823984042106E-2</v>
      </c>
      <c r="R44" t="s">
        <v>256</v>
      </c>
      <c r="U44" t="s">
        <v>251</v>
      </c>
      <c r="V44" s="159">
        <v>9.9844454056568282E-6</v>
      </c>
      <c r="W44" s="159">
        <v>7.3926832720012492E-2</v>
      </c>
      <c r="X44" t="s">
        <v>256</v>
      </c>
    </row>
    <row r="45" spans="9:24" x14ac:dyDescent="0.2">
      <c r="I45" t="s">
        <v>252</v>
      </c>
      <c r="J45" s="159">
        <v>0.99055094873691341</v>
      </c>
      <c r="K45" s="159">
        <v>0.17850784230036257</v>
      </c>
      <c r="L45" t="s">
        <v>257</v>
      </c>
      <c r="O45" t="s">
        <v>252</v>
      </c>
      <c r="P45" s="159">
        <v>0.98684855707277097</v>
      </c>
      <c r="Q45" s="159">
        <v>0.20098119326476199</v>
      </c>
      <c r="R45" t="s">
        <v>257</v>
      </c>
      <c r="U45" t="s">
        <v>252</v>
      </c>
      <c r="V45" s="159">
        <v>0.9930325721291462</v>
      </c>
      <c r="W45" s="159">
        <v>0.15038126161716373</v>
      </c>
      <c r="X45" t="s">
        <v>257</v>
      </c>
    </row>
    <row r="46" spans="9:24" x14ac:dyDescent="0.2">
      <c r="I46" t="s">
        <v>253</v>
      </c>
      <c r="J46" s="159">
        <v>1362.7994996582822</v>
      </c>
      <c r="K46" s="159">
        <v>13</v>
      </c>
      <c r="L46" t="s">
        <v>258</v>
      </c>
      <c r="O46" t="s">
        <v>253</v>
      </c>
      <c r="P46" s="159">
        <v>1050.5219750765211</v>
      </c>
      <c r="Q46" s="159">
        <v>14</v>
      </c>
      <c r="R46" t="s">
        <v>258</v>
      </c>
      <c r="U46" t="s">
        <v>253</v>
      </c>
      <c r="V46" s="159">
        <v>1852.8248410983449</v>
      </c>
      <c r="W46" s="159">
        <v>13</v>
      </c>
      <c r="X46" t="s">
        <v>258</v>
      </c>
    </row>
    <row r="47" spans="9:24" x14ac:dyDescent="0.2">
      <c r="I47" t="s">
        <v>254</v>
      </c>
      <c r="J47" s="159">
        <v>43.425673873236221</v>
      </c>
      <c r="K47" s="159">
        <v>0.41424564691550442</v>
      </c>
      <c r="L47" t="s">
        <v>259</v>
      </c>
      <c r="O47" t="s">
        <v>254</v>
      </c>
      <c r="P47" s="159">
        <v>42.434196417393018</v>
      </c>
      <c r="Q47" s="159">
        <v>0.56550816064578657</v>
      </c>
      <c r="R47" t="s">
        <v>259</v>
      </c>
      <c r="U47" t="s">
        <v>254</v>
      </c>
      <c r="V47" s="159">
        <v>41.900751550682671</v>
      </c>
      <c r="W47" s="159">
        <v>0.29398880999240795</v>
      </c>
      <c r="X47" t="s">
        <v>259</v>
      </c>
    </row>
    <row r="49" spans="1:32" x14ac:dyDescent="0.2">
      <c r="I49" t="s">
        <v>260</v>
      </c>
      <c r="J49">
        <f>LN($J$43)</f>
        <v>4.375256371002388E-4</v>
      </c>
      <c r="O49" t="s">
        <v>260</v>
      </c>
      <c r="P49">
        <f>LN($P$43)</f>
        <v>3.9248925424312405E-4</v>
      </c>
      <c r="U49" t="s">
        <v>260</v>
      </c>
      <c r="V49">
        <f>LN($V$43)</f>
        <v>4.2977498021230608E-4</v>
      </c>
    </row>
    <row r="50" spans="1:32" x14ac:dyDescent="0.2">
      <c r="I50" t="s">
        <v>261</v>
      </c>
      <c r="J50">
        <f>ROUND(LN(2)/$J$49, 1)</f>
        <v>1584.2</v>
      </c>
      <c r="O50" t="s">
        <v>261</v>
      </c>
      <c r="P50">
        <f>ROUND(LN(2)/$P$49, 1)</f>
        <v>1766</v>
      </c>
      <c r="U50" t="s">
        <v>261</v>
      </c>
      <c r="V50">
        <f>ROUND(LN(2)/$V$49, 1)</f>
        <v>1612.8</v>
      </c>
    </row>
    <row r="51" spans="1:32" x14ac:dyDescent="0.2">
      <c r="I51" t="s">
        <v>204</v>
      </c>
      <c r="J51" s="155">
        <f>ROUND($J$50/60, 1)</f>
        <v>26.4</v>
      </c>
      <c r="O51" t="s">
        <v>204</v>
      </c>
      <c r="P51" s="155">
        <f>ROUND($P$50/60, 1)</f>
        <v>29.4</v>
      </c>
      <c r="U51" t="s">
        <v>204</v>
      </c>
      <c r="V51" s="155">
        <f>ROUND($V$50/60, 1)</f>
        <v>26.9</v>
      </c>
    </row>
    <row r="54" spans="1:32" x14ac:dyDescent="0.2">
      <c r="A54" t="s">
        <v>206</v>
      </c>
      <c r="B54" s="166">
        <v>0</v>
      </c>
      <c r="C54" s="166">
        <v>900.1</v>
      </c>
      <c r="D54" s="166">
        <v>1800.2</v>
      </c>
      <c r="E54" s="166">
        <v>2700.3</v>
      </c>
      <c r="F54" s="166">
        <v>3600.4</v>
      </c>
      <c r="G54" s="166">
        <v>4500.5</v>
      </c>
      <c r="H54" s="166">
        <v>5400.6</v>
      </c>
      <c r="I54" s="166">
        <v>6300.7</v>
      </c>
      <c r="J54" s="166">
        <v>7200.8</v>
      </c>
      <c r="K54" s="166">
        <v>8100.9</v>
      </c>
      <c r="L54" s="166">
        <v>9001</v>
      </c>
      <c r="M54" s="166">
        <v>9901.1</v>
      </c>
      <c r="N54" s="166">
        <v>10801.2</v>
      </c>
      <c r="O54" s="166">
        <v>11701.3</v>
      </c>
      <c r="P54" s="166">
        <v>12601.4</v>
      </c>
      <c r="Q54" s="166">
        <v>13501.5</v>
      </c>
      <c r="R54" s="166">
        <v>14401.6</v>
      </c>
      <c r="S54" s="166">
        <v>15301.7</v>
      </c>
      <c r="T54" s="166">
        <v>16201.8</v>
      </c>
      <c r="U54" s="166">
        <v>17101.900000000001</v>
      </c>
      <c r="V54" s="166">
        <v>18002</v>
      </c>
      <c r="W54" s="166">
        <v>18902.099999999999</v>
      </c>
      <c r="X54" s="166">
        <v>19802.2</v>
      </c>
      <c r="Y54" s="166">
        <v>20702.3</v>
      </c>
      <c r="Z54" s="166">
        <v>21602.400000000001</v>
      </c>
      <c r="AA54" s="166">
        <v>22502.5</v>
      </c>
      <c r="AB54" s="166">
        <v>23402.6</v>
      </c>
      <c r="AC54" s="166">
        <v>24302.7</v>
      </c>
      <c r="AD54" s="166">
        <v>25202.799999999999</v>
      </c>
      <c r="AE54" s="166">
        <v>26102.9</v>
      </c>
      <c r="AF54" s="166">
        <v>27003</v>
      </c>
    </row>
    <row r="55" spans="1:32" x14ac:dyDescent="0.2">
      <c r="A55" s="156" t="s">
        <v>397</v>
      </c>
      <c r="B55" s="156">
        <v>0.10819999873638153</v>
      </c>
      <c r="C55" s="156">
        <v>0.1080000028014183</v>
      </c>
      <c r="D55" s="156">
        <v>0.10830000042915344</v>
      </c>
      <c r="E55" s="156">
        <v>0.10899999737739563</v>
      </c>
      <c r="F55" s="156">
        <v>0.10999999940395355</v>
      </c>
      <c r="G55" s="156">
        <v>0.11190000176429749</v>
      </c>
      <c r="H55" s="156">
        <v>0.11500000208616257</v>
      </c>
      <c r="I55" s="156">
        <v>0.12060000002384186</v>
      </c>
      <c r="J55" s="156">
        <v>0.12989999353885651</v>
      </c>
      <c r="K55" s="156">
        <v>0.14339999854564667</v>
      </c>
      <c r="L55" s="156">
        <v>0.16290000081062317</v>
      </c>
      <c r="M55" s="156">
        <v>0.18930000066757202</v>
      </c>
      <c r="N55" s="156">
        <v>0.22110000252723694</v>
      </c>
      <c r="O55" s="156">
        <v>0.25870001316070557</v>
      </c>
      <c r="P55" s="156">
        <v>0.30079999566078186</v>
      </c>
      <c r="Q55" s="156">
        <v>0.34589999914169312</v>
      </c>
      <c r="R55" s="156">
        <v>0.38690000772476196</v>
      </c>
      <c r="S55" s="156">
        <v>0.41740000247955322</v>
      </c>
      <c r="T55" s="156">
        <v>0.43889999389648438</v>
      </c>
      <c r="U55" s="156">
        <v>0.43790000677108765</v>
      </c>
      <c r="V55" s="156">
        <f t="shared" ref="V55:V57" si="0">AVERAGE(U55,W55)</f>
        <v>0.43580000102519989</v>
      </c>
      <c r="W55" s="156">
        <v>0.43369999527931213</v>
      </c>
      <c r="X55" s="156">
        <v>0.4293999969959259</v>
      </c>
      <c r="Y55" s="156">
        <v>0.42559999227523804</v>
      </c>
      <c r="Z55" s="156">
        <v>0.42550000548362732</v>
      </c>
      <c r="AA55" s="156">
        <v>0.42739999294281006</v>
      </c>
      <c r="AB55" s="156">
        <v>0.43059998750686646</v>
      </c>
      <c r="AC55" s="156">
        <v>0.43790000677108765</v>
      </c>
      <c r="AD55" s="156">
        <v>0.4447999894618988</v>
      </c>
      <c r="AE55" s="156">
        <v>0.45489999651908875</v>
      </c>
      <c r="AF55" s="156">
        <v>0.4643000066280365</v>
      </c>
    </row>
    <row r="56" spans="1:32" x14ac:dyDescent="0.2">
      <c r="A56" s="157" t="s">
        <v>398</v>
      </c>
      <c r="B56" s="157">
        <v>0.10920000076293945</v>
      </c>
      <c r="C56" s="157">
        <v>0.10920000076293945</v>
      </c>
      <c r="D56" s="157">
        <v>0.10939999669790268</v>
      </c>
      <c r="E56" s="157">
        <v>0.11020000278949738</v>
      </c>
      <c r="F56" s="157">
        <v>0.11129999905824661</v>
      </c>
      <c r="G56" s="157">
        <v>0.1136000007390976</v>
      </c>
      <c r="H56" s="157">
        <v>0.11720000207424164</v>
      </c>
      <c r="I56" s="157">
        <v>0.12349999696016312</v>
      </c>
      <c r="J56" s="157">
        <v>0.13480000197887421</v>
      </c>
      <c r="K56" s="157">
        <v>0.148499995470047</v>
      </c>
      <c r="L56" s="157">
        <v>0.17020000517368317</v>
      </c>
      <c r="M56" s="157">
        <v>0.19779999554157257</v>
      </c>
      <c r="N56" s="157">
        <v>0.23170000314712524</v>
      </c>
      <c r="O56" s="157">
        <v>0.26969999074935913</v>
      </c>
      <c r="P56" s="157">
        <v>0.31279999017715454</v>
      </c>
      <c r="Q56" s="157">
        <v>0.35929998755455017</v>
      </c>
      <c r="R56" s="157">
        <v>0.39649999141693115</v>
      </c>
      <c r="S56" s="157">
        <v>0.42829999327659607</v>
      </c>
      <c r="T56" s="157">
        <v>0.44220000505447388</v>
      </c>
      <c r="U56" s="157">
        <v>0.44159999489784241</v>
      </c>
      <c r="V56" s="157">
        <f t="shared" si="0"/>
        <v>0.43834999203681946</v>
      </c>
      <c r="W56" s="157">
        <v>0.43509998917579651</v>
      </c>
      <c r="X56" s="157">
        <v>0.4302000105381012</v>
      </c>
      <c r="Y56" s="157">
        <v>0.42809998989105225</v>
      </c>
      <c r="Z56" s="157">
        <v>0.42870000004768372</v>
      </c>
      <c r="AA56" s="157">
        <v>0.43090000748634338</v>
      </c>
      <c r="AB56" s="157">
        <v>0.4343000054359436</v>
      </c>
      <c r="AC56" s="157">
        <v>0.44409999251365662</v>
      </c>
      <c r="AD56" s="157">
        <v>0.4505000114440918</v>
      </c>
      <c r="AE56" s="157">
        <v>0.46180000901222229</v>
      </c>
      <c r="AF56" s="157">
        <v>0.47069999575614929</v>
      </c>
    </row>
    <row r="57" spans="1:32" x14ac:dyDescent="0.2">
      <c r="A57" s="168" t="s">
        <v>399</v>
      </c>
      <c r="B57" s="168">
        <v>0.10819999873638153</v>
      </c>
      <c r="C57" s="168">
        <v>0.10809999704360962</v>
      </c>
      <c r="D57" s="168">
        <v>0.10859999805688858</v>
      </c>
      <c r="E57" s="168">
        <v>0.1096000000834465</v>
      </c>
      <c r="F57" s="168">
        <v>0.11029999703168869</v>
      </c>
      <c r="G57" s="168">
        <v>0.11230000108480453</v>
      </c>
      <c r="H57" s="168">
        <v>0.11559999734163284</v>
      </c>
      <c r="I57" s="168">
        <v>0.12129999697208405</v>
      </c>
      <c r="J57" s="168">
        <v>0.13060000538825989</v>
      </c>
      <c r="K57" s="168">
        <v>0.1445000022649765</v>
      </c>
      <c r="L57" s="168">
        <v>0.16470000147819519</v>
      </c>
      <c r="M57" s="168">
        <v>0.19120000302791595</v>
      </c>
      <c r="N57" s="168">
        <v>0.2231999933719635</v>
      </c>
      <c r="O57" s="168">
        <v>0.26019999384880066</v>
      </c>
      <c r="P57" s="168">
        <v>0.30230000615119934</v>
      </c>
      <c r="Q57" s="168">
        <v>0.34720000624656677</v>
      </c>
      <c r="R57" s="168">
        <v>0.3880000114440918</v>
      </c>
      <c r="S57" s="168">
        <v>0.42030000686645508</v>
      </c>
      <c r="T57" s="168">
        <v>0.44220000505447388</v>
      </c>
      <c r="U57" s="168">
        <v>0.44150000810623169</v>
      </c>
      <c r="V57" s="168">
        <f t="shared" si="0"/>
        <v>0.43970000743865967</v>
      </c>
      <c r="W57" s="168">
        <v>0.43790000677108765</v>
      </c>
      <c r="X57" s="168">
        <v>0.4341999888420105</v>
      </c>
      <c r="Y57" s="168">
        <v>0.43220001459121704</v>
      </c>
      <c r="Z57" s="168">
        <v>0.43160000443458557</v>
      </c>
      <c r="AA57" s="168">
        <v>0.43720000982284546</v>
      </c>
      <c r="AB57" s="168">
        <v>0.44029998779296875</v>
      </c>
      <c r="AC57" s="168">
        <v>0.44609999656677246</v>
      </c>
      <c r="AD57" s="168">
        <v>0.4546000063419342</v>
      </c>
      <c r="AE57" s="168">
        <v>0.4650999903678894</v>
      </c>
      <c r="AF57" s="168">
        <v>0.47530001401901245</v>
      </c>
    </row>
    <row r="58" spans="1:32" x14ac:dyDescent="0.2">
      <c r="A58" s="158" t="s">
        <v>209</v>
      </c>
      <c r="B58" s="158">
        <v>0.10480000078678131</v>
      </c>
      <c r="C58" s="158">
        <v>0.1046999990940094</v>
      </c>
      <c r="D58" s="158">
        <v>0.1046999990940094</v>
      </c>
      <c r="E58" s="158">
        <v>0.10480000078678131</v>
      </c>
      <c r="F58" s="158">
        <v>0.10459999740123749</v>
      </c>
      <c r="G58" s="158">
        <v>0.10450000315904617</v>
      </c>
      <c r="H58" s="158">
        <v>0.10440000146627426</v>
      </c>
      <c r="I58" s="158">
        <v>0.10429999977350235</v>
      </c>
      <c r="J58" s="158">
        <v>0.10419999808073044</v>
      </c>
      <c r="K58" s="158">
        <v>0.10419999808073044</v>
      </c>
      <c r="L58" s="158">
        <v>0.10419999808073044</v>
      </c>
      <c r="M58" s="158">
        <v>0.10409999638795853</v>
      </c>
      <c r="N58" s="158">
        <v>0.10400000214576721</v>
      </c>
      <c r="O58" s="158">
        <v>0.1039000004529953</v>
      </c>
      <c r="P58" s="158">
        <v>0.10379999876022339</v>
      </c>
      <c r="Q58" s="158">
        <v>0.10379999876022339</v>
      </c>
      <c r="R58" s="158">
        <v>0.1039000004529953</v>
      </c>
      <c r="S58" s="158">
        <v>0.10360000282526016</v>
      </c>
      <c r="T58" s="158">
        <v>0.10360000282526016</v>
      </c>
      <c r="U58" s="158">
        <v>0.10379999876022339</v>
      </c>
      <c r="V58" s="158">
        <f>AVERAGE(U58,W58)</f>
        <v>0.10359999909996986</v>
      </c>
      <c r="W58" s="158">
        <v>0.10339999943971634</v>
      </c>
      <c r="X58" s="158">
        <v>0.10329999774694443</v>
      </c>
      <c r="Y58" s="158">
        <v>0.10320000350475311</v>
      </c>
      <c r="Z58" s="158">
        <v>0.10320000350475311</v>
      </c>
      <c r="AA58" s="158">
        <v>0.1031000018119812</v>
      </c>
      <c r="AB58" s="158">
        <v>0.1031000018119812</v>
      </c>
      <c r="AC58" s="158">
        <v>0.10300000011920929</v>
      </c>
      <c r="AD58" s="158">
        <v>0.10300000011920929</v>
      </c>
      <c r="AE58" s="158">
        <v>0.10289999842643738</v>
      </c>
      <c r="AF58" s="158">
        <v>0.10289999842643738</v>
      </c>
    </row>
    <row r="59" spans="1:32" x14ac:dyDescent="0.2">
      <c r="A59" s="158" t="s">
        <v>210</v>
      </c>
      <c r="B59" s="158">
        <v>0.10660000145435333</v>
      </c>
      <c r="C59" s="158">
        <v>0.10649999976158142</v>
      </c>
      <c r="D59" s="158">
        <v>0.10649999976158142</v>
      </c>
      <c r="E59" s="158">
        <v>0.10649999976158142</v>
      </c>
      <c r="F59" s="158">
        <v>0.10639999806880951</v>
      </c>
      <c r="G59" s="158">
        <v>0.1062999963760376</v>
      </c>
      <c r="H59" s="158">
        <v>0.1062999963760376</v>
      </c>
      <c r="I59" s="158">
        <v>0.10610000044107437</v>
      </c>
      <c r="J59" s="158">
        <v>0.10610000044107437</v>
      </c>
      <c r="K59" s="158">
        <v>0.10610000044107437</v>
      </c>
      <c r="L59" s="158">
        <v>0.10610000044107437</v>
      </c>
      <c r="M59" s="158">
        <v>0.10599999874830246</v>
      </c>
      <c r="N59" s="158">
        <v>0.10589999705553055</v>
      </c>
      <c r="O59" s="158">
        <v>0.10589999705553055</v>
      </c>
      <c r="P59" s="158">
        <v>0.10570000112056732</v>
      </c>
      <c r="Q59" s="158">
        <v>0.10570000112056732</v>
      </c>
      <c r="R59" s="158">
        <v>0.10570000112056732</v>
      </c>
      <c r="S59" s="158">
        <v>0.10559999942779541</v>
      </c>
      <c r="T59" s="158">
        <v>0.10559999942779541</v>
      </c>
      <c r="U59" s="158">
        <v>0.10559999942779541</v>
      </c>
      <c r="V59" s="158">
        <f t="shared" ref="V59:V93" si="1">AVERAGE(U59,W59)</f>
        <v>0.1055000014603138</v>
      </c>
      <c r="W59" s="158">
        <v>0.10540000349283218</v>
      </c>
      <c r="X59" s="158">
        <v>0.10540000349283218</v>
      </c>
      <c r="Y59" s="158">
        <v>0.10530000180006027</v>
      </c>
      <c r="Z59" s="158">
        <v>0.10530000180006027</v>
      </c>
      <c r="AA59" s="158">
        <v>0.10520000010728836</v>
      </c>
      <c r="AB59" s="158">
        <v>0.10520000010728836</v>
      </c>
      <c r="AC59" s="158">
        <v>0.10520000010728836</v>
      </c>
      <c r="AD59" s="158">
        <v>0.10509999841451645</v>
      </c>
      <c r="AE59" s="158">
        <v>0.10509999841451645</v>
      </c>
      <c r="AF59" s="158">
        <v>0.10509999841451645</v>
      </c>
    </row>
    <row r="60" spans="1:32" x14ac:dyDescent="0.2">
      <c r="A60" s="158" t="s">
        <v>211</v>
      </c>
      <c r="B60" s="158">
        <v>0.10740000009536743</v>
      </c>
      <c r="C60" s="158">
        <v>0.10740000009536743</v>
      </c>
      <c r="D60" s="158">
        <v>0.10729999840259552</v>
      </c>
      <c r="E60" s="158">
        <v>0.10729999840259552</v>
      </c>
      <c r="F60" s="158">
        <v>0.10719999670982361</v>
      </c>
      <c r="G60" s="158">
        <v>0.10719999670982361</v>
      </c>
      <c r="H60" s="158">
        <v>0.10710000246763229</v>
      </c>
      <c r="I60" s="158">
        <v>0.10689999908208847</v>
      </c>
      <c r="J60" s="158">
        <v>0.10689999908208847</v>
      </c>
      <c r="K60" s="158">
        <v>0.10710000246763229</v>
      </c>
      <c r="L60" s="158">
        <v>0.10679999738931656</v>
      </c>
      <c r="M60" s="158">
        <v>0.10670000314712524</v>
      </c>
      <c r="N60" s="158">
        <v>0.10670000314712524</v>
      </c>
      <c r="O60" s="158">
        <v>0.10660000145435333</v>
      </c>
      <c r="P60" s="158">
        <v>0.10649999976158142</v>
      </c>
      <c r="Q60" s="158">
        <v>0.10649999976158142</v>
      </c>
      <c r="R60" s="158">
        <v>0.10639999806880951</v>
      </c>
      <c r="S60" s="158">
        <v>0.1062999963760376</v>
      </c>
      <c r="T60" s="158">
        <v>0.1062999963760376</v>
      </c>
      <c r="U60" s="158">
        <v>0.1062999963760376</v>
      </c>
      <c r="V60" s="158">
        <f t="shared" si="1"/>
        <v>0.10624999925494194</v>
      </c>
      <c r="W60" s="158">
        <v>0.10620000213384628</v>
      </c>
      <c r="X60" s="158">
        <v>0.10610000044107437</v>
      </c>
      <c r="Y60" s="158">
        <v>0.10610000044107437</v>
      </c>
      <c r="Z60" s="158">
        <v>0.10599999874830246</v>
      </c>
      <c r="AA60" s="158">
        <v>0.10589999705553055</v>
      </c>
      <c r="AB60" s="158">
        <v>0.10589999705553055</v>
      </c>
      <c r="AC60" s="158">
        <v>0.10599999874830246</v>
      </c>
      <c r="AD60" s="158">
        <v>0.10580000281333923</v>
      </c>
      <c r="AE60" s="158">
        <v>0.10580000281333923</v>
      </c>
      <c r="AF60" s="158">
        <v>0.10580000281333923</v>
      </c>
    </row>
    <row r="61" spans="1:32" x14ac:dyDescent="0.2">
      <c r="A61" s="158" t="s">
        <v>212</v>
      </c>
      <c r="B61" s="158">
        <v>0.10700000077486038</v>
      </c>
      <c r="C61" s="158">
        <v>0.10689999908208847</v>
      </c>
      <c r="D61" s="158">
        <v>0.10679999738931656</v>
      </c>
      <c r="E61" s="158">
        <v>0.10689999908208847</v>
      </c>
      <c r="F61" s="158">
        <v>0.10670000314712524</v>
      </c>
      <c r="G61" s="158">
        <v>0.10689999908208847</v>
      </c>
      <c r="H61" s="158">
        <v>0.10660000145435333</v>
      </c>
      <c r="I61" s="158">
        <v>0.10639999806880951</v>
      </c>
      <c r="J61" s="158">
        <v>0.10639999806880951</v>
      </c>
      <c r="K61" s="158">
        <v>0.1062999963760376</v>
      </c>
      <c r="L61" s="158">
        <v>0.1062999963760376</v>
      </c>
      <c r="M61" s="158">
        <v>0.1062999963760376</v>
      </c>
      <c r="N61" s="158">
        <v>0.10620000213384628</v>
      </c>
      <c r="O61" s="158">
        <v>0.10610000044107437</v>
      </c>
      <c r="P61" s="158">
        <v>0.10599999874830246</v>
      </c>
      <c r="Q61" s="158">
        <v>0.10599999874830246</v>
      </c>
      <c r="R61" s="158">
        <v>0.10599999874830246</v>
      </c>
      <c r="S61" s="158">
        <v>0.10580000281333923</v>
      </c>
      <c r="T61" s="158">
        <v>0.10580000281333923</v>
      </c>
      <c r="U61" s="158">
        <v>0.10580000281333923</v>
      </c>
      <c r="V61" s="158">
        <f t="shared" si="1"/>
        <v>0.10575000196695328</v>
      </c>
      <c r="W61" s="158">
        <v>0.10570000112056732</v>
      </c>
      <c r="X61" s="158">
        <v>0.10559999942779541</v>
      </c>
      <c r="Y61" s="158">
        <v>0.10559999942779541</v>
      </c>
      <c r="Z61" s="158">
        <v>0.10559999942779541</v>
      </c>
      <c r="AA61" s="158">
        <v>0.10540000349283218</v>
      </c>
      <c r="AB61" s="158">
        <v>0.10540000349283218</v>
      </c>
      <c r="AC61" s="158">
        <v>0.10540000349283218</v>
      </c>
      <c r="AD61" s="158">
        <v>0.10540000349283218</v>
      </c>
      <c r="AE61" s="158">
        <v>0.10530000180006027</v>
      </c>
      <c r="AF61" s="158">
        <v>0.10530000180006027</v>
      </c>
    </row>
    <row r="62" spans="1:32" x14ac:dyDescent="0.2">
      <c r="A62" s="158" t="s">
        <v>213</v>
      </c>
      <c r="B62" s="158">
        <v>0.10570000112056732</v>
      </c>
      <c r="C62" s="158">
        <v>0.1054999977350235</v>
      </c>
      <c r="D62" s="158">
        <v>0.1054999977350235</v>
      </c>
      <c r="E62" s="158">
        <v>0.1054999977350235</v>
      </c>
      <c r="F62" s="158">
        <v>0.10540000349283218</v>
      </c>
      <c r="G62" s="158">
        <v>0.10530000180006027</v>
      </c>
      <c r="H62" s="158">
        <v>0.10520000010728836</v>
      </c>
      <c r="I62" s="158">
        <v>0.10520000010728836</v>
      </c>
      <c r="J62" s="158">
        <v>0.10499999672174454</v>
      </c>
      <c r="K62" s="158">
        <v>0.10499999672174454</v>
      </c>
      <c r="L62" s="158">
        <v>0.10499999672174454</v>
      </c>
      <c r="M62" s="158">
        <v>0.10490000247955322</v>
      </c>
      <c r="N62" s="158">
        <v>0.10490000247955322</v>
      </c>
      <c r="O62" s="158">
        <v>0.10480000078678131</v>
      </c>
      <c r="P62" s="158">
        <v>0.10459999740123749</v>
      </c>
      <c r="Q62" s="158">
        <v>0.10459999740123749</v>
      </c>
      <c r="R62" s="158">
        <v>0.10459999740123749</v>
      </c>
      <c r="S62" s="158">
        <v>0.10440000146627426</v>
      </c>
      <c r="T62" s="158">
        <v>0.10450000315904617</v>
      </c>
      <c r="U62" s="158">
        <v>0.10450000315904617</v>
      </c>
      <c r="V62" s="158">
        <f t="shared" si="1"/>
        <v>0.10445000231266022</v>
      </c>
      <c r="W62" s="158">
        <v>0.10440000146627426</v>
      </c>
      <c r="X62" s="158">
        <v>0.10440000146627426</v>
      </c>
      <c r="Y62" s="158">
        <v>0.10429999977350235</v>
      </c>
      <c r="Z62" s="158">
        <v>0.10419999808073044</v>
      </c>
      <c r="AA62" s="158">
        <v>0.10419999808073044</v>
      </c>
      <c r="AB62" s="158">
        <v>0.10419999808073044</v>
      </c>
      <c r="AC62" s="158">
        <v>0.10440000146627426</v>
      </c>
      <c r="AD62" s="158">
        <v>0.10409999638795853</v>
      </c>
      <c r="AE62" s="158">
        <v>0.10400000214576721</v>
      </c>
      <c r="AF62" s="158">
        <v>0.10400000214576721</v>
      </c>
    </row>
    <row r="63" spans="1:32" x14ac:dyDescent="0.2">
      <c r="A63" s="158" t="s">
        <v>214</v>
      </c>
      <c r="B63" s="158">
        <v>0.10689999908208847</v>
      </c>
      <c r="C63" s="158">
        <v>0.10679999738931656</v>
      </c>
      <c r="D63" s="158">
        <v>0.10679999738931656</v>
      </c>
      <c r="E63" s="158">
        <v>0.10679999738931656</v>
      </c>
      <c r="F63" s="158">
        <v>0.10670000314712524</v>
      </c>
      <c r="G63" s="158">
        <v>0.10660000145435333</v>
      </c>
      <c r="H63" s="158">
        <v>0.10649999976158142</v>
      </c>
      <c r="I63" s="158">
        <v>0.1062999963760376</v>
      </c>
      <c r="J63" s="158">
        <v>0.1062999963760376</v>
      </c>
      <c r="K63" s="158">
        <v>0.10620000213384628</v>
      </c>
      <c r="L63" s="158">
        <v>0.1062999963760376</v>
      </c>
      <c r="M63" s="158">
        <v>0.10620000213384628</v>
      </c>
      <c r="N63" s="158">
        <v>0.10610000044107437</v>
      </c>
      <c r="O63" s="158">
        <v>0.10610000044107437</v>
      </c>
      <c r="P63" s="158">
        <v>0.10580000281333923</v>
      </c>
      <c r="Q63" s="158">
        <v>0.10589999705553055</v>
      </c>
      <c r="R63" s="158">
        <v>0.10580000281333923</v>
      </c>
      <c r="S63" s="158">
        <v>0.10570000112056732</v>
      </c>
      <c r="T63" s="158">
        <v>0.10570000112056732</v>
      </c>
      <c r="U63" s="158">
        <v>0.10570000112056732</v>
      </c>
      <c r="V63" s="158">
        <f t="shared" si="1"/>
        <v>0.10565000027418137</v>
      </c>
      <c r="W63" s="158">
        <v>0.10559999942779541</v>
      </c>
      <c r="X63" s="158">
        <v>0.1054999977350235</v>
      </c>
      <c r="Y63" s="158">
        <v>0.1054999977350235</v>
      </c>
      <c r="Z63" s="158">
        <v>0.10540000349283218</v>
      </c>
      <c r="AA63" s="158">
        <v>0.10540000349283218</v>
      </c>
      <c r="AB63" s="158">
        <v>0.10540000349283218</v>
      </c>
      <c r="AC63" s="158">
        <v>0.10540000349283218</v>
      </c>
      <c r="AD63" s="158">
        <v>0.10530000180006027</v>
      </c>
      <c r="AE63" s="158">
        <v>0.10520000010728836</v>
      </c>
      <c r="AF63" s="158">
        <v>0.10530000180006027</v>
      </c>
    </row>
    <row r="64" spans="1:32" x14ac:dyDescent="0.2">
      <c r="A64" s="158" t="s">
        <v>215</v>
      </c>
      <c r="B64" s="158">
        <v>0.10819999873638153</v>
      </c>
      <c r="C64" s="158">
        <v>0.10790000110864639</v>
      </c>
      <c r="D64" s="158">
        <v>0.10779999941587448</v>
      </c>
      <c r="E64" s="158">
        <v>0.1080000028014183</v>
      </c>
      <c r="F64" s="158">
        <v>0.10760000348091125</v>
      </c>
      <c r="G64" s="158">
        <v>0.10750000178813934</v>
      </c>
      <c r="H64" s="158">
        <v>0.10740000009536743</v>
      </c>
      <c r="I64" s="158">
        <v>0.10719999670982361</v>
      </c>
      <c r="J64" s="158">
        <v>0.10719999670982361</v>
      </c>
      <c r="K64" s="158">
        <v>0.10710000246763229</v>
      </c>
      <c r="L64" s="158">
        <v>0.10719999670982361</v>
      </c>
      <c r="M64" s="158">
        <v>0.10700000077486038</v>
      </c>
      <c r="N64" s="158">
        <v>0.10700000077486038</v>
      </c>
      <c r="O64" s="158">
        <v>0.10700000077486038</v>
      </c>
      <c r="P64" s="158">
        <v>0.10679999738931656</v>
      </c>
      <c r="Q64" s="158">
        <v>0.10679999738931656</v>
      </c>
      <c r="R64" s="158">
        <v>0.10670000314712524</v>
      </c>
      <c r="S64" s="158">
        <v>0.10660000145435333</v>
      </c>
      <c r="T64" s="158">
        <v>0.10660000145435333</v>
      </c>
      <c r="U64" s="158">
        <v>0.10660000145435333</v>
      </c>
      <c r="V64" s="158">
        <f t="shared" si="1"/>
        <v>0.10655000060796738</v>
      </c>
      <c r="W64" s="158">
        <v>0.10649999976158142</v>
      </c>
      <c r="X64" s="158">
        <v>0.10649999976158142</v>
      </c>
      <c r="Y64" s="158">
        <v>0.1062999963760376</v>
      </c>
      <c r="Z64" s="158">
        <v>0.1062999963760376</v>
      </c>
      <c r="AA64" s="158">
        <v>0.1062999963760376</v>
      </c>
      <c r="AB64" s="158">
        <v>0.1062999963760376</v>
      </c>
      <c r="AC64" s="158">
        <v>0.1062999963760376</v>
      </c>
      <c r="AD64" s="158">
        <v>0.10620000213384628</v>
      </c>
      <c r="AE64" s="158">
        <v>0.10610000044107437</v>
      </c>
      <c r="AF64" s="158">
        <v>0.10610000044107437</v>
      </c>
    </row>
    <row r="65" spans="1:32" x14ac:dyDescent="0.2">
      <c r="A65" s="158" t="s">
        <v>216</v>
      </c>
      <c r="B65" s="158">
        <v>0.10639999806880951</v>
      </c>
      <c r="C65" s="158">
        <v>0.10599999874830246</v>
      </c>
      <c r="D65" s="158">
        <v>0.10589999705553055</v>
      </c>
      <c r="E65" s="158">
        <v>0.10840000212192535</v>
      </c>
      <c r="F65" s="158">
        <v>0.10869999974966049</v>
      </c>
      <c r="G65" s="158">
        <v>0.10819999873638153</v>
      </c>
      <c r="H65" s="158">
        <v>0.10819999873638153</v>
      </c>
      <c r="I65" s="158">
        <v>0.1080000028014183</v>
      </c>
      <c r="J65" s="158">
        <v>0.10779999941587448</v>
      </c>
      <c r="K65" s="158">
        <v>0.1080000028014183</v>
      </c>
      <c r="L65" s="158">
        <v>0.10830000042915344</v>
      </c>
      <c r="M65" s="158">
        <v>0.1080000028014183</v>
      </c>
      <c r="N65" s="158">
        <v>0.10809999704360962</v>
      </c>
      <c r="O65" s="158">
        <v>0.10779999941587448</v>
      </c>
      <c r="P65" s="158">
        <v>0.10740000009536743</v>
      </c>
      <c r="Q65" s="158">
        <v>0.10760000348091125</v>
      </c>
      <c r="R65" s="158">
        <v>0.10760000348091125</v>
      </c>
      <c r="S65" s="158">
        <v>0.1080000028014183</v>
      </c>
      <c r="T65" s="158">
        <v>0.10750000178813934</v>
      </c>
      <c r="U65" s="158">
        <v>0.10750000178813934</v>
      </c>
      <c r="V65" s="158">
        <f t="shared" si="1"/>
        <v>0.1075500026345253</v>
      </c>
      <c r="W65" s="158">
        <v>0.10760000348091125</v>
      </c>
      <c r="X65" s="158">
        <v>0.10779999941587448</v>
      </c>
      <c r="Y65" s="158">
        <v>0.10740000009536743</v>
      </c>
      <c r="Z65" s="158">
        <v>0.10750000178813934</v>
      </c>
      <c r="AA65" s="158">
        <v>0.10920000076293945</v>
      </c>
      <c r="AB65" s="158">
        <v>0.10830000042915344</v>
      </c>
      <c r="AC65" s="158">
        <v>0.10909999907016754</v>
      </c>
      <c r="AD65" s="158">
        <v>0.10819999873638153</v>
      </c>
      <c r="AE65" s="158">
        <v>0.10740000009536743</v>
      </c>
      <c r="AF65" s="158">
        <v>0.10849999636411667</v>
      </c>
    </row>
    <row r="66" spans="1:32" x14ac:dyDescent="0.2">
      <c r="A66" s="158" t="s">
        <v>217</v>
      </c>
      <c r="B66" s="158">
        <v>0.10580000281333923</v>
      </c>
      <c r="C66" s="158">
        <v>0.10570000112056732</v>
      </c>
      <c r="D66" s="158">
        <v>0.10570000112056732</v>
      </c>
      <c r="E66" s="158">
        <v>0.10580000281333923</v>
      </c>
      <c r="F66" s="158">
        <v>0.1054999977350235</v>
      </c>
      <c r="G66" s="158">
        <v>0.10559999942779541</v>
      </c>
      <c r="H66" s="158">
        <v>0.10540000349283218</v>
      </c>
      <c r="I66" s="158">
        <v>0.10530000180006027</v>
      </c>
      <c r="J66" s="158">
        <v>0.10520000010728836</v>
      </c>
      <c r="K66" s="158">
        <v>0.10520000010728836</v>
      </c>
      <c r="L66" s="158">
        <v>0.10520000010728836</v>
      </c>
      <c r="M66" s="158">
        <v>0.10509999841451645</v>
      </c>
      <c r="N66" s="158">
        <v>0.10509999841451645</v>
      </c>
      <c r="O66" s="158">
        <v>0.10499999672174454</v>
      </c>
      <c r="P66" s="158">
        <v>0.10480000078678131</v>
      </c>
      <c r="Q66" s="158">
        <v>0.10480000078678131</v>
      </c>
      <c r="R66" s="158">
        <v>0.10480000078678131</v>
      </c>
      <c r="S66" s="158">
        <v>0.1046999990940094</v>
      </c>
      <c r="T66" s="158">
        <v>0.1046999990940094</v>
      </c>
      <c r="U66" s="158">
        <v>0.1046999990940094</v>
      </c>
      <c r="V66" s="158">
        <f t="shared" si="1"/>
        <v>0.10464999824762344</v>
      </c>
      <c r="W66" s="158">
        <v>0.10459999740123749</v>
      </c>
      <c r="X66" s="158">
        <v>0.10459999740123749</v>
      </c>
      <c r="Y66" s="158">
        <v>0.10450000315904617</v>
      </c>
      <c r="Z66" s="158">
        <v>0.10450000315904617</v>
      </c>
      <c r="AA66" s="158">
        <v>0.10429999977350235</v>
      </c>
      <c r="AB66" s="158">
        <v>0.10429999977350235</v>
      </c>
      <c r="AC66" s="158">
        <v>0.10429999977350235</v>
      </c>
      <c r="AD66" s="158">
        <v>0.10429999977350235</v>
      </c>
      <c r="AE66" s="158">
        <v>0.10419999808073044</v>
      </c>
      <c r="AF66" s="158">
        <v>0.10419999808073044</v>
      </c>
    </row>
    <row r="67" spans="1:32" x14ac:dyDescent="0.2">
      <c r="A67" s="158" t="s">
        <v>218</v>
      </c>
      <c r="B67" s="158">
        <v>0.10999999940395355</v>
      </c>
      <c r="C67" s="158">
        <v>0.10859999805688858</v>
      </c>
      <c r="D67" s="158">
        <v>0.1088000014424324</v>
      </c>
      <c r="E67" s="158">
        <v>0.10869999974966049</v>
      </c>
      <c r="F67" s="158">
        <v>0.10859999805688858</v>
      </c>
      <c r="G67" s="158">
        <v>0.10890000313520432</v>
      </c>
      <c r="H67" s="158">
        <v>0.10849999636411667</v>
      </c>
      <c r="I67" s="158">
        <v>0.10830000042915344</v>
      </c>
      <c r="J67" s="158">
        <v>0.10840000212192535</v>
      </c>
      <c r="K67" s="158">
        <v>0.10809999704360962</v>
      </c>
      <c r="L67" s="158">
        <v>0.10869999974966049</v>
      </c>
      <c r="M67" s="158">
        <v>0.10849999636411667</v>
      </c>
      <c r="N67" s="158">
        <v>0.10859999805688858</v>
      </c>
      <c r="O67" s="158">
        <v>0.10849999636411667</v>
      </c>
      <c r="P67" s="158">
        <v>0.1080000028014183</v>
      </c>
      <c r="Q67" s="158">
        <v>0.10769999772310257</v>
      </c>
      <c r="R67" s="158">
        <v>0.10769999772310257</v>
      </c>
      <c r="S67" s="158">
        <v>0.1080000028014183</v>
      </c>
      <c r="T67" s="158">
        <v>0.10769999772310257</v>
      </c>
      <c r="U67" s="158">
        <v>0.10809999704360962</v>
      </c>
      <c r="V67" s="158">
        <f t="shared" si="1"/>
        <v>0.10794999822974205</v>
      </c>
      <c r="W67" s="158">
        <v>0.10779999941587448</v>
      </c>
      <c r="X67" s="158">
        <v>0.10740000009536743</v>
      </c>
      <c r="Y67" s="158">
        <v>0.10750000178813934</v>
      </c>
      <c r="Z67" s="158">
        <v>0.10750000178813934</v>
      </c>
      <c r="AA67" s="158">
        <v>0.10620000213384628</v>
      </c>
      <c r="AB67" s="158">
        <v>0.10670000314712524</v>
      </c>
      <c r="AC67" s="158">
        <v>0.10620000213384628</v>
      </c>
      <c r="AD67" s="158">
        <v>0.10700000077486038</v>
      </c>
      <c r="AE67" s="158">
        <v>0.10679999738931656</v>
      </c>
      <c r="AF67" s="158">
        <v>0.10639999806880951</v>
      </c>
    </row>
    <row r="68" spans="1:32" x14ac:dyDescent="0.2">
      <c r="A68" s="158" t="s">
        <v>219</v>
      </c>
      <c r="B68" s="158">
        <v>0.10649999976158142</v>
      </c>
      <c r="C68" s="158">
        <v>0.10620000213384628</v>
      </c>
      <c r="D68" s="158">
        <v>0.10610000044107437</v>
      </c>
      <c r="E68" s="158">
        <v>0.10639999806880951</v>
      </c>
      <c r="F68" s="158">
        <v>0.10620000213384628</v>
      </c>
      <c r="G68" s="158">
        <v>0.10620000213384628</v>
      </c>
      <c r="H68" s="158">
        <v>0.10610000044107437</v>
      </c>
      <c r="I68" s="158">
        <v>0.10589999705553055</v>
      </c>
      <c r="J68" s="158">
        <v>0.10610000044107437</v>
      </c>
      <c r="K68" s="158">
        <v>0.10589999705553055</v>
      </c>
      <c r="L68" s="158">
        <v>0.10589999705553055</v>
      </c>
      <c r="M68" s="158">
        <v>0.10570000112056732</v>
      </c>
      <c r="N68" s="158">
        <v>0.10570000112056732</v>
      </c>
      <c r="O68" s="158">
        <v>0.10559999942779541</v>
      </c>
      <c r="P68" s="158">
        <v>0.10540000349283218</v>
      </c>
      <c r="Q68" s="158">
        <v>0.10540000349283218</v>
      </c>
      <c r="R68" s="158">
        <v>0.10540000349283218</v>
      </c>
      <c r="S68" s="158">
        <v>0.10530000180006027</v>
      </c>
      <c r="T68" s="158">
        <v>0.10530000180006027</v>
      </c>
      <c r="U68" s="158">
        <v>0.10530000180006027</v>
      </c>
      <c r="V68" s="158">
        <f t="shared" si="1"/>
        <v>0.10525000095367432</v>
      </c>
      <c r="W68" s="158">
        <v>0.10520000010728836</v>
      </c>
      <c r="X68" s="158">
        <v>0.10509999841451645</v>
      </c>
      <c r="Y68" s="158">
        <v>0.10499999672174454</v>
      </c>
      <c r="Z68" s="158">
        <v>0.10520000010728836</v>
      </c>
      <c r="AA68" s="158">
        <v>0.10490000247955322</v>
      </c>
      <c r="AB68" s="158">
        <v>0.10490000247955322</v>
      </c>
      <c r="AC68" s="158">
        <v>0.10490000247955322</v>
      </c>
      <c r="AD68" s="158">
        <v>0.10480000078678131</v>
      </c>
      <c r="AE68" s="158">
        <v>0.10499999672174454</v>
      </c>
      <c r="AF68" s="158">
        <v>0.10480000078678131</v>
      </c>
    </row>
    <row r="69" spans="1:32" x14ac:dyDescent="0.2">
      <c r="A69" s="158" t="s">
        <v>220</v>
      </c>
      <c r="B69" s="158">
        <v>0.10679999738931656</v>
      </c>
      <c r="C69" s="158">
        <v>0.10660000145435333</v>
      </c>
      <c r="D69" s="158">
        <v>0.10649999976158142</v>
      </c>
      <c r="E69" s="158">
        <v>0.10649999976158142</v>
      </c>
      <c r="F69" s="158">
        <v>0.1062999963760376</v>
      </c>
      <c r="G69" s="158">
        <v>0.10620000213384628</v>
      </c>
      <c r="H69" s="158">
        <v>0.10610000044107437</v>
      </c>
      <c r="I69" s="158">
        <v>0.10599999874830246</v>
      </c>
      <c r="J69" s="158">
        <v>0.10589999705553055</v>
      </c>
      <c r="K69" s="158">
        <v>0.10589999705553055</v>
      </c>
      <c r="L69" s="158">
        <v>0.10589999705553055</v>
      </c>
      <c r="M69" s="158">
        <v>0.10580000281333923</v>
      </c>
      <c r="N69" s="158">
        <v>0.10570000112056732</v>
      </c>
      <c r="O69" s="158">
        <v>0.10559999942779541</v>
      </c>
      <c r="P69" s="158">
        <v>0.10540000349283218</v>
      </c>
      <c r="Q69" s="158">
        <v>0.10540000349283218</v>
      </c>
      <c r="R69" s="158">
        <v>0.10530000180006027</v>
      </c>
      <c r="S69" s="158">
        <v>0.10520000010728836</v>
      </c>
      <c r="T69" s="158">
        <v>0.10520000010728836</v>
      </c>
      <c r="U69" s="158">
        <v>0.10520000010728836</v>
      </c>
      <c r="V69" s="158">
        <f t="shared" si="1"/>
        <v>0.10509999841451645</v>
      </c>
      <c r="W69" s="158">
        <v>0.10499999672174454</v>
      </c>
      <c r="X69" s="158">
        <v>0.10499999672174454</v>
      </c>
      <c r="Y69" s="158">
        <v>0.10480000078678131</v>
      </c>
      <c r="Z69" s="158">
        <v>0.10480000078678131</v>
      </c>
      <c r="AA69" s="158">
        <v>0.10459999740123749</v>
      </c>
      <c r="AB69" s="158">
        <v>0.10459999740123749</v>
      </c>
      <c r="AC69" s="158">
        <v>0.10459999740123749</v>
      </c>
      <c r="AD69" s="158">
        <v>0.10450000315904617</v>
      </c>
      <c r="AE69" s="158">
        <v>0.10440000146627426</v>
      </c>
      <c r="AF69" s="158">
        <v>0.10440000146627426</v>
      </c>
    </row>
    <row r="70" spans="1:32" x14ac:dyDescent="0.2">
      <c r="A70" s="158" t="s">
        <v>221</v>
      </c>
      <c r="B70" s="158">
        <v>0.10620000213384628</v>
      </c>
      <c r="C70" s="158">
        <v>0.10610000044107437</v>
      </c>
      <c r="D70" s="158">
        <v>0.10599999874830246</v>
      </c>
      <c r="E70" s="158">
        <v>0.10610000044107437</v>
      </c>
      <c r="F70" s="158">
        <v>0.10589999705553055</v>
      </c>
      <c r="G70" s="158">
        <v>0.10599999874830246</v>
      </c>
      <c r="H70" s="158">
        <v>0.10589999705553055</v>
      </c>
      <c r="I70" s="158">
        <v>0.10580000281333923</v>
      </c>
      <c r="J70" s="158">
        <v>0.10570000112056732</v>
      </c>
      <c r="K70" s="158">
        <v>0.10570000112056732</v>
      </c>
      <c r="L70" s="158">
        <v>0.10580000281333923</v>
      </c>
      <c r="M70" s="158">
        <v>0.10570000112056732</v>
      </c>
      <c r="N70" s="158">
        <v>0.10559999942779541</v>
      </c>
      <c r="O70" s="158">
        <v>0.10540000349283218</v>
      </c>
      <c r="P70" s="158">
        <v>0.10530000180006027</v>
      </c>
      <c r="Q70" s="158">
        <v>0.10530000180006027</v>
      </c>
      <c r="R70" s="158">
        <v>0.10520000010728836</v>
      </c>
      <c r="S70" s="158">
        <v>0.10530000180006027</v>
      </c>
      <c r="T70" s="158">
        <v>0.10530000180006027</v>
      </c>
      <c r="U70" s="158">
        <v>0.10540000349283218</v>
      </c>
      <c r="V70" s="158">
        <f t="shared" si="1"/>
        <v>0.10530000180006027</v>
      </c>
      <c r="W70" s="158">
        <v>0.10520000010728836</v>
      </c>
      <c r="X70" s="158">
        <v>0.10520000010728836</v>
      </c>
      <c r="Y70" s="158">
        <v>0.10499999672174454</v>
      </c>
      <c r="Z70" s="158">
        <v>0.10490000247955322</v>
      </c>
      <c r="AA70" s="158">
        <v>0.10490000247955322</v>
      </c>
      <c r="AB70" s="158">
        <v>0.10480000078678131</v>
      </c>
      <c r="AC70" s="158">
        <v>0.1046999990940094</v>
      </c>
      <c r="AD70" s="158">
        <v>0.10480000078678131</v>
      </c>
      <c r="AE70" s="158">
        <v>0.1046999990940094</v>
      </c>
      <c r="AF70" s="158">
        <v>0.10480000078678131</v>
      </c>
    </row>
    <row r="71" spans="1:32" x14ac:dyDescent="0.2">
      <c r="A71" s="158" t="s">
        <v>222</v>
      </c>
      <c r="B71" s="158">
        <v>0.10649999976158142</v>
      </c>
      <c r="C71" s="158">
        <v>0.10610000044107437</v>
      </c>
      <c r="D71" s="158">
        <v>0.10599999874830246</v>
      </c>
      <c r="E71" s="158">
        <v>0.10610000044107437</v>
      </c>
      <c r="F71" s="158">
        <v>0.10589999705553055</v>
      </c>
      <c r="G71" s="158">
        <v>0.10580000281333923</v>
      </c>
      <c r="H71" s="158">
        <v>0.10570000112056732</v>
      </c>
      <c r="I71" s="158">
        <v>0.10559999942779541</v>
      </c>
      <c r="J71" s="158">
        <v>0.1054999977350235</v>
      </c>
      <c r="K71" s="158">
        <v>0.1054999977350235</v>
      </c>
      <c r="L71" s="158">
        <v>0.1054999977350235</v>
      </c>
      <c r="M71" s="158">
        <v>0.10540000349283218</v>
      </c>
      <c r="N71" s="158">
        <v>0.10540000349283218</v>
      </c>
      <c r="O71" s="158">
        <v>0.10530000180006027</v>
      </c>
      <c r="P71" s="158">
        <v>0.10499999672174454</v>
      </c>
      <c r="Q71" s="158">
        <v>0.10499999672174454</v>
      </c>
      <c r="R71" s="158">
        <v>0.10499999672174454</v>
      </c>
      <c r="S71" s="158">
        <v>0.10490000247955322</v>
      </c>
      <c r="T71" s="158">
        <v>0.10490000247955322</v>
      </c>
      <c r="U71" s="158">
        <v>0.10490000247955322</v>
      </c>
      <c r="V71" s="158">
        <f t="shared" si="1"/>
        <v>0.10485000163316727</v>
      </c>
      <c r="W71" s="158">
        <v>0.10480000078678131</v>
      </c>
      <c r="X71" s="158">
        <v>0.10480000078678131</v>
      </c>
      <c r="Y71" s="158">
        <v>0.1046999990940094</v>
      </c>
      <c r="Z71" s="158">
        <v>0.10450000315904617</v>
      </c>
      <c r="AA71" s="158">
        <v>0.10450000315904617</v>
      </c>
      <c r="AB71" s="158">
        <v>0.10450000315904617</v>
      </c>
      <c r="AC71" s="158">
        <v>0.10440000146627426</v>
      </c>
      <c r="AD71" s="158">
        <v>0.10440000146627426</v>
      </c>
      <c r="AE71" s="158">
        <v>0.10440000146627426</v>
      </c>
      <c r="AF71" s="158">
        <v>0.10429999977350235</v>
      </c>
    </row>
    <row r="72" spans="1:32" x14ac:dyDescent="0.2">
      <c r="A72" s="158" t="s">
        <v>223</v>
      </c>
      <c r="B72" s="158">
        <v>0.10710000246763229</v>
      </c>
      <c r="C72" s="158">
        <v>0.10689999908208847</v>
      </c>
      <c r="D72" s="158">
        <v>0.10679999738931656</v>
      </c>
      <c r="E72" s="158">
        <v>0.10679999738931656</v>
      </c>
      <c r="F72" s="158">
        <v>0.10689999908208847</v>
      </c>
      <c r="G72" s="158">
        <v>0.10670000314712524</v>
      </c>
      <c r="H72" s="158">
        <v>0.10670000314712524</v>
      </c>
      <c r="I72" s="158">
        <v>0.10649999976158142</v>
      </c>
      <c r="J72" s="158">
        <v>0.10649999976158142</v>
      </c>
      <c r="K72" s="158">
        <v>0.10639999806880951</v>
      </c>
      <c r="L72" s="158">
        <v>0.10649999976158142</v>
      </c>
      <c r="M72" s="158">
        <v>0.10639999806880951</v>
      </c>
      <c r="N72" s="158">
        <v>0.1062999963760376</v>
      </c>
      <c r="O72" s="158">
        <v>0.10620000213384628</v>
      </c>
      <c r="P72" s="158">
        <v>0.10610000044107437</v>
      </c>
      <c r="Q72" s="158">
        <v>0.10599999874830246</v>
      </c>
      <c r="R72" s="158">
        <v>0.10599999874830246</v>
      </c>
      <c r="S72" s="158">
        <v>0.10610000044107437</v>
      </c>
      <c r="T72" s="158">
        <v>0.10610000044107437</v>
      </c>
      <c r="U72" s="158">
        <v>0.10610000044107437</v>
      </c>
      <c r="V72" s="158">
        <f t="shared" si="1"/>
        <v>0.10610000044107437</v>
      </c>
      <c r="W72" s="158">
        <v>0.10610000044107437</v>
      </c>
      <c r="X72" s="158">
        <v>0.10599999874830246</v>
      </c>
      <c r="Y72" s="158">
        <v>0.10589999705553055</v>
      </c>
      <c r="Z72" s="158">
        <v>0.10580000281333923</v>
      </c>
      <c r="AA72" s="158">
        <v>0.10589999705553055</v>
      </c>
      <c r="AB72" s="158">
        <v>0.10559999942779541</v>
      </c>
      <c r="AC72" s="158">
        <v>0.10559999942779541</v>
      </c>
      <c r="AD72" s="158">
        <v>0.10559999942779541</v>
      </c>
      <c r="AE72" s="158">
        <v>0.10559999942779541</v>
      </c>
      <c r="AF72" s="158">
        <v>0.10589999705553055</v>
      </c>
    </row>
    <row r="73" spans="1:32" x14ac:dyDescent="0.2">
      <c r="A73" s="158" t="s">
        <v>224</v>
      </c>
      <c r="B73" s="158">
        <v>0.10710000246763229</v>
      </c>
      <c r="C73" s="158">
        <v>0.10679999738931656</v>
      </c>
      <c r="D73" s="158">
        <v>0.10670000314712524</v>
      </c>
      <c r="E73" s="158">
        <v>0.10670000314712524</v>
      </c>
      <c r="F73" s="158">
        <v>0.10660000145435333</v>
      </c>
      <c r="G73" s="158">
        <v>0.10660000145435333</v>
      </c>
      <c r="H73" s="158">
        <v>0.10639999806880951</v>
      </c>
      <c r="I73" s="158">
        <v>0.1062999963760376</v>
      </c>
      <c r="J73" s="158">
        <v>0.10620000213384628</v>
      </c>
      <c r="K73" s="158">
        <v>0.10620000213384628</v>
      </c>
      <c r="L73" s="158">
        <v>0.10620000213384628</v>
      </c>
      <c r="M73" s="158">
        <v>0.10599999874830246</v>
      </c>
      <c r="N73" s="158">
        <v>0.10589999705553055</v>
      </c>
      <c r="O73" s="158">
        <v>0.10570000112056732</v>
      </c>
      <c r="P73" s="158">
        <v>0.1054999977350235</v>
      </c>
      <c r="Q73" s="158">
        <v>0.1054999977350235</v>
      </c>
      <c r="R73" s="158">
        <v>0.1054999977350235</v>
      </c>
      <c r="S73" s="158">
        <v>0.1054999977350235</v>
      </c>
      <c r="T73" s="158">
        <v>0.10559999942779541</v>
      </c>
      <c r="U73" s="158">
        <v>0.10570000112056732</v>
      </c>
      <c r="V73" s="158">
        <f t="shared" si="1"/>
        <v>0.10559999942779541</v>
      </c>
      <c r="W73" s="158">
        <v>0.1054999977350235</v>
      </c>
      <c r="X73" s="158">
        <v>0.10540000349283218</v>
      </c>
      <c r="Y73" s="158">
        <v>0.10520000010728836</v>
      </c>
      <c r="Z73" s="158">
        <v>0.10509999841451645</v>
      </c>
      <c r="AA73" s="158">
        <v>0.10490000247955322</v>
      </c>
      <c r="AB73" s="158">
        <v>0.10480000078678131</v>
      </c>
      <c r="AC73" s="158">
        <v>0.10480000078678131</v>
      </c>
      <c r="AD73" s="158">
        <v>0.10480000078678131</v>
      </c>
      <c r="AE73" s="158">
        <v>0.1046999990940094</v>
      </c>
      <c r="AF73" s="158">
        <v>0.10490000247955322</v>
      </c>
    </row>
    <row r="74" spans="1:32" x14ac:dyDescent="0.2">
      <c r="A74" s="158" t="s">
        <v>225</v>
      </c>
      <c r="B74" s="158">
        <v>0.10719999670982361</v>
      </c>
      <c r="C74" s="158">
        <v>0.10719999670982361</v>
      </c>
      <c r="D74" s="158">
        <v>0.10719999670982361</v>
      </c>
      <c r="E74" s="158">
        <v>0.10729999840259552</v>
      </c>
      <c r="F74" s="158">
        <v>0.10729999840259552</v>
      </c>
      <c r="G74" s="158">
        <v>0.10740000009536743</v>
      </c>
      <c r="H74" s="158">
        <v>0.10729999840259552</v>
      </c>
      <c r="I74" s="158">
        <v>0.10729999840259552</v>
      </c>
      <c r="J74" s="158">
        <v>0.10719999670982361</v>
      </c>
      <c r="K74" s="158">
        <v>0.10719999670982361</v>
      </c>
      <c r="L74" s="158">
        <v>0.10719999670982361</v>
      </c>
      <c r="M74" s="158">
        <v>0.10729999840259552</v>
      </c>
      <c r="N74" s="158">
        <v>0.10689999908208847</v>
      </c>
      <c r="O74" s="158">
        <v>0.10679999738931656</v>
      </c>
      <c r="P74" s="158">
        <v>0.10660000145435333</v>
      </c>
      <c r="Q74" s="158">
        <v>0.10660000145435333</v>
      </c>
      <c r="R74" s="158">
        <v>0.10660000145435333</v>
      </c>
      <c r="S74" s="158">
        <v>0.10670000314712524</v>
      </c>
      <c r="T74" s="158">
        <v>0.10679999738931656</v>
      </c>
      <c r="U74" s="158">
        <v>0.10689999908208847</v>
      </c>
      <c r="V74" s="158">
        <f t="shared" si="1"/>
        <v>0.10684999823570251</v>
      </c>
      <c r="W74" s="158">
        <v>0.10679999738931656</v>
      </c>
      <c r="X74" s="158">
        <v>0.10679999738931656</v>
      </c>
      <c r="Y74" s="158">
        <v>0.10649999976158142</v>
      </c>
      <c r="Z74" s="158">
        <v>0.1062999963760376</v>
      </c>
      <c r="AA74" s="158">
        <v>0.10620000213384628</v>
      </c>
      <c r="AB74" s="158">
        <v>0.10610000044107437</v>
      </c>
      <c r="AC74" s="158">
        <v>0.10610000044107437</v>
      </c>
      <c r="AD74" s="158">
        <v>0.10610000044107437</v>
      </c>
      <c r="AE74" s="158">
        <v>0.10610000044107437</v>
      </c>
      <c r="AF74" s="158">
        <v>0.10620000213384628</v>
      </c>
    </row>
    <row r="75" spans="1:32" x14ac:dyDescent="0.2">
      <c r="A75" s="158" t="s">
        <v>226</v>
      </c>
      <c r="B75" s="158">
        <v>0.10740000009536743</v>
      </c>
      <c r="C75" s="158">
        <v>0.10710000246763229</v>
      </c>
      <c r="D75" s="158">
        <v>0.10710000246763229</v>
      </c>
      <c r="E75" s="158">
        <v>0.10700000077486038</v>
      </c>
      <c r="F75" s="158">
        <v>0.10689999908208847</v>
      </c>
      <c r="G75" s="158">
        <v>0.10719999670982361</v>
      </c>
      <c r="H75" s="158">
        <v>0.10679999738931656</v>
      </c>
      <c r="I75" s="158">
        <v>0.10670000314712524</v>
      </c>
      <c r="J75" s="158">
        <v>0.10670000314712524</v>
      </c>
      <c r="K75" s="158">
        <v>0.10670000314712524</v>
      </c>
      <c r="L75" s="158">
        <v>0.10670000314712524</v>
      </c>
      <c r="M75" s="158">
        <v>0.10649999976158142</v>
      </c>
      <c r="N75" s="158">
        <v>0.10639999806880951</v>
      </c>
      <c r="O75" s="158">
        <v>0.10620000213384628</v>
      </c>
      <c r="P75" s="158">
        <v>0.10599999874830246</v>
      </c>
      <c r="Q75" s="158">
        <v>0.10599999874830246</v>
      </c>
      <c r="R75" s="158">
        <v>0.10599999874830246</v>
      </c>
      <c r="S75" s="158">
        <v>0.10599999874830246</v>
      </c>
      <c r="T75" s="158">
        <v>0.10610000044107437</v>
      </c>
      <c r="U75" s="158">
        <v>0.10620000213384628</v>
      </c>
      <c r="V75" s="158">
        <f t="shared" si="1"/>
        <v>0.10615000128746033</v>
      </c>
      <c r="W75" s="158">
        <v>0.10610000044107437</v>
      </c>
      <c r="X75" s="158">
        <v>0.10599999874830246</v>
      </c>
      <c r="Y75" s="158">
        <v>0.10570000112056732</v>
      </c>
      <c r="Z75" s="158">
        <v>0.1054999977350235</v>
      </c>
      <c r="AA75" s="158">
        <v>0.10540000349283218</v>
      </c>
      <c r="AB75" s="158">
        <v>0.10540000349283218</v>
      </c>
      <c r="AC75" s="158">
        <v>0.10530000180006027</v>
      </c>
      <c r="AD75" s="158">
        <v>0.10540000349283218</v>
      </c>
      <c r="AE75" s="158">
        <v>0.10530000180006027</v>
      </c>
      <c r="AF75" s="158">
        <v>0.1054999977350235</v>
      </c>
    </row>
    <row r="76" spans="1:32" x14ac:dyDescent="0.2">
      <c r="A76" s="158" t="s">
        <v>227</v>
      </c>
      <c r="B76" s="158">
        <v>0.10859999805688858</v>
      </c>
      <c r="C76" s="158">
        <v>0.10819999873638153</v>
      </c>
      <c r="D76" s="158">
        <v>0.10809999704360962</v>
      </c>
      <c r="E76" s="158">
        <v>0.10819999873638153</v>
      </c>
      <c r="F76" s="158">
        <v>0.10809999704360962</v>
      </c>
      <c r="G76" s="158">
        <v>0.10819999873638153</v>
      </c>
      <c r="H76" s="158">
        <v>0.10809999704360962</v>
      </c>
      <c r="I76" s="158">
        <v>0.1080000028014183</v>
      </c>
      <c r="J76" s="158">
        <v>0.1080000028014183</v>
      </c>
      <c r="K76" s="158">
        <v>0.1080000028014183</v>
      </c>
      <c r="L76" s="158">
        <v>0.1080000028014183</v>
      </c>
      <c r="M76" s="158">
        <v>0.10779999941587448</v>
      </c>
      <c r="N76" s="158">
        <v>0.10769999772310257</v>
      </c>
      <c r="O76" s="158">
        <v>0.10750000178813934</v>
      </c>
      <c r="P76" s="158">
        <v>0.10729999840259552</v>
      </c>
      <c r="Q76" s="158">
        <v>0.10760000348091125</v>
      </c>
      <c r="R76" s="158">
        <v>0.10729999840259552</v>
      </c>
      <c r="S76" s="158">
        <v>0.10760000348091125</v>
      </c>
      <c r="T76" s="158">
        <v>0.10760000348091125</v>
      </c>
      <c r="U76" s="158">
        <v>0.10769999772310257</v>
      </c>
      <c r="V76" s="158">
        <f t="shared" si="1"/>
        <v>0.10799999907612801</v>
      </c>
      <c r="W76" s="158">
        <v>0.10830000042915344</v>
      </c>
      <c r="X76" s="158">
        <v>0.10819999873638153</v>
      </c>
      <c r="Y76" s="158">
        <v>0.10939999669790268</v>
      </c>
      <c r="Z76" s="158">
        <v>0.10899999737739563</v>
      </c>
      <c r="AA76" s="158">
        <v>0.10920000076293945</v>
      </c>
      <c r="AB76" s="158">
        <v>0.10930000245571136</v>
      </c>
      <c r="AC76" s="158">
        <v>0.10890000313520432</v>
      </c>
      <c r="AD76" s="158">
        <v>0.10890000313520432</v>
      </c>
      <c r="AE76" s="158">
        <v>0.1088000014424324</v>
      </c>
      <c r="AF76" s="158">
        <v>0.10830000042915344</v>
      </c>
    </row>
    <row r="77" spans="1:32" x14ac:dyDescent="0.2">
      <c r="A77" s="158" t="s">
        <v>228</v>
      </c>
      <c r="B77" s="158">
        <v>0.10719999670982361</v>
      </c>
      <c r="C77" s="158">
        <v>0.10660000145435333</v>
      </c>
      <c r="D77" s="158">
        <v>0.10660000145435333</v>
      </c>
      <c r="E77" s="158">
        <v>0.10660000145435333</v>
      </c>
      <c r="F77" s="158">
        <v>0.10639999806880951</v>
      </c>
      <c r="G77" s="158">
        <v>0.10649999976158142</v>
      </c>
      <c r="H77" s="158">
        <v>0.10660000145435333</v>
      </c>
      <c r="I77" s="158">
        <v>0.10620000213384628</v>
      </c>
      <c r="J77" s="158">
        <v>0.10620000213384628</v>
      </c>
      <c r="K77" s="158">
        <v>0.10620000213384628</v>
      </c>
      <c r="L77" s="158">
        <v>0.10610000044107437</v>
      </c>
      <c r="M77" s="158">
        <v>0.10589999705553055</v>
      </c>
      <c r="N77" s="158">
        <v>0.10580000281333923</v>
      </c>
      <c r="O77" s="158">
        <v>0.1054999977350235</v>
      </c>
      <c r="P77" s="158">
        <v>0.10530000180006027</v>
      </c>
      <c r="Q77" s="158">
        <v>0.10530000180006027</v>
      </c>
      <c r="R77" s="158">
        <v>0.10530000180006027</v>
      </c>
      <c r="S77" s="158">
        <v>0.10540000349283218</v>
      </c>
      <c r="T77" s="158">
        <v>0.10570000112056732</v>
      </c>
      <c r="U77" s="158">
        <v>0.10570000112056732</v>
      </c>
      <c r="V77" s="158">
        <f t="shared" si="1"/>
        <v>0.10610000044107437</v>
      </c>
      <c r="W77" s="158">
        <v>0.10649999976158142</v>
      </c>
      <c r="X77" s="158">
        <v>0.10639999806880951</v>
      </c>
      <c r="Y77" s="158">
        <v>0.10620000213384628</v>
      </c>
      <c r="Z77" s="158">
        <v>0.10580000281333923</v>
      </c>
      <c r="AA77" s="158">
        <v>0.10570000112056732</v>
      </c>
      <c r="AB77" s="158">
        <v>0.10559999942779541</v>
      </c>
      <c r="AC77" s="158">
        <v>0.10540000349283218</v>
      </c>
      <c r="AD77" s="158">
        <v>0.1054999977350235</v>
      </c>
      <c r="AE77" s="158">
        <v>0.1054999977350235</v>
      </c>
      <c r="AF77" s="158">
        <v>0.10580000281333923</v>
      </c>
    </row>
    <row r="78" spans="1:32" x14ac:dyDescent="0.2">
      <c r="A78" s="158" t="s">
        <v>229</v>
      </c>
      <c r="B78" s="158">
        <v>0.10790000110864639</v>
      </c>
      <c r="C78" s="158">
        <v>0.10760000348091125</v>
      </c>
      <c r="D78" s="158">
        <v>0.10750000178813934</v>
      </c>
      <c r="E78" s="158">
        <v>0.10750000178813934</v>
      </c>
      <c r="F78" s="158">
        <v>0.10750000178813934</v>
      </c>
      <c r="G78" s="158">
        <v>0.10760000348091125</v>
      </c>
      <c r="H78" s="158">
        <v>0.10750000178813934</v>
      </c>
      <c r="I78" s="158">
        <v>0.10750000178813934</v>
      </c>
      <c r="J78" s="158">
        <v>0.10740000009536743</v>
      </c>
      <c r="K78" s="158">
        <v>0.10740000009536743</v>
      </c>
      <c r="L78" s="158">
        <v>0.10740000009536743</v>
      </c>
      <c r="M78" s="158">
        <v>0.10719999670982361</v>
      </c>
      <c r="N78" s="158">
        <v>0.10700000077486038</v>
      </c>
      <c r="O78" s="158">
        <v>0.10670000314712524</v>
      </c>
      <c r="P78" s="158">
        <v>0.10679999738931656</v>
      </c>
      <c r="Q78" s="158">
        <v>0.10649999976158142</v>
      </c>
      <c r="R78" s="158">
        <v>0.10660000145435333</v>
      </c>
      <c r="S78" s="158">
        <v>0.10679999738931656</v>
      </c>
      <c r="T78" s="158">
        <v>0.10700000077486038</v>
      </c>
      <c r="U78" s="158">
        <v>0.10710000246763229</v>
      </c>
      <c r="V78" s="158">
        <f t="shared" si="1"/>
        <v>0.10710000246763229</v>
      </c>
      <c r="W78" s="158">
        <v>0.10710000246763229</v>
      </c>
      <c r="X78" s="158">
        <v>0.10679999738931656</v>
      </c>
      <c r="Y78" s="158">
        <v>0.10660000145435333</v>
      </c>
      <c r="Z78" s="158">
        <v>0.1062999963760376</v>
      </c>
      <c r="AA78" s="158">
        <v>0.10620000213384628</v>
      </c>
      <c r="AB78" s="158">
        <v>0.10599999874830246</v>
      </c>
      <c r="AC78" s="158">
        <v>0.10589999705553055</v>
      </c>
      <c r="AD78" s="158">
        <v>0.10599999874830246</v>
      </c>
      <c r="AE78" s="158">
        <v>0.10599999874830246</v>
      </c>
      <c r="AF78" s="158">
        <v>0.10610000044107437</v>
      </c>
    </row>
    <row r="79" spans="1:32" x14ac:dyDescent="0.2">
      <c r="A79" s="158" t="s">
        <v>230</v>
      </c>
      <c r="B79" s="158">
        <v>0.10639999806880951</v>
      </c>
      <c r="C79" s="158">
        <v>0.10589999705553055</v>
      </c>
      <c r="D79" s="158">
        <v>0.10570000112056732</v>
      </c>
      <c r="E79" s="158">
        <v>0.10570000112056732</v>
      </c>
      <c r="F79" s="158">
        <v>0.1054999977350235</v>
      </c>
      <c r="G79" s="158">
        <v>0.10559999942779541</v>
      </c>
      <c r="H79" s="158">
        <v>0.10540000349283218</v>
      </c>
      <c r="I79" s="158">
        <v>0.10530000180006027</v>
      </c>
      <c r="J79" s="158">
        <v>0.10509999841451645</v>
      </c>
      <c r="K79" s="158">
        <v>0.10520000010728836</v>
      </c>
      <c r="L79" s="158">
        <v>0.10520000010728836</v>
      </c>
      <c r="M79" s="158">
        <v>0.10499999672174454</v>
      </c>
      <c r="N79" s="158">
        <v>0.10480000078678131</v>
      </c>
      <c r="O79" s="158">
        <v>0.10450000315904617</v>
      </c>
      <c r="P79" s="158">
        <v>0.10429999977350235</v>
      </c>
      <c r="Q79" s="158">
        <v>0.10429999977350235</v>
      </c>
      <c r="R79" s="158">
        <v>0.10429999977350235</v>
      </c>
      <c r="S79" s="158">
        <v>0.10440000146627426</v>
      </c>
      <c r="T79" s="158">
        <v>0.10459999740123749</v>
      </c>
      <c r="U79" s="158">
        <v>0.1046999990940094</v>
      </c>
      <c r="V79" s="158">
        <f t="shared" si="1"/>
        <v>0.10520000010728836</v>
      </c>
      <c r="W79" s="158">
        <v>0.10570000112056732</v>
      </c>
      <c r="X79" s="158">
        <v>0.10540000349283218</v>
      </c>
      <c r="Y79" s="158">
        <v>0.10509999841451645</v>
      </c>
      <c r="Z79" s="158">
        <v>0.10499999672174454</v>
      </c>
      <c r="AA79" s="158">
        <v>0.10480000078678131</v>
      </c>
      <c r="AB79" s="158">
        <v>0.1046999990940094</v>
      </c>
      <c r="AC79" s="158">
        <v>0.10459999740123749</v>
      </c>
      <c r="AD79" s="158">
        <v>0.10459999740123749</v>
      </c>
      <c r="AE79" s="158">
        <v>0.1046999990940094</v>
      </c>
      <c r="AF79" s="158">
        <v>0.10400000214576721</v>
      </c>
    </row>
    <row r="80" spans="1:32" x14ac:dyDescent="0.2">
      <c r="A80" s="158" t="s">
        <v>231</v>
      </c>
      <c r="B80" s="158">
        <v>0.10719999670982361</v>
      </c>
      <c r="C80" s="158">
        <v>0.10679999738931656</v>
      </c>
      <c r="D80" s="158">
        <v>0.10670000314712524</v>
      </c>
      <c r="E80" s="158">
        <v>0.10660000145435333</v>
      </c>
      <c r="F80" s="158">
        <v>0.10660000145435333</v>
      </c>
      <c r="G80" s="158">
        <v>0.10679999738931656</v>
      </c>
      <c r="H80" s="158">
        <v>0.10670000314712524</v>
      </c>
      <c r="I80" s="158">
        <v>0.10670000314712524</v>
      </c>
      <c r="J80" s="158">
        <v>0.10660000145435333</v>
      </c>
      <c r="K80" s="158">
        <v>0.10679999738931656</v>
      </c>
      <c r="L80" s="158">
        <v>0.10660000145435333</v>
      </c>
      <c r="M80" s="158">
        <v>0.10639999806880951</v>
      </c>
      <c r="N80" s="158">
        <v>0.10620000213384628</v>
      </c>
      <c r="O80" s="158">
        <v>0.10599999874830246</v>
      </c>
      <c r="P80" s="158">
        <v>0.10580000281333923</v>
      </c>
      <c r="Q80" s="158">
        <v>0.10580000281333923</v>
      </c>
      <c r="R80" s="158">
        <v>0.10580000281333923</v>
      </c>
      <c r="S80" s="158">
        <v>0.10599999874830246</v>
      </c>
      <c r="T80" s="158">
        <v>0.10620000213384628</v>
      </c>
      <c r="U80" s="158">
        <v>0.1062999963760376</v>
      </c>
      <c r="V80" s="158">
        <f t="shared" si="1"/>
        <v>0.1062999963760376</v>
      </c>
      <c r="W80" s="158">
        <v>0.1062999963760376</v>
      </c>
      <c r="X80" s="158">
        <v>0.10610000044107437</v>
      </c>
      <c r="Y80" s="158">
        <v>0.10580000281333923</v>
      </c>
      <c r="Z80" s="158">
        <v>0.10559999942779541</v>
      </c>
      <c r="AA80" s="158">
        <v>0.10540000349283218</v>
      </c>
      <c r="AB80" s="158">
        <v>0.10530000180006027</v>
      </c>
      <c r="AC80" s="158">
        <v>0.10520000010728836</v>
      </c>
      <c r="AD80" s="158">
        <v>0.10520000010728836</v>
      </c>
      <c r="AE80" s="158">
        <v>0.10530000180006027</v>
      </c>
      <c r="AF80" s="158">
        <v>0.10530000180006027</v>
      </c>
    </row>
    <row r="81" spans="1:32" x14ac:dyDescent="0.2">
      <c r="A81" s="158" t="s">
        <v>232</v>
      </c>
      <c r="B81" s="158">
        <v>0.10719999670982361</v>
      </c>
      <c r="C81" s="158">
        <v>0.10660000145435333</v>
      </c>
      <c r="D81" s="158">
        <v>0.1062999963760376</v>
      </c>
      <c r="E81" s="158">
        <v>0.1062999963760376</v>
      </c>
      <c r="F81" s="158">
        <v>0.10620000213384628</v>
      </c>
      <c r="G81" s="158">
        <v>0.1062999963760376</v>
      </c>
      <c r="H81" s="158">
        <v>0.10620000213384628</v>
      </c>
      <c r="I81" s="158">
        <v>0.10610000044107437</v>
      </c>
      <c r="J81" s="158">
        <v>0.10599999874830246</v>
      </c>
      <c r="K81" s="158">
        <v>0.10599999874830246</v>
      </c>
      <c r="L81" s="158">
        <v>0.10599999874830246</v>
      </c>
      <c r="M81" s="158">
        <v>0.10570000112056732</v>
      </c>
      <c r="N81" s="158">
        <v>0.1054999977350235</v>
      </c>
      <c r="O81" s="158">
        <v>0.10520000010728836</v>
      </c>
      <c r="P81" s="158">
        <v>0.10499999672174454</v>
      </c>
      <c r="Q81" s="158">
        <v>0.10499999672174454</v>
      </c>
      <c r="R81" s="158">
        <v>0.10499999672174454</v>
      </c>
      <c r="S81" s="158">
        <v>0.10520000010728836</v>
      </c>
      <c r="T81" s="158">
        <v>0.10540000349283218</v>
      </c>
      <c r="U81" s="158">
        <v>0.1054999977350235</v>
      </c>
      <c r="V81" s="158">
        <f t="shared" si="1"/>
        <v>0.10545000061392784</v>
      </c>
      <c r="W81" s="158">
        <v>0.10540000349283218</v>
      </c>
      <c r="X81" s="158">
        <v>0.10520000010728836</v>
      </c>
      <c r="Y81" s="158">
        <v>0.10490000247955322</v>
      </c>
      <c r="Z81" s="158">
        <v>0.10459999740123749</v>
      </c>
      <c r="AA81" s="158">
        <v>0.10440000146627426</v>
      </c>
      <c r="AB81" s="158">
        <v>0.10429999977350235</v>
      </c>
      <c r="AC81" s="158">
        <v>0.10419999808073044</v>
      </c>
      <c r="AD81" s="158">
        <v>0.10419999808073044</v>
      </c>
      <c r="AE81" s="158">
        <v>0.10419999808073044</v>
      </c>
      <c r="AF81" s="158">
        <v>0.10440000146627426</v>
      </c>
    </row>
    <row r="82" spans="1:32" x14ac:dyDescent="0.2">
      <c r="A82" s="158" t="s">
        <v>233</v>
      </c>
      <c r="B82" s="158">
        <v>0.10769999772310257</v>
      </c>
      <c r="C82" s="158">
        <v>0.10729999840259552</v>
      </c>
      <c r="D82" s="158">
        <v>0.10689999908208847</v>
      </c>
      <c r="E82" s="158">
        <v>0.10689999908208847</v>
      </c>
      <c r="F82" s="158">
        <v>0.10689999908208847</v>
      </c>
      <c r="G82" s="158">
        <v>0.10719999670982361</v>
      </c>
      <c r="H82" s="158">
        <v>0.10710000246763229</v>
      </c>
      <c r="I82" s="158">
        <v>0.10710000246763229</v>
      </c>
      <c r="J82" s="158">
        <v>0.10700000077486038</v>
      </c>
      <c r="K82" s="158">
        <v>0.10700000077486038</v>
      </c>
      <c r="L82" s="158">
        <v>0.10689999908208847</v>
      </c>
      <c r="M82" s="158">
        <v>0.10670000314712524</v>
      </c>
      <c r="N82" s="158">
        <v>0.10639999806880951</v>
      </c>
      <c r="O82" s="158">
        <v>0.10620000213384628</v>
      </c>
      <c r="P82" s="158">
        <v>0.10599999874830246</v>
      </c>
      <c r="Q82" s="158">
        <v>0.10589999705553055</v>
      </c>
      <c r="R82" s="158">
        <v>0.10599999874830246</v>
      </c>
      <c r="S82" s="158">
        <v>0.10620000213384628</v>
      </c>
      <c r="T82" s="158">
        <v>0.10670000314712524</v>
      </c>
      <c r="U82" s="158">
        <v>0.10660000145435333</v>
      </c>
      <c r="V82" s="158">
        <f t="shared" si="1"/>
        <v>0.10660000145435333</v>
      </c>
      <c r="W82" s="158">
        <v>0.10660000145435333</v>
      </c>
      <c r="X82" s="158">
        <v>0.1062999963760376</v>
      </c>
      <c r="Y82" s="158">
        <v>0.10620000213384628</v>
      </c>
      <c r="Z82" s="158">
        <v>0.10559999942779541</v>
      </c>
      <c r="AA82" s="158">
        <v>0.1054999977350235</v>
      </c>
      <c r="AB82" s="158">
        <v>0.10530000180006027</v>
      </c>
      <c r="AC82" s="158">
        <v>0.10509999841451645</v>
      </c>
      <c r="AD82" s="158">
        <v>0.10509999841451645</v>
      </c>
      <c r="AE82" s="158">
        <v>0.10520000010728836</v>
      </c>
      <c r="AF82" s="158">
        <v>0.10530000180006027</v>
      </c>
    </row>
    <row r="83" spans="1:32" x14ac:dyDescent="0.2">
      <c r="A83" s="158" t="s">
        <v>234</v>
      </c>
      <c r="B83" s="158">
        <v>0.10710000246763229</v>
      </c>
      <c r="C83" s="158">
        <v>0.10679999738931656</v>
      </c>
      <c r="D83" s="158">
        <v>0.10639999806880951</v>
      </c>
      <c r="E83" s="158">
        <v>0.10639999806880951</v>
      </c>
      <c r="F83" s="158">
        <v>0.1062999963760376</v>
      </c>
      <c r="G83" s="158">
        <v>0.10649999976158142</v>
      </c>
      <c r="H83" s="158">
        <v>0.10639999806880951</v>
      </c>
      <c r="I83" s="158">
        <v>0.1062999963760376</v>
      </c>
      <c r="J83" s="158">
        <v>0.10639999806880951</v>
      </c>
      <c r="K83" s="158">
        <v>0.10620000213384628</v>
      </c>
      <c r="L83" s="158">
        <v>0.10620000213384628</v>
      </c>
      <c r="M83" s="158">
        <v>0.10599999874830246</v>
      </c>
      <c r="N83" s="158">
        <v>0.10580000281333923</v>
      </c>
      <c r="O83" s="158">
        <v>0.1054999977350235</v>
      </c>
      <c r="P83" s="158">
        <v>0.10530000180006027</v>
      </c>
      <c r="Q83" s="158">
        <v>0.10530000180006027</v>
      </c>
      <c r="R83" s="158">
        <v>0.10540000349283218</v>
      </c>
      <c r="S83" s="158">
        <v>0.10559999942779541</v>
      </c>
      <c r="T83" s="158">
        <v>0.10580000281333923</v>
      </c>
      <c r="U83" s="158">
        <v>0.10589999705553055</v>
      </c>
      <c r="V83" s="158">
        <f t="shared" si="1"/>
        <v>0.10589999705553055</v>
      </c>
      <c r="W83" s="158">
        <v>0.10589999705553055</v>
      </c>
      <c r="X83" s="158">
        <v>0.10570000112056732</v>
      </c>
      <c r="Y83" s="158">
        <v>0.10530000180006027</v>
      </c>
      <c r="Z83" s="158">
        <v>0.10509999841451645</v>
      </c>
      <c r="AA83" s="158">
        <v>0.10520000010728836</v>
      </c>
      <c r="AB83" s="158">
        <v>0.10480000078678131</v>
      </c>
      <c r="AC83" s="158">
        <v>0.10459999740123749</v>
      </c>
      <c r="AD83" s="158">
        <v>0.1046999990940094</v>
      </c>
      <c r="AE83" s="158">
        <v>0.1046999990940094</v>
      </c>
      <c r="AF83" s="158">
        <v>0.10509999841451645</v>
      </c>
    </row>
    <row r="84" spans="1:32" x14ac:dyDescent="0.2">
      <c r="A84" s="158" t="s">
        <v>235</v>
      </c>
      <c r="B84" s="158">
        <v>0.10719999670982361</v>
      </c>
      <c r="C84" s="158">
        <v>0.10679999738931656</v>
      </c>
      <c r="D84" s="158">
        <v>0.10670000314712524</v>
      </c>
      <c r="E84" s="158">
        <v>0.10649999976158142</v>
      </c>
      <c r="F84" s="158">
        <v>0.10639999806880951</v>
      </c>
      <c r="G84" s="158">
        <v>0.10670000314712524</v>
      </c>
      <c r="H84" s="158">
        <v>0.10660000145435333</v>
      </c>
      <c r="I84" s="158">
        <v>0.10639999806880951</v>
      </c>
      <c r="J84" s="158">
        <v>0.10639999806880951</v>
      </c>
      <c r="K84" s="158">
        <v>0.10639999806880951</v>
      </c>
      <c r="L84" s="158">
        <v>0.10639999806880951</v>
      </c>
      <c r="M84" s="158">
        <v>0.10610000044107437</v>
      </c>
      <c r="N84" s="158">
        <v>0.10580000281333923</v>
      </c>
      <c r="O84" s="158">
        <v>0.10559999942779541</v>
      </c>
      <c r="P84" s="158">
        <v>0.10540000349283218</v>
      </c>
      <c r="Q84" s="158">
        <v>0.10540000349283218</v>
      </c>
      <c r="R84" s="158">
        <v>0.1054999977350235</v>
      </c>
      <c r="S84" s="158">
        <v>0.10559999942779541</v>
      </c>
      <c r="T84" s="158">
        <v>0.10589999705553055</v>
      </c>
      <c r="U84" s="158">
        <v>0.10599999874830246</v>
      </c>
      <c r="V84" s="158">
        <f t="shared" si="1"/>
        <v>0.10604999959468842</v>
      </c>
      <c r="W84" s="158">
        <v>0.10610000044107437</v>
      </c>
      <c r="X84" s="158">
        <v>0.10580000281333923</v>
      </c>
      <c r="Y84" s="158">
        <v>0.1054999977350235</v>
      </c>
      <c r="Z84" s="158">
        <v>0.10520000010728836</v>
      </c>
      <c r="AA84" s="158">
        <v>0.10499999672174454</v>
      </c>
      <c r="AB84" s="158">
        <v>0.10490000247955322</v>
      </c>
      <c r="AC84" s="158">
        <v>0.1046999990940094</v>
      </c>
      <c r="AD84" s="158">
        <v>0.10480000078678131</v>
      </c>
      <c r="AE84" s="158">
        <v>0.10480000078678131</v>
      </c>
      <c r="AF84" s="158">
        <v>0.10499999672174454</v>
      </c>
    </row>
    <row r="85" spans="1:32" x14ac:dyDescent="0.2">
      <c r="A85" s="158" t="s">
        <v>236</v>
      </c>
      <c r="B85" s="158">
        <v>0.10639999806880951</v>
      </c>
      <c r="C85" s="158">
        <v>0.10599999874830246</v>
      </c>
      <c r="D85" s="158">
        <v>0.10580000281333923</v>
      </c>
      <c r="E85" s="158">
        <v>0.10580000281333923</v>
      </c>
      <c r="F85" s="158">
        <v>0.10610000044107437</v>
      </c>
      <c r="G85" s="158">
        <v>0.10620000213384628</v>
      </c>
      <c r="H85" s="158">
        <v>0.10610000044107437</v>
      </c>
      <c r="I85" s="158">
        <v>0.10599999874830246</v>
      </c>
      <c r="J85" s="158">
        <v>0.10580000281333923</v>
      </c>
      <c r="K85" s="158">
        <v>0.10580000281333923</v>
      </c>
      <c r="L85" s="158">
        <v>0.10580000281333923</v>
      </c>
      <c r="M85" s="158">
        <v>0.10559999942779541</v>
      </c>
      <c r="N85" s="158">
        <v>0.10530000180006027</v>
      </c>
      <c r="O85" s="158">
        <v>0.10490000247955322</v>
      </c>
      <c r="P85" s="158">
        <v>0.10490000247955322</v>
      </c>
      <c r="Q85" s="158">
        <v>0.10480000078678131</v>
      </c>
      <c r="R85" s="158">
        <v>0.10480000078678131</v>
      </c>
      <c r="S85" s="158">
        <v>0.10509999841451645</v>
      </c>
      <c r="T85" s="158">
        <v>0.10530000180006027</v>
      </c>
      <c r="U85" s="158">
        <v>0.10559999942779541</v>
      </c>
      <c r="V85" s="158">
        <f t="shared" si="1"/>
        <v>0.10619999840855598</v>
      </c>
      <c r="W85" s="158">
        <v>0.10679999738931656</v>
      </c>
      <c r="X85" s="158">
        <v>0.1062999963760376</v>
      </c>
      <c r="Y85" s="158">
        <v>0.10589999705553055</v>
      </c>
      <c r="Z85" s="158">
        <v>0.10580000281333923</v>
      </c>
      <c r="AA85" s="158">
        <v>0.10570000112056732</v>
      </c>
      <c r="AB85" s="158">
        <v>0.10540000349283218</v>
      </c>
      <c r="AC85" s="158">
        <v>0.1054999977350235</v>
      </c>
      <c r="AD85" s="158">
        <v>0.10520000010728836</v>
      </c>
      <c r="AE85" s="158">
        <v>0.10540000349283218</v>
      </c>
      <c r="AF85" s="158">
        <v>0.10480000078678131</v>
      </c>
    </row>
    <row r="86" spans="1:32" x14ac:dyDescent="0.2">
      <c r="A86" s="158" t="s">
        <v>237</v>
      </c>
      <c r="B86" s="158">
        <v>0.10670000314712524</v>
      </c>
      <c r="C86" s="158">
        <v>0.1062999963760376</v>
      </c>
      <c r="D86" s="158">
        <v>0.10620000213384628</v>
      </c>
      <c r="E86" s="158">
        <v>0.10610000044107437</v>
      </c>
      <c r="F86" s="158">
        <v>0.10599999874830246</v>
      </c>
      <c r="G86" s="158">
        <v>0.1062999963760376</v>
      </c>
      <c r="H86" s="158">
        <v>0.10620000213384628</v>
      </c>
      <c r="I86" s="158">
        <v>0.10610000044107437</v>
      </c>
      <c r="J86" s="158">
        <v>0.10649999976158142</v>
      </c>
      <c r="K86" s="158">
        <v>0.10599999874830246</v>
      </c>
      <c r="L86" s="158">
        <v>0.10610000044107437</v>
      </c>
      <c r="M86" s="158">
        <v>0.10589999705553055</v>
      </c>
      <c r="N86" s="158">
        <v>0.1054999977350235</v>
      </c>
      <c r="O86" s="158">
        <v>0.10520000010728836</v>
      </c>
      <c r="P86" s="158">
        <v>0.10499999672174454</v>
      </c>
      <c r="Q86" s="158">
        <v>0.10499999672174454</v>
      </c>
      <c r="R86" s="158">
        <v>0.10509999841451645</v>
      </c>
      <c r="S86" s="158">
        <v>0.10520000010728836</v>
      </c>
      <c r="T86" s="158">
        <v>0.1054999977350235</v>
      </c>
      <c r="U86" s="158">
        <v>0.10559999942779541</v>
      </c>
      <c r="V86" s="158">
        <f t="shared" si="1"/>
        <v>0.10559999942779541</v>
      </c>
      <c r="W86" s="158">
        <v>0.10559999942779541</v>
      </c>
      <c r="X86" s="158">
        <v>0.10540000349283218</v>
      </c>
      <c r="Y86" s="158">
        <v>0.10509999841451645</v>
      </c>
      <c r="Z86" s="158">
        <v>0.10480000078678131</v>
      </c>
      <c r="AA86" s="158">
        <v>0.10459999740123749</v>
      </c>
      <c r="AB86" s="158">
        <v>0.10440000146627426</v>
      </c>
      <c r="AC86" s="158">
        <v>0.10429999977350235</v>
      </c>
      <c r="AD86" s="158">
        <v>0.10429999977350235</v>
      </c>
      <c r="AE86" s="158">
        <v>0.10440000146627426</v>
      </c>
      <c r="AF86" s="158">
        <v>0.10459999740123749</v>
      </c>
    </row>
    <row r="87" spans="1:32" x14ac:dyDescent="0.2">
      <c r="A87" s="158" t="s">
        <v>238</v>
      </c>
      <c r="B87" s="158">
        <v>0.10679999738931656</v>
      </c>
      <c r="C87" s="158">
        <v>0.10649999976158142</v>
      </c>
      <c r="D87" s="158">
        <v>0.10639999806880951</v>
      </c>
      <c r="E87" s="158">
        <v>0.1062999963760376</v>
      </c>
      <c r="F87" s="158">
        <v>0.10620000213384628</v>
      </c>
      <c r="G87" s="158">
        <v>0.10639999806880951</v>
      </c>
      <c r="H87" s="158">
        <v>0.1062999963760376</v>
      </c>
      <c r="I87" s="158">
        <v>0.10620000213384628</v>
      </c>
      <c r="J87" s="158">
        <v>0.10610000044107437</v>
      </c>
      <c r="K87" s="158">
        <v>0.10610000044107437</v>
      </c>
      <c r="L87" s="158">
        <v>0.10610000044107437</v>
      </c>
      <c r="M87" s="158">
        <v>0.10580000281333923</v>
      </c>
      <c r="N87" s="158">
        <v>0.10559999942779541</v>
      </c>
      <c r="O87" s="158">
        <v>0.1054999977350235</v>
      </c>
      <c r="P87" s="158">
        <v>0.10509999841451645</v>
      </c>
      <c r="Q87" s="158">
        <v>0.10509999841451645</v>
      </c>
      <c r="R87" s="158">
        <v>0.10520000010728836</v>
      </c>
      <c r="S87" s="158">
        <v>0.10530000180006027</v>
      </c>
      <c r="T87" s="158">
        <v>0.10559999942779541</v>
      </c>
      <c r="U87" s="158">
        <v>0.10559999942779541</v>
      </c>
      <c r="V87" s="158">
        <f t="shared" si="1"/>
        <v>0.10565000027418137</v>
      </c>
      <c r="W87" s="158">
        <v>0.10570000112056732</v>
      </c>
      <c r="X87" s="158">
        <v>0.10540000349283218</v>
      </c>
      <c r="Y87" s="158">
        <v>0.10509999841451645</v>
      </c>
      <c r="Z87" s="158">
        <v>0.10490000247955322</v>
      </c>
      <c r="AA87" s="158">
        <v>0.10459999740123749</v>
      </c>
      <c r="AB87" s="158">
        <v>0.10450000315904617</v>
      </c>
      <c r="AC87" s="158">
        <v>0.10440000146627426</v>
      </c>
      <c r="AD87" s="158">
        <v>0.10440000146627426</v>
      </c>
      <c r="AE87" s="158">
        <v>0.10440000146627426</v>
      </c>
      <c r="AF87" s="158">
        <v>0.10459999740123749</v>
      </c>
    </row>
    <row r="88" spans="1:32" x14ac:dyDescent="0.2">
      <c r="A88" s="158" t="s">
        <v>239</v>
      </c>
      <c r="B88" s="158">
        <v>0.10679999738931656</v>
      </c>
      <c r="C88" s="158">
        <v>0.1062999963760376</v>
      </c>
      <c r="D88" s="158">
        <v>0.10620000213384628</v>
      </c>
      <c r="E88" s="158">
        <v>0.10610000044107437</v>
      </c>
      <c r="F88" s="158">
        <v>0.10610000044107437</v>
      </c>
      <c r="G88" s="158">
        <v>0.10620000213384628</v>
      </c>
      <c r="H88" s="158">
        <v>0.10620000213384628</v>
      </c>
      <c r="I88" s="158">
        <v>0.10599999874830246</v>
      </c>
      <c r="J88" s="158">
        <v>0.10589999705553055</v>
      </c>
      <c r="K88" s="158">
        <v>0.10589999705553055</v>
      </c>
      <c r="L88" s="158">
        <v>0.10589999705553055</v>
      </c>
      <c r="M88" s="158">
        <v>0.10570000112056732</v>
      </c>
      <c r="N88" s="158">
        <v>0.10540000349283218</v>
      </c>
      <c r="O88" s="158">
        <v>0.10520000010728836</v>
      </c>
      <c r="P88" s="158">
        <v>0.10490000247955322</v>
      </c>
      <c r="Q88" s="158">
        <v>0.10499999672174454</v>
      </c>
      <c r="R88" s="158">
        <v>0.10499999672174454</v>
      </c>
      <c r="S88" s="158">
        <v>0.10520000010728836</v>
      </c>
      <c r="T88" s="158">
        <v>0.1054999977350235</v>
      </c>
      <c r="U88" s="158">
        <v>0.1054999977350235</v>
      </c>
      <c r="V88" s="158">
        <f t="shared" si="1"/>
        <v>0.1054999977350235</v>
      </c>
      <c r="W88" s="158">
        <v>0.1054999977350235</v>
      </c>
      <c r="X88" s="158">
        <v>0.10520000010728836</v>
      </c>
      <c r="Y88" s="158">
        <v>0.10499999672174454</v>
      </c>
      <c r="Z88" s="158">
        <v>0.1046999990940094</v>
      </c>
      <c r="AA88" s="158">
        <v>0.10450000315904617</v>
      </c>
      <c r="AB88" s="158">
        <v>0.10440000146627426</v>
      </c>
      <c r="AC88" s="158">
        <v>0.10429999977350235</v>
      </c>
      <c r="AD88" s="158">
        <v>0.10419999808073044</v>
      </c>
      <c r="AE88" s="158">
        <v>0.10429999977350235</v>
      </c>
      <c r="AF88" s="158">
        <v>0.10450000315904617</v>
      </c>
    </row>
    <row r="89" spans="1:32" x14ac:dyDescent="0.2">
      <c r="A89" s="158" t="s">
        <v>240</v>
      </c>
      <c r="B89" s="158">
        <v>0.10649999976158142</v>
      </c>
      <c r="C89" s="158">
        <v>0.10610000044107437</v>
      </c>
      <c r="D89" s="158">
        <v>0.10589999705553055</v>
      </c>
      <c r="E89" s="158">
        <v>0.10589999705553055</v>
      </c>
      <c r="F89" s="158">
        <v>0.10589999705553055</v>
      </c>
      <c r="G89" s="158">
        <v>0.10599999874830246</v>
      </c>
      <c r="H89" s="158">
        <v>0.10620000213384628</v>
      </c>
      <c r="I89" s="158">
        <v>0.10570000112056732</v>
      </c>
      <c r="J89" s="158">
        <v>0.10570000112056732</v>
      </c>
      <c r="K89" s="158">
        <v>0.10559999942779541</v>
      </c>
      <c r="L89" s="158">
        <v>0.10570000112056732</v>
      </c>
      <c r="M89" s="158">
        <v>0.10540000349283218</v>
      </c>
      <c r="N89" s="158">
        <v>0.10520000010728836</v>
      </c>
      <c r="O89" s="158">
        <v>0.10490000247955322</v>
      </c>
      <c r="P89" s="158">
        <v>0.1046999990940094</v>
      </c>
      <c r="Q89" s="158">
        <v>0.1046999990940094</v>
      </c>
      <c r="R89" s="158">
        <v>0.1046999990940094</v>
      </c>
      <c r="S89" s="158">
        <v>0.10509999841451645</v>
      </c>
      <c r="T89" s="158">
        <v>0.10520000010728836</v>
      </c>
      <c r="U89" s="158">
        <v>0.10530000180006027</v>
      </c>
      <c r="V89" s="158">
        <f t="shared" si="1"/>
        <v>0.10530000180006027</v>
      </c>
      <c r="W89" s="158">
        <v>0.10530000180006027</v>
      </c>
      <c r="X89" s="158">
        <v>0.10499999672174454</v>
      </c>
      <c r="Y89" s="158">
        <v>0.10480000078678131</v>
      </c>
      <c r="Z89" s="158">
        <v>0.10450000315904617</v>
      </c>
      <c r="AA89" s="158">
        <v>0.10419999808073044</v>
      </c>
      <c r="AB89" s="158">
        <v>0.10409999638795853</v>
      </c>
      <c r="AC89" s="158">
        <v>0.10400000214576721</v>
      </c>
      <c r="AD89" s="158">
        <v>0.10400000214576721</v>
      </c>
      <c r="AE89" s="158">
        <v>0.10409999638795853</v>
      </c>
      <c r="AF89" s="158">
        <v>0.10419999808073044</v>
      </c>
    </row>
    <row r="90" spans="1:32" x14ac:dyDescent="0.2">
      <c r="A90" s="158" t="s">
        <v>241</v>
      </c>
      <c r="B90" s="158">
        <v>0.10740000009536743</v>
      </c>
      <c r="C90" s="158">
        <v>0.10700000077486038</v>
      </c>
      <c r="D90" s="158">
        <v>0.10700000077486038</v>
      </c>
      <c r="E90" s="158">
        <v>0.10670000314712524</v>
      </c>
      <c r="F90" s="158">
        <v>0.10660000145435333</v>
      </c>
      <c r="G90" s="158">
        <v>0.10689999908208847</v>
      </c>
      <c r="H90" s="158">
        <v>0.10670000314712524</v>
      </c>
      <c r="I90" s="158">
        <v>0.10660000145435333</v>
      </c>
      <c r="J90" s="158">
        <v>0.10649999976158142</v>
      </c>
      <c r="K90" s="158">
        <v>0.10649999976158142</v>
      </c>
      <c r="L90" s="158">
        <v>0.10679999738931656</v>
      </c>
      <c r="M90" s="158">
        <v>0.1062999963760376</v>
      </c>
      <c r="N90" s="158">
        <v>0.10599999874830246</v>
      </c>
      <c r="O90" s="158">
        <v>0.10580000281333923</v>
      </c>
      <c r="P90" s="158">
        <v>0.1054999977350235</v>
      </c>
      <c r="Q90" s="158">
        <v>0.1054999977350235</v>
      </c>
      <c r="R90" s="158">
        <v>0.10559999942779541</v>
      </c>
      <c r="S90" s="158">
        <v>0.10570000112056732</v>
      </c>
      <c r="T90" s="158">
        <v>0.10599999874830246</v>
      </c>
      <c r="U90" s="158">
        <v>0.10610000044107437</v>
      </c>
      <c r="V90" s="158">
        <f t="shared" si="1"/>
        <v>0.10610000044107437</v>
      </c>
      <c r="W90" s="158">
        <v>0.10610000044107437</v>
      </c>
      <c r="X90" s="158">
        <v>0.10580000281333923</v>
      </c>
      <c r="Y90" s="158">
        <v>0.1054999977350235</v>
      </c>
      <c r="Z90" s="158">
        <v>0.10530000180006027</v>
      </c>
      <c r="AA90" s="158">
        <v>0.10499999672174454</v>
      </c>
      <c r="AB90" s="158">
        <v>0.10490000247955322</v>
      </c>
      <c r="AC90" s="158">
        <v>0.10480000078678131</v>
      </c>
      <c r="AD90" s="158">
        <v>0.10490000247955322</v>
      </c>
      <c r="AE90" s="158">
        <v>0.10480000078678131</v>
      </c>
      <c r="AF90" s="158">
        <v>0.10499999672174454</v>
      </c>
    </row>
    <row r="91" spans="1:32" x14ac:dyDescent="0.2">
      <c r="A91" s="158" t="s">
        <v>242</v>
      </c>
      <c r="B91" s="158">
        <v>0.10719999670982361</v>
      </c>
      <c r="C91" s="158">
        <v>0.10660000145435333</v>
      </c>
      <c r="D91" s="158">
        <v>0.10639999806880951</v>
      </c>
      <c r="E91" s="158">
        <v>0.10639999806880951</v>
      </c>
      <c r="F91" s="158">
        <v>0.10620000213384628</v>
      </c>
      <c r="G91" s="158">
        <v>0.10639999806880951</v>
      </c>
      <c r="H91" s="158">
        <v>0.10620000213384628</v>
      </c>
      <c r="I91" s="158">
        <v>0.10610000044107437</v>
      </c>
      <c r="J91" s="158">
        <v>0.10599999874830246</v>
      </c>
      <c r="K91" s="158">
        <v>0.10610000044107437</v>
      </c>
      <c r="L91" s="158">
        <v>0.10599999874830246</v>
      </c>
      <c r="M91" s="158">
        <v>0.10580000281333923</v>
      </c>
      <c r="N91" s="158">
        <v>0.1054999977350235</v>
      </c>
      <c r="O91" s="158">
        <v>0.10540000349283218</v>
      </c>
      <c r="P91" s="158">
        <v>0.10499999672174454</v>
      </c>
      <c r="Q91" s="158">
        <v>0.10509999841451645</v>
      </c>
      <c r="R91" s="158">
        <v>0.10509999841451645</v>
      </c>
      <c r="S91" s="158">
        <v>0.10520000010728836</v>
      </c>
      <c r="T91" s="158">
        <v>0.1054999977350235</v>
      </c>
      <c r="U91" s="158">
        <v>0.10559999942779541</v>
      </c>
      <c r="V91" s="158">
        <f t="shared" si="1"/>
        <v>0.10559999942779541</v>
      </c>
      <c r="W91" s="158">
        <v>0.10559999942779541</v>
      </c>
      <c r="X91" s="158">
        <v>0.10540000349283218</v>
      </c>
      <c r="Y91" s="158">
        <v>0.10509999841451645</v>
      </c>
      <c r="Z91" s="158">
        <v>0.10490000247955322</v>
      </c>
      <c r="AA91" s="158">
        <v>0.10459999740123749</v>
      </c>
      <c r="AB91" s="158">
        <v>0.10440000146627426</v>
      </c>
      <c r="AC91" s="158">
        <v>0.10440000146627426</v>
      </c>
      <c r="AD91" s="158">
        <v>0.10440000146627426</v>
      </c>
      <c r="AE91" s="158">
        <v>0.10440000146627426</v>
      </c>
      <c r="AF91" s="158">
        <v>0.10459999740123749</v>
      </c>
    </row>
    <row r="92" spans="1:32" x14ac:dyDescent="0.2">
      <c r="A92" s="158" t="s">
        <v>243</v>
      </c>
      <c r="B92" s="158">
        <v>0.10740000009536743</v>
      </c>
      <c r="C92" s="158">
        <v>0.10679999738931656</v>
      </c>
      <c r="D92" s="158">
        <v>0.10660000145435333</v>
      </c>
      <c r="E92" s="158">
        <v>0.10639999806880951</v>
      </c>
      <c r="F92" s="158">
        <v>0.1062999963760376</v>
      </c>
      <c r="G92" s="158">
        <v>0.10649999976158142</v>
      </c>
      <c r="H92" s="158">
        <v>0.1062999963760376</v>
      </c>
      <c r="I92" s="158">
        <v>0.10620000213384628</v>
      </c>
      <c r="J92" s="158">
        <v>0.10610000044107437</v>
      </c>
      <c r="K92" s="158">
        <v>0.10610000044107437</v>
      </c>
      <c r="L92" s="158">
        <v>0.10599999874830246</v>
      </c>
      <c r="M92" s="158">
        <v>0.10580000281333923</v>
      </c>
      <c r="N92" s="158">
        <v>0.1054999977350235</v>
      </c>
      <c r="O92" s="158">
        <v>0.10530000180006027</v>
      </c>
      <c r="P92" s="158">
        <v>0.10499999672174454</v>
      </c>
      <c r="Q92" s="158">
        <v>0.10499999672174454</v>
      </c>
      <c r="R92" s="158">
        <v>0.10509999841451645</v>
      </c>
      <c r="S92" s="158">
        <v>0.10520000010728836</v>
      </c>
      <c r="T92" s="158">
        <v>0.1054999977350235</v>
      </c>
      <c r="U92" s="158">
        <v>0.10559999942779541</v>
      </c>
      <c r="V92" s="158">
        <f t="shared" si="1"/>
        <v>0.10559999942779541</v>
      </c>
      <c r="W92" s="158">
        <v>0.10559999942779541</v>
      </c>
      <c r="X92" s="158">
        <v>0.10530000180006027</v>
      </c>
      <c r="Y92" s="158">
        <v>0.10509999841451645</v>
      </c>
      <c r="Z92" s="158">
        <v>0.10480000078678131</v>
      </c>
      <c r="AA92" s="158">
        <v>0.10450000315904617</v>
      </c>
      <c r="AB92" s="158">
        <v>0.10440000146627426</v>
      </c>
      <c r="AC92" s="158">
        <v>0.10429999977350235</v>
      </c>
      <c r="AD92" s="158">
        <v>0.10429999977350235</v>
      </c>
      <c r="AE92" s="158">
        <v>0.10429999977350235</v>
      </c>
      <c r="AF92" s="158">
        <v>0.10450000315904617</v>
      </c>
    </row>
    <row r="93" spans="1:32" x14ac:dyDescent="0.2">
      <c r="A93" s="158" t="s">
        <v>244</v>
      </c>
      <c r="B93" s="158">
        <v>0.10750000178813934</v>
      </c>
      <c r="C93" s="158">
        <v>0.10639999806880951</v>
      </c>
      <c r="D93" s="158">
        <v>0.10639999806880951</v>
      </c>
      <c r="E93" s="158">
        <v>0.10670000314712524</v>
      </c>
      <c r="F93" s="158">
        <v>0.10639999806880951</v>
      </c>
      <c r="G93" s="158">
        <v>0.10660000145435333</v>
      </c>
      <c r="H93" s="158">
        <v>0.1062999963760376</v>
      </c>
      <c r="I93" s="158">
        <v>0.10620000213384628</v>
      </c>
      <c r="J93" s="158">
        <v>0.10599999874830246</v>
      </c>
      <c r="K93" s="158">
        <v>0.10599999874830246</v>
      </c>
      <c r="L93" s="158">
        <v>0.10599999874830246</v>
      </c>
      <c r="M93" s="158">
        <v>0.10570000112056732</v>
      </c>
      <c r="N93" s="158">
        <v>0.1054999977350235</v>
      </c>
      <c r="O93" s="158">
        <v>0.10530000180006027</v>
      </c>
      <c r="P93" s="158">
        <v>0.10490000247955322</v>
      </c>
      <c r="Q93" s="158">
        <v>0.10490000247955322</v>
      </c>
      <c r="R93" s="158">
        <v>0.10499999672174454</v>
      </c>
      <c r="S93" s="158">
        <v>0.10509999841451645</v>
      </c>
      <c r="T93" s="158">
        <v>0.10530000180006027</v>
      </c>
      <c r="U93" s="158">
        <v>0.10530000180006027</v>
      </c>
      <c r="V93" s="158">
        <f t="shared" si="1"/>
        <v>0.10530000180006027</v>
      </c>
      <c r="W93" s="158">
        <v>0.10530000180006027</v>
      </c>
      <c r="X93" s="158">
        <v>0.10499999672174454</v>
      </c>
      <c r="Y93" s="158">
        <v>0.1046999990940094</v>
      </c>
      <c r="Z93" s="158">
        <v>0.10450000315904617</v>
      </c>
      <c r="AA93" s="158">
        <v>0.10419999808073044</v>
      </c>
      <c r="AB93" s="158">
        <v>0.10400000214576721</v>
      </c>
      <c r="AC93" s="158">
        <v>0.10400000214576721</v>
      </c>
      <c r="AD93" s="158">
        <v>0.10409999638795853</v>
      </c>
      <c r="AE93" s="158">
        <v>0.1039000004529953</v>
      </c>
      <c r="AF93" s="158">
        <v>0.10350000113248825</v>
      </c>
    </row>
    <row r="94" spans="1:32" x14ac:dyDescent="0.2">
      <c r="A94" s="156" t="s">
        <v>400</v>
      </c>
      <c r="B94" s="156">
        <f>$B$55-AVERAGE($B$58,$B$59,$B$60,$B$61,$B$62,$B$63,$B$65,$B$66,$B$68,$B$69,$B$70,$B$71,$B$72,$B$73,$B$74,$B$75,$B$77,$B$78,$B$79,$B$80,$B$81,$B$82,$B$83,$B$84,$B$85,$B$86,$B$87,$B$88,$B$89,$B$90,$B$91,$B$92,$B$93)</f>
        <v>1.351514323191208E-3</v>
      </c>
      <c r="C94" s="156">
        <f>$C$55-AVERAGE($C$58,$C$59,$C$60,$C$61,$C$62,$C$63,$C$65,$C$66,$C$68,$C$69,$C$70,$C$71,$C$72,$C$73,$C$74,$C$75,$C$77,$C$78,$C$79,$C$80,$C$81,$C$82,$C$83,$C$84,$C$85,$C$86,$C$87,$C$88,$C$89,$C$90,$C$91,$C$92,$C$93)</f>
        <v>1.4878822998567048E-3</v>
      </c>
      <c r="D94" s="156">
        <f>$D$55-AVERAGE($D$58,$D$59,$D$60,$D$61,$D$62,$D$63,$D$65,$D$66,$D$68,$D$69,$D$70,$D$71,$D$72,$D$73,$D$74,$D$75,$D$77,$D$78,$D$79,$D$80,$D$81,$D$82,$D$83,$D$84,$D$85,$D$86,$D$87,$D$88,$D$89,$D$90,$D$91,$D$92,$D$93)</f>
        <v>1.8969704255913239E-3</v>
      </c>
      <c r="E94" s="156">
        <f>$E$55-AVERAGE($E$58,$E$59,$E$60,$E$61,$E$62,$E$63,$E$65,$E$66,$E$68,$E$69,$E$70,$E$71,$E$72,$E$73,$E$74,$E$75,$E$77,$E$78,$E$79,$E$80,$E$81,$E$82,$E$83,$E$84,$E$85,$E$86,$E$87,$E$88,$E$89,$E$90,$E$91,$E$92,$E$93)</f>
        <v>2.5212096445488275E-3</v>
      </c>
      <c r="F94" s="156">
        <f>$F$55-AVERAGE($F$58,$F$59,$F$60,$F$61,$F$62,$F$63,$F$65,$F$66,$F$68,$F$69,$F$70,$F$71,$F$72,$F$73,$F$74,$F$75,$F$77,$F$78,$F$79,$F$80,$F$81,$F$82,$F$83,$F$84,$F$85,$F$86,$F$87,$F$88,$F$89,$F$90,$F$91,$F$92,$F$93)</f>
        <v>3.6121211720235441E-3</v>
      </c>
      <c r="G94" s="156">
        <f>$G$55-AVERAGE($G$58,$G$59,$G$60,$G$61,$G$62,$G$63,$G$65,$G$66,$G$68,$G$69,$G$70,$G$71,$G$72,$G$73,$G$74,$G$75,$G$77,$G$78,$G$79,$G$80,$G$81,$G$82,$G$83,$G$84,$G$85,$G$86,$G$87,$G$88,$G$89,$G$90,$G$91,$G$92,$G$93)</f>
        <v>5.4333352229811865E-3</v>
      </c>
      <c r="H94" s="156">
        <f>$H$55-AVERAGE($H$58,$H$59,$H$60,$H$61,$H$62,$H$63,$H$65,$H$66,$H$68,$H$69,$H$70,$H$71,$H$72,$H$73,$H$74,$H$75,$H$77,$H$78,$H$79,$H$80,$H$81,$H$82,$H$83,$H$84,$H$85,$H$86,$H$87,$H$88,$H$89,$H$90,$H$91,$H$92,$H$93)</f>
        <v>8.6454561713970035E-3</v>
      </c>
      <c r="I94" s="156">
        <f>$I$55-AVERAGE($I$58,$I$59,$I$60,$I$61,$I$62,$I$63,$I$65,$I$66,$I$68,$I$69,$I$70,$I$71,$I$72,$I$73,$I$74,$I$75,$I$77,$I$78,$I$79,$I$80,$I$81,$I$82,$I$83,$I$84,$I$85,$I$86,$I$87,$I$88,$I$89,$I$90,$I$91,$I$92,$I$93)</f>
        <v>1.4378787667462326E-2</v>
      </c>
      <c r="J94" s="156">
        <f>$J$55-AVERAGE($J$58,$J$59,$J$60,$J$61,$J$62,$J$63,$J$65,$J$66,$J$68,$J$69,$J$70,$J$71,$J$72,$J$73,$J$74,$J$75,$J$77,$J$78,$J$79,$J$80,$J$81,$J$82,$J$83,$J$84,$J$85,$J$86,$J$87,$J$88,$J$89,$J$90,$J$91,$J$92,$J$93)</f>
        <v>2.3736357688903809E-2</v>
      </c>
      <c r="K94" s="156">
        <f>$K$55-AVERAGE($K$58,$K$59,$K$60,$K$61,$K$62,$K$63,$K$65,$K$66,$K$68,$K$69,$K$70,$K$71,$K$72,$K$73,$K$74,$K$75,$K$77,$K$78,$K$79,$K$80,$K$81,$K$82,$K$83,$K$84,$K$85,$K$86,$K$87,$K$88,$K$89,$K$90,$K$91,$K$92,$K$93)</f>
        <v>3.7251514015775741E-2</v>
      </c>
      <c r="L94" s="156">
        <f>$L$55-AVERAGE($L$58,$L$59,$L$60,$L$61,$L$62,$L$63,$L$65,$L$66,$L$68,$L$69,$L$70,$L$71,$L$72,$L$73,$L$74,$L$75,$L$77,$L$78,$L$79,$L$80,$L$81,$L$82,$L$83,$L$84,$L$85,$L$86,$L$87,$L$88,$L$89,$L$90,$L$91,$L$92,$L$93)</f>
        <v>5.6745456023649735E-2</v>
      </c>
      <c r="M94" s="156">
        <f>$M$55-AVERAGE($M$58,$M$59,$M$60,$M$61,$M$62,$M$63,$M$65,$M$66,$M$68,$M$69,$M$70,$M$71,$M$72,$M$73,$M$74,$M$75,$M$77,$M$78,$M$79,$M$80,$M$81,$M$82,$M$83,$M$84,$M$85,$M$86,$M$87,$M$88,$M$89,$M$90,$M$91,$M$92,$M$93)</f>
        <v>8.3327273302005997E-2</v>
      </c>
      <c r="N94" s="156">
        <f>$N$55-AVERAGE($N$58,$N$59,$N$60,$N$61,$N$62,$N$63,$N$65,$N$66,$N$68,$N$69,$N$70,$N$71,$N$72,$N$73,$N$74,$N$75,$N$77,$N$78,$N$79,$N$80,$N$81,$N$82,$N$83,$N$84,$N$85,$N$86,$N$87,$N$88,$N$89,$N$90,$N$91,$N$92,$N$93)</f>
        <v>0.11529091158599565</v>
      </c>
      <c r="O94" s="156">
        <f>$O$55-AVERAGE($O$58,$O$59,$O$60,$O$61,$O$62,$O$63,$O$65,$O$66,$O$68,$O$69,$O$70,$O$71,$O$72,$O$73,$O$74,$O$75,$O$77,$O$78,$O$79,$O$80,$O$81,$O$82,$O$83,$O$84,$O$85,$O$86,$O$87,$O$88,$O$89,$O$90,$O$91,$O$92,$O$93)</f>
        <v>0.15307273986664685</v>
      </c>
      <c r="P94" s="156">
        <f>$P$55-AVERAGE($P$58,$P$59,$P$60,$P$61,$P$62,$P$63,$P$65,$P$66,$P$68,$P$69,$P$70,$P$71,$P$72,$P$73,$P$74,$P$75,$P$77,$P$78,$P$79,$P$80,$P$81,$P$82,$P$83,$P$84,$P$85,$P$86,$P$87,$P$88,$P$89,$P$90,$P$91,$P$92,$P$93)</f>
        <v>0.19538181388016904</v>
      </c>
      <c r="Q94" s="156">
        <f>$Q$55-AVERAGE($Q$58,$Q$59,$Q$60,$Q$61,$Q$62,$Q$63,$Q$65,$Q$66,$Q$68,$Q$69,$Q$70,$Q$71,$Q$72,$Q$73,$Q$74,$Q$75,$Q$77,$Q$78,$Q$79,$Q$80,$Q$81,$Q$82,$Q$83,$Q$84,$Q$85,$Q$86,$Q$87,$Q$88,$Q$89,$Q$90,$Q$91,$Q$92,$Q$93)</f>
        <v>0.24048484794118186</v>
      </c>
      <c r="R94" s="156">
        <f>$R$55-AVERAGE($R$58,$R$59,$R$60,$R$61,$R$62,$R$63,$R$65,$R$66,$R$68,$R$69,$R$70,$R$71,$R$72,$R$73,$R$74,$R$75,$R$77,$R$78,$R$79,$R$80,$R$81,$R$82,$R$83,$R$84,$R$85,$R$86,$R$87,$R$88,$R$89,$R$90,$R$91,$R$92,$R$93)</f>
        <v>0.28146667462406738</v>
      </c>
      <c r="S94" s="156">
        <f>$S$55-AVERAGE($S$58,$S$59,$S$60,$S$61,$S$62,$S$63,$S$65,$S$66,$S$68,$S$69,$S$70,$S$71,$S$72,$S$73,$S$74,$S$75,$S$77,$S$78,$S$79,$S$80,$S$81,$S$82,$S$83,$S$84,$S$85,$S$86,$S$87,$S$88,$S$89,$S$90,$S$91,$S$92,$S$93)</f>
        <v>0.31190303238955408</v>
      </c>
      <c r="T94" s="156">
        <f>$T$55-AVERAGE($T$58,$T$59,$T$60,$T$61,$T$62,$T$63,$T$65,$T$66,$T$68,$T$69,$T$70,$T$71,$T$72,$T$73,$T$74,$T$75,$T$77,$T$78,$T$79,$T$80,$T$81,$T$82,$T$83,$T$84,$T$85,$T$86,$T$87,$T$88,$T$89,$T$90,$T$91,$T$92,$T$93)</f>
        <v>0.33327272082820081</v>
      </c>
      <c r="U94" s="156">
        <f>$U$55-AVERAGE($U$58,$U$59,$U$60,$U$61,$U$62,$U$63,$U$65,$U$66,$U$68,$U$69,$U$70,$U$71,$U$72,$U$73,$U$74,$U$75,$U$77,$U$78,$U$79,$U$80,$U$81,$U$82,$U$83,$U$84,$U$85,$U$86,$U$87,$U$88,$U$89,$U$90,$U$91,$U$92,$U$93)</f>
        <v>0.33221515809947794</v>
      </c>
      <c r="V94" s="156">
        <f>$V$55-AVERAGE($V$58,$V$59,$V$60,$V$61,$V$62,$V$63,$V$65,$V$66,$V$68,$V$69,$V$70,$V$71,$V$72,$V$73,$V$74,$V$75,$V$77,$V$78,$V$79,$V$80,$V$81,$V$82,$V$83,$V$84,$V$85,$V$86,$V$87,$V$88,$V$89,$V$90,$V$91,$V$92,$V$93)</f>
        <v>0.33009848574345763</v>
      </c>
      <c r="W94" s="156">
        <f>$W$55-AVERAGE($W$58,$W$59,$W$60,$W$61,$W$62,$W$63,$W$65,$W$66,$W$68,$W$69,$W$70,$W$71,$W$72,$W$73,$W$74,$W$75,$W$77,$W$78,$W$79,$W$80,$W$81,$W$82,$W$83,$W$84,$W$85,$W$86,$W$87,$W$88,$W$89,$W$90,$W$91,$W$92,$W$93)</f>
        <v>0.32798181338743732</v>
      </c>
      <c r="X94" s="156">
        <f>$X$55-AVERAGE($X$58,$X$59,$X$60,$X$61,$X$62,$X$63,$X$65,$X$66,$X$68,$X$69,$X$70,$X$71,$X$72,$X$73,$X$74,$X$75,$X$77,$X$78,$X$79,$X$80,$X$81,$X$82,$X$83,$X$84,$X$85,$X$86,$X$87,$X$88,$X$89,$X$90,$X$91,$X$92,$X$93)</f>
        <v>0.32383939104549814</v>
      </c>
      <c r="Y94" s="156">
        <f>$Y$55-AVERAGE($Y$58,$Y$59,$Y$60,$Y$61,$Y$62,$Y$63,$Y$65,$Y$66,$Y$68,$Y$69,$Y$70,$Y$71,$Y$72,$Y$73,$Y$74,$Y$75,$Y$77,$Y$78,$Y$79,$Y$80,$Y$81,$Y$82,$Y$83,$Y$84,$Y$85,$Y$86,$Y$87,$Y$88,$Y$89,$Y$90,$Y$91,$Y$92,$Y$93)</f>
        <v>0.32024847738670581</v>
      </c>
      <c r="Z94" s="156">
        <f>$Z$55-AVERAGE($Z$58,$Z$59,$Z$60,$Z$61,$Z$62,$Z$63,$Z$65,$Z$66,$Z$68,$Z$69,$Z$70,$Z$71,$Z$72,$Z$73,$Z$74,$Z$75,$Z$77,$Z$78,$Z$79,$Z$80,$Z$81,$Z$82,$Z$83,$Z$84,$Z$85,$Z$86,$Z$87,$Z$88,$Z$89,$Z$90,$Z$91,$Z$92,$Z$93)</f>
        <v>0.32031212611631915</v>
      </c>
      <c r="AA94" s="156">
        <f>$AA$55-AVERAGE($AA$58,$AA$59,$AA$60,$AA$61,$AA$62,$AA$63,$AA$65,$AA$66,$AA$68,$AA$69,$AA$70,$AA$71,$AA$72,$AA$73,$AA$74,$AA$75,$AA$77,$AA$78,$AA$79,$AA$80,$AA$81,$AA$82,$AA$83,$AA$84,$AA$85,$AA$86,$AA$87,$AA$88,$AA$89,$AA$90,$AA$91,$AA$92,$AA$93)</f>
        <v>0.32230605320496991</v>
      </c>
      <c r="AB94" s="156">
        <f>$AB$55-AVERAGE($AB$58,$AB$59,$AB$60,$AB$61,$AB$62,$AB$63,$AB$65,$AB$66,$AB$68,$AB$69,$AB$70,$AB$71,$AB$72,$AB$73,$AB$74,$AB$75,$AB$77,$AB$78,$AB$79,$AB$80,$AB$81,$AB$82,$AB$83,$AB$84,$AB$85,$AB$86,$AB$87,$AB$88,$AB$89,$AB$90,$AB$91,$AB$92,$AB$93)</f>
        <v>0.32563331994143396</v>
      </c>
      <c r="AC94" s="156">
        <f>$AC$55-AVERAGE($AC$58,$AC$59,$AC$60,$AC$61,$AC$62,$AC$63,$AC$65,$AC$66,$AC$68,$AC$69,$AC$70,$AC$71,$AC$72,$AC$73,$AC$74,$AC$75,$AC$77,$AC$78,$AC$79,$AC$80,$AC$81,$AC$82,$AC$83,$AC$84,$AC$85,$AC$86,$AC$87,$AC$88,$AC$89,$AC$90,$AC$91,$AC$92,$AC$93)</f>
        <v>0.33296364297469455</v>
      </c>
      <c r="AD94" s="156">
        <f>$AD$55-AVERAGE($AD$58,$AD$59,$AD$60,$AD$61,$AD$62,$AD$63,$AD$65,$AD$66,$AD$68,$AD$69,$AD$70,$AD$71,$AD$72,$AD$73,$AD$74,$AD$75,$AD$77,$AD$78,$AD$79,$AD$80,$AD$81,$AD$82,$AD$83,$AD$84,$AD$85,$AD$86,$AD$87,$AD$88,$AD$89,$AD$90,$AD$91,$AD$92,$AD$93)</f>
        <v>0.33990604994875012</v>
      </c>
      <c r="AE94" s="156">
        <f>$AE$55-AVERAGE($AE$58,$AE$59,$AE$60,$AE$61,$AE$62,$AE$63,$AE$65,$AE$66,$AE$68,$AE$69,$AE$70,$AE$71,$AE$72,$AE$73,$AE$74,$AE$75,$AE$77,$AE$78,$AE$79,$AE$80,$AE$81,$AE$82,$AE$83,$AE$84,$AE$85,$AE$86,$AE$87,$AE$88,$AE$89,$AE$90,$AE$91,$AE$92,$AE$93)</f>
        <v>0.35003636009765393</v>
      </c>
      <c r="AF94" s="156">
        <f>$AF$55-AVERAGE($AF$58,$AF$59,$AF$60,$AF$61,$AF$62,$AF$63,$AF$65,$AF$66,$AF$68,$AF$69,$AF$70,$AF$71,$AF$72,$AF$73,$AF$74,$AF$75,$AF$77,$AF$78,$AF$79,$AF$80,$AF$81,$AF$82,$AF$83,$AF$84,$AF$85,$AF$86,$AF$87,$AF$88,$AF$89,$AF$90,$AF$91,$AF$92,$AF$93)</f>
        <v>0.35935455199443933</v>
      </c>
    </row>
    <row r="95" spans="1:32" x14ac:dyDescent="0.2">
      <c r="A95" s="157" t="s">
        <v>401</v>
      </c>
      <c r="B95" s="157">
        <f>$B$56-AVERAGE($B$58,$B$59,$B$60,$B$61,$B$62,$B$63,$B$64,$B$65,$B$66,$B$68,$B$69,$B$70,$B$71,$B$72,$B$73,$B$74,$B$75,$B$76,$B$77,$B$78,$B$79,$B$80,$B$81,$B$82,$B$83,$B$84,$B$85,$B$86,$B$87,$B$88,$B$89,$B$90,$B$91,$B$92,$B$93)</f>
        <v>2.262858407838006E-3</v>
      </c>
      <c r="C95" s="157">
        <f>$C$56-AVERAGE($C$58,$C$59,$C$60,$C$61,$C$62,$C$63,$C$64,$C$65,$C$66,$C$68,$C$69,$C$70,$C$71,$C$72,$C$73,$C$74,$C$75,$C$76,$C$77,$C$78,$C$79,$C$80,$C$81,$C$82,$C$83,$C$84,$C$85,$C$86,$C$87,$C$88,$C$89,$C$90,$C$91,$C$92,$C$93)</f>
        <v>2.600001437323432E-3</v>
      </c>
      <c r="D95" s="157">
        <f>$D$56-AVERAGE($D$58,$D$59,$D$60,$D$61,$D$62,$D$63,$D$64,$D$65,$D$66,$D$68,$D$69,$D$70,$D$71,$D$72,$D$73,$D$74,$D$75,$D$76,$D$77,$D$78,$D$79,$D$80,$D$81,$D$82,$D$83,$D$84,$D$85,$D$86,$D$87,$D$88,$D$89,$D$90,$D$91,$D$92,$D$93)</f>
        <v>2.9085685099874276E-3</v>
      </c>
      <c r="E95" s="157">
        <f>$E$56-AVERAGE($E$58,$E$59,$E$60,$E$61,$E$62,$E$63,$E$64,$E$65,$E$66,$E$68,$E$69,$E$70,$E$71,$E$72,$E$73,$E$74,$E$75,$E$76,$E$77,$E$78,$E$79,$E$80,$E$81,$E$82,$E$83,$E$84,$E$85,$E$86,$E$87,$E$88,$E$89,$E$90,$E$91,$E$92,$E$93)</f>
        <v>3.6285743117332458E-3</v>
      </c>
      <c r="F95" s="157">
        <f>$F$56-AVERAGE($F$58,$F$59,$F$60,$F$61,$F$62,$F$63,$F$64,$F$65,$F$66,$F$68,$F$69,$F$70,$F$71,$F$72,$F$73,$F$74,$F$75,$F$76,$F$77,$F$78,$F$79,$F$80,$F$81,$F$82,$F$83,$F$84,$F$85,$F$86,$F$87,$F$88,$F$89,$F$90,$F$91,$F$92,$F$93)</f>
        <v>4.8285709960120132E-3</v>
      </c>
      <c r="G95" s="157">
        <f>$G$56-AVERAGE($G$58,$G$59,$G$60,$G$61,$G$62,$G$63,$G$64,$G$65,$G$66,$G$68,$G$69,$G$70,$G$71,$G$72,$G$73,$G$74,$G$75,$G$76,$G$77,$G$78,$G$79,$G$80,$G$81,$G$82,$G$83,$G$84,$G$85,$G$86,$G$87,$G$88,$G$89,$G$90,$G$91,$G$92,$G$93)</f>
        <v>7.0542865565844937E-3</v>
      </c>
      <c r="H95" s="157">
        <f>$H$56-AVERAGE($H$58,$H$59,$H$60,$H$61,$H$62,$H$63,$H$64,$H$65,$H$66,$H$68,$H$69,$H$70,$H$71,$H$72,$H$73,$H$74,$H$75,$H$76,$H$77,$H$78,$H$79,$H$80,$H$81,$H$82,$H$83,$H$84,$H$85,$H$86,$H$87,$H$88,$H$89,$H$90,$H$91,$H$92,$H$93)</f>
        <v>1.076571600777762E-2</v>
      </c>
      <c r="I95" s="157">
        <f>$I$56-AVERAGE($I$58,$I$59,$I$60,$I$61,$I$62,$I$63,$I$64,$I$65,$I$66,$I$68,$I$69,$I$70,$I$71,$I$72,$I$73,$I$74,$I$75,$I$76,$I$77,$I$78,$I$79,$I$80,$I$81,$I$82,$I$83,$I$84,$I$85,$I$86,$I$87,$I$88,$I$89,$I$90,$I$91,$I$92,$I$93)</f>
        <v>1.7199996752398361E-2</v>
      </c>
      <c r="J95" s="157">
        <f>$J$56-AVERAGE($J$58,$J$59,$J$60,$J$61,$J$62,$J$63,$J$64,$J$65,$J$66,$J$68,$J$69,$J$70,$J$71,$J$72,$J$73,$J$74,$J$75,$J$76,$J$77,$J$78,$J$79,$J$80,$J$81,$J$82,$J$83,$J$84,$J$85,$J$86,$J$87,$J$88,$J$89,$J$90,$J$91,$J$92,$J$93)</f>
        <v>2.8554288191454752E-2</v>
      </c>
      <c r="K95" s="157">
        <f>$K$56-AVERAGE($K$58,$K$59,$K$60,$K$61,$K$62,$K$63,$K$64,$K$65,$K$66,$K$68,$K$69,$K$70,$K$71,$K$72,$K$73,$K$74,$K$75,$K$76,$K$77,$K$78,$K$79,$K$80,$K$81,$K$82,$K$83,$K$84,$K$85,$K$86,$K$87,$K$88,$K$89,$K$90,$K$91,$K$92,$K$93)</f>
        <v>4.2271424191338669E-2</v>
      </c>
      <c r="L95" s="157">
        <f>$L$56-AVERAGE($L$58,$L$59,$L$60,$L$61,$L$62,$L$63,$L$64,$L$65,$L$66,$L$68,$L$69,$L$70,$L$71,$L$72,$L$73,$L$74,$L$75,$L$76,$L$77,$L$78,$L$79,$L$80,$L$81,$L$82,$L$83,$L$84,$L$85,$L$86,$L$87,$L$88,$L$89,$L$90,$L$91,$L$92,$L$93)</f>
        <v>6.3962862959929881E-2</v>
      </c>
      <c r="M95" s="157">
        <f>$M$56-AVERAGE($M$58,$M$59,$M$60,$M$61,$M$62,$M$63,$M$64,$M$65,$M$66,$M$68,$M$69,$M$70,$M$71,$M$72,$M$73,$M$74,$M$75,$M$76,$M$77,$M$78,$M$79,$M$80,$M$81,$M$82,$M$83,$M$84,$M$85,$M$86,$M$87,$M$88,$M$89,$M$90,$M$91,$M$92,$M$93)</f>
        <v>9.1745709734303613E-2</v>
      </c>
      <c r="N95" s="157">
        <f>$N$56-AVERAGE($N$58,$N$59,$N$60,$N$61,$N$62,$N$63,$N$64,$N$65,$N$66,$N$68,$N$69,$N$70,$N$71,$N$72,$N$73,$N$74,$N$75,$N$76,$N$77,$N$78,$N$79,$N$80,$N$81,$N$82,$N$83,$N$84,$N$85,$N$86,$N$87,$N$88,$N$89,$N$90,$N$91,$N$92,$N$93)</f>
        <v>0.12580286030258453</v>
      </c>
      <c r="O95" s="157">
        <f>$O$56-AVERAGE($O$58,$O$59,$O$60,$O$61,$O$62,$O$63,$O$64,$O$65,$O$66,$O$68,$O$69,$O$70,$O$71,$O$72,$O$73,$O$74,$O$75,$O$76,$O$77,$O$78,$O$79,$O$80,$O$81,$O$82,$O$83,$O$84,$O$85,$O$86,$O$87,$O$88,$O$89,$O$90,$O$91,$O$92,$O$93)</f>
        <v>0.16397999014173237</v>
      </c>
      <c r="P95" s="157">
        <f>$P$56-AVERAGE($P$58,$P$59,$P$60,$P$61,$P$62,$P$63,$P$64,$P$65,$P$66,$P$68,$P$69,$P$70,$P$71,$P$72,$P$73,$P$74,$P$75,$P$76,$P$77,$P$78,$P$79,$P$80,$P$81,$P$82,$P$83,$P$84,$P$85,$P$86,$P$87,$P$88,$P$89,$P$90,$P$91,$P$92,$P$93)</f>
        <v>0.20728856176137925</v>
      </c>
      <c r="Q95" s="157">
        <f>$Q$56-AVERAGE($Q$58,$Q$59,$Q$60,$Q$61,$Q$62,$Q$63,$Q$64,$Q$65,$Q$66,$Q$68,$Q$69,$Q$70,$Q$71,$Q$72,$Q$73,$Q$74,$Q$75,$Q$76,$Q$77,$Q$78,$Q$79,$Q$80,$Q$81,$Q$82,$Q$83,$Q$84,$Q$85,$Q$86,$Q$87,$Q$88,$Q$89,$Q$90,$Q$91,$Q$92,$Q$93)</f>
        <v>0.2537828449692045</v>
      </c>
      <c r="R95" s="157">
        <f>$R$56-AVERAGE($R$58,$R$59,$R$60,$R$61,$R$62,$R$63,$R$64,$R$65,$R$66,$R$68,$R$69,$R$70,$R$71,$R$72,$R$73,$R$74,$R$75,$R$76,$R$77,$R$78,$R$79,$R$80,$R$81,$R$82,$R$83,$R$84,$R$85,$R$86,$R$87,$R$88,$R$89,$R$90,$R$91,$R$92,$R$93)</f>
        <v>0.29097713444914136</v>
      </c>
      <c r="S95" s="157">
        <f>$S$56-AVERAGE($S$58,$S$59,$S$60,$S$61,$S$62,$S$63,$S$64,$S$65,$S$66,$S$68,$S$69,$S$70,$S$71,$S$72,$S$73,$S$74,$S$75,$S$76,$S$77,$S$78,$S$79,$S$80,$S$81,$S$82,$S$83,$S$84,$S$85,$S$86,$S$87,$S$88,$S$89,$S$90,$S$91,$S$92,$S$93)</f>
        <v>0.32271142133644648</v>
      </c>
      <c r="T95" s="157">
        <f>$T$56-AVERAGE($T$58,$T$59,$T$60,$T$61,$T$62,$T$63,$T$64,$T$65,$T$66,$T$68,$T$69,$T$70,$T$71,$T$72,$T$73,$T$74,$T$75,$T$76,$T$77,$T$78,$T$79,$T$80,$T$81,$T$82,$T$83,$T$84,$T$85,$T$86,$T$87,$T$88,$T$89,$T$90,$T$91,$T$92,$T$93)</f>
        <v>0.33648857602051324</v>
      </c>
      <c r="U95" s="157">
        <f>$U$56-AVERAGE($U$58,$U$59,$U$60,$U$61,$U$62,$U$63,$U$64,$U$65,$U$66,$U$68,$U$69,$U$70,$U$71,$U$72,$U$73,$U$74,$U$75,$U$76,$U$77,$U$78,$U$79,$U$80,$U$81,$U$82,$U$83,$U$84,$U$85,$U$86,$U$87,$U$88,$U$89,$U$90,$U$91,$U$92,$U$93)</f>
        <v>0.33583142331668309</v>
      </c>
      <c r="V95" s="157">
        <f>$V$56-AVERAGE($V$58,$V$59,$V$60,$V$61,$V$62,$V$63,$V$64,$V$65,$V$66,$V$68,$V$69,$V$70,$V$71,$V$72,$V$73,$V$74,$V$75,$V$76,$V$77,$V$78,$V$79,$V$80,$V$81,$V$82,$V$83,$V$84,$V$85,$V$86,$V$87,$V$88,$V$89,$V$90,$V$91,$V$92,$V$93)</f>
        <v>0.33255856335163114</v>
      </c>
      <c r="W95" s="157">
        <f>$W$56-AVERAGE($W$58,$W$59,$W$60,$W$61,$W$62,$W$63,$W$64,$W$65,$W$66,$W$68,$W$69,$W$70,$W$71,$W$72,$W$73,$W$74,$W$75,$W$76,$W$77,$W$78,$W$79,$W$80,$W$81,$W$82,$W$83,$W$84,$W$85,$W$86,$W$87,$W$88,$W$89,$W$90,$W$91,$W$92,$W$93)</f>
        <v>0.32928570338657925</v>
      </c>
      <c r="X95" s="157">
        <f>$X$56-AVERAGE($X$58,$X$59,$X$60,$X$61,$X$62,$X$63,$X$64,$X$65,$X$66,$X$68,$X$69,$X$70,$X$71,$X$72,$X$73,$X$74,$X$75,$X$76,$X$77,$X$78,$X$79,$X$80,$X$81,$X$82,$X$83,$X$84,$X$85,$X$86,$X$87,$X$88,$X$89,$X$90,$X$91,$X$92,$X$93)</f>
        <v>0.32453715354204177</v>
      </c>
      <c r="Y95" s="157">
        <f>$Y$56-AVERAGE($Y$58,$Y$59,$Y$60,$Y$61,$Y$62,$Y$63,$Y$64,$Y$65,$Y$66,$Y$68,$Y$69,$Y$70,$Y$71,$Y$72,$Y$73,$Y$74,$Y$75,$Y$76,$Y$77,$Y$78,$Y$79,$Y$80,$Y$81,$Y$82,$Y$83,$Y$84,$Y$85,$Y$86,$Y$87,$Y$88,$Y$89,$Y$90,$Y$91,$Y$92,$Y$93)</f>
        <v>0.32260570462260929</v>
      </c>
      <c r="Z95" s="157">
        <f>$Z$56-AVERAGE($Z$58,$Z$59,$Z$60,$Z$61,$Z$62,$Z$63,$Z$64,$Z$65,$Z$66,$Z$68,$Z$69,$Z$70,$Z$71,$Z$72,$Z$73,$Z$74,$Z$75,$Z$76,$Z$77,$Z$78,$Z$79,$Z$80,$Z$81,$Z$82,$Z$83,$Z$84,$Z$85,$Z$86,$Z$87,$Z$88,$Z$89,$Z$90,$Z$91,$Z$92,$Z$93)</f>
        <v>0.32337142825126647</v>
      </c>
      <c r="AA95" s="157">
        <f>$AA$56-AVERAGE($AA$58,$AA$59,$AA$60,$AA$61,$AA$62,$AA$63,$AA$64,$AA$65,$AA$66,$AA$68,$AA$69,$AA$70,$AA$71,$AA$72,$AA$73,$AA$74,$AA$75,$AA$76,$AA$77,$AA$78,$AA$79,$AA$80,$AA$81,$AA$82,$AA$83,$AA$84,$AA$85,$AA$86,$AA$87,$AA$88,$AA$89,$AA$90,$AA$91,$AA$92,$AA$93)</f>
        <v>0.32565429295812331</v>
      </c>
      <c r="AB95" s="157">
        <f>$AB$56-AVERAGE($AB$58,$AB$59,$AB$60,$AB$61,$AB$62,$AB$63,$AB$64,$AB$65,$AB$66,$AB$68,$AB$69,$AB$70,$AB$71,$AB$72,$AB$73,$AB$74,$AB$75,$AB$76,$AB$77,$AB$78,$AB$79,$AB$80,$AB$81,$AB$82,$AB$83,$AB$84,$AB$85,$AB$86,$AB$87,$AB$88,$AB$89,$AB$90,$AB$91,$AB$92,$AB$93)</f>
        <v>0.32917143319334302</v>
      </c>
      <c r="AC95" s="157">
        <f>$AC$56-AVERAGE($AC$58,$AC$59,$AC$60,$AC$61,$AC$62,$AC$63,$AC$64,$AC$65,$AC$66,$AC$68,$AC$69,$AC$70,$AC$71,$AC$72,$AC$73,$AC$74,$AC$75,$AC$76,$AC$77,$AC$78,$AC$79,$AC$80,$AC$81,$AC$82,$AC$83,$AC$84,$AC$85,$AC$86,$AC$87,$AC$88,$AC$89,$AC$90,$AC$91,$AC$92,$AC$93)</f>
        <v>0.33901142094816483</v>
      </c>
      <c r="AD95" s="157">
        <f>$AD$56-AVERAGE($AD$58,$AD$59,$AD$60,$AD$61,$AD$62,$AD$63,$AD$64,$AD$65,$AD$66,$AD$68,$AD$69,$AD$70,$AD$71,$AD$72,$AD$73,$AD$74,$AD$75,$AD$76,$AD$77,$AD$78,$AD$79,$AD$80,$AD$81,$AD$82,$AD$83,$AD$84,$AD$85,$AD$86,$AD$87,$AD$88,$AD$89,$AD$90,$AD$91,$AD$92,$AD$93)</f>
        <v>0.34545429689543589</v>
      </c>
      <c r="AE95" s="157">
        <f>$AE$56-AVERAGE($AE$58,$AE$59,$AE$60,$AE$61,$AE$62,$AE$63,$AE$64,$AE$65,$AE$66,$AE$68,$AE$69,$AE$70,$AE$71,$AE$72,$AE$73,$AE$74,$AE$75,$AE$76,$AE$77,$AE$78,$AE$79,$AE$80,$AE$81,$AE$82,$AE$83,$AE$84,$AE$85,$AE$86,$AE$87,$AE$88,$AE$89,$AE$90,$AE$91,$AE$92,$AE$93)</f>
        <v>0.35678858033248356</v>
      </c>
      <c r="AF95" s="157">
        <f>$AF$56-AVERAGE($AF$58,$AF$59,$AF$60,$AF$61,$AF$62,$AF$63,$AF$64,$AF$65,$AF$66,$AF$68,$AF$69,$AF$70,$AF$71,$AF$72,$AF$73,$AF$74,$AF$75,$AF$76,$AF$77,$AF$78,$AF$79,$AF$80,$AF$81,$AF$82,$AF$83,$AF$84,$AF$85,$AF$86,$AF$87,$AF$88,$AF$89,$AF$90,$AF$91,$AF$92,$AF$93)</f>
        <v>0.36562570993389404</v>
      </c>
    </row>
    <row r="96" spans="1:32" x14ac:dyDescent="0.2">
      <c r="A96" s="168" t="s">
        <v>402</v>
      </c>
      <c r="B96" s="168">
        <f>$B$57-AVERAGE($B$58,$B$59,$B$60,$B$61,$B$62,$B$63,$B$65,$B$66,$B$68,$B$69,$B$70,$B$71,$B$72,$B$73,$B$74,$B$75,$B$77,$B$78,$B$79,$B$80,$B$81,$B$82,$B$83,$B$84,$B$85,$B$86,$B$87,$B$88,$B$89,$B$90,$B$91,$B$92,$B$93)</f>
        <v>1.351514323191208E-3</v>
      </c>
      <c r="C96" s="168">
        <f>$C$57-AVERAGE($C$58,$C$59,$C$60,$C$61,$C$62,$C$63,$C$65,$C$66,$C$68,$C$69,$C$70,$C$71,$C$72,$C$73,$C$74,$C$75,$C$77,$C$78,$C$79,$C$80,$C$81,$C$82,$C$83,$C$84,$C$85,$C$86,$C$87,$C$88,$C$89,$C$90,$C$91,$C$92,$C$93)</f>
        <v>1.5878765420480195E-3</v>
      </c>
      <c r="D96" s="168">
        <f>$D$57-AVERAGE($D$58,$D$59,$D$60,$D$61,$D$62,$D$63,$D$65,$D$66,$D$68,$D$69,$D$70,$D$71,$D$72,$D$73,$D$74,$D$75,$D$77,$D$78,$D$79,$D$80,$D$81,$D$82,$D$83,$D$84,$D$85,$D$86,$D$87,$D$88,$D$89,$D$90,$D$91,$D$92,$D$93)</f>
        <v>2.1969680533264618E-3</v>
      </c>
      <c r="E96" s="168">
        <f>$E$57-AVERAGE($E$58,$E$59,$E$60,$E$61,$E$62,$E$63,$E$65,$E$66,$E$68,$E$69,$E$70,$E$71,$E$72,$E$73,$E$74,$E$75,$E$77,$E$78,$E$79,$E$80,$E$81,$E$82,$E$83,$E$84,$E$85,$E$86,$E$87,$E$88,$E$89,$E$90,$E$91,$E$92,$E$93)</f>
        <v>3.1212123505997003E-3</v>
      </c>
      <c r="F96" s="168">
        <f>$F$57-AVERAGE($F$58,$F$59,$F$60,$F$61,$F$62,$F$63,$F$65,$F$66,$F$68,$F$69,$F$70,$F$71,$F$72,$F$73,$F$74,$F$75,$F$77,$F$78,$F$79,$F$80,$F$81,$F$82,$F$83,$F$84,$F$85,$F$86,$F$87,$F$88,$F$89,$F$90,$F$91,$F$92,$F$93)</f>
        <v>3.912118799758682E-3</v>
      </c>
      <c r="G96" s="168">
        <f>$G$57-AVERAGE($G$58,$G$59,$G$60,$G$61,$G$62,$G$63,$G$65,$G$66,$G$68,$G$69,$G$70,$G$71,$G$72,$G$73,$G$74,$G$75,$G$77,$G$78,$G$79,$G$80,$G$81,$G$82,$G$83,$G$84,$G$85,$G$86,$G$87,$G$88,$G$89,$G$90,$G$91,$G$92,$G$93)</f>
        <v>5.8333345434882361E-3</v>
      </c>
      <c r="H96" s="168">
        <f>$H$57-AVERAGE($H$58,$H$59,$H$60,$H$61,$H$62,$H$63,$H$65,$H$66,$H$68,$H$69,$H$70,$H$71,$H$72,$H$73,$H$74,$H$75,$H$77,$H$78,$H$79,$H$80,$H$81,$H$82,$H$83,$H$84,$H$85,$H$86,$H$87,$H$88,$H$89,$H$90,$H$91,$H$92,$H$93)</f>
        <v>9.2454514268672794E-3</v>
      </c>
      <c r="I96" s="168">
        <f>$I$57-AVERAGE($I$58,$I$59,$I$60,$I$61,$I$62,$I$63,$I$65,$I$66,$I$68,$I$69,$I$70,$I$71,$I$72,$I$73,$I$74,$I$75,$I$77,$I$78,$I$79,$I$80,$I$81,$I$82,$I$83,$I$84,$I$85,$I$86,$I$87,$I$88,$I$89,$I$90,$I$91,$I$92,$I$93)</f>
        <v>1.5078784615704513E-2</v>
      </c>
      <c r="J96" s="168">
        <f>$J$57-AVERAGE($J$58,$J$59,$J$60,$J$61,$J$62,$J$63,$J$65,$J$66,$J$68,$J$69,$J$70,$J$71,$J$72,$J$73,$J$74,$J$75,$J$77,$J$78,$J$79,$J$80,$J$81,$J$82,$J$83,$J$84,$J$85,$J$86,$J$87,$J$88,$J$89,$J$90,$J$91,$J$92,$J$93)</f>
        <v>2.443636953830719E-2</v>
      </c>
      <c r="K96" s="168">
        <f>$K$57-AVERAGE($K$58,$K$59,$K$60,$K$61,$K$62,$K$63,$K$65,$K$66,$K$68,$K$69,$K$70,$K$71,$K$72,$K$73,$K$74,$K$75,$K$77,$K$78,$K$79,$K$80,$K$81,$K$82,$K$83,$K$84,$K$85,$K$86,$K$87,$K$88,$K$89,$K$90,$K$91,$K$92,$K$93)</f>
        <v>3.8351517735105575E-2</v>
      </c>
      <c r="L96" s="168">
        <f>$L$57-AVERAGE($L$58,$L$59,$L$60,$L$61,$L$62,$L$63,$L$65,$L$66,$L$68,$L$69,$L$70,$L$71,$L$72,$L$73,$L$74,$L$75,$L$77,$L$78,$L$79,$L$80,$L$81,$L$82,$L$83,$L$84,$L$85,$L$86,$L$87,$L$88,$L$89,$L$90,$L$91,$L$92,$L$93)</f>
        <v>5.8545456691221756E-2</v>
      </c>
      <c r="M96" s="168">
        <f>$M$57-AVERAGE($M$58,$M$59,$M$60,$M$61,$M$62,$M$63,$M$65,$M$66,$M$68,$M$69,$M$70,$M$71,$M$72,$M$73,$M$74,$M$75,$M$77,$M$78,$M$79,$M$80,$M$81,$M$82,$M$83,$M$84,$M$85,$M$86,$M$87,$M$88,$M$89,$M$90,$M$91,$M$92,$M$93)</f>
        <v>8.522727566234993E-2</v>
      </c>
      <c r="N96" s="168">
        <f>$N$57-AVERAGE($N$58,$N$59,$N$60,$N$61,$N$62,$N$63,$N$65,$N$66,$N$68,$N$69,$N$70,$N$71,$N$72,$N$73,$N$74,$N$75,$N$77,$N$78,$N$79,$N$80,$N$81,$N$82,$N$83,$N$84,$N$85,$N$86,$N$87,$N$88,$N$89,$N$90,$N$91,$N$92,$N$93)</f>
        <v>0.11739090243072221</v>
      </c>
      <c r="O96" s="168">
        <f>$O$57-AVERAGE($O$58,$O$59,$O$60,$O$61,$O$62,$O$63,$O$65,$O$66,$O$68,$O$69,$O$70,$O$71,$O$72,$O$73,$O$74,$O$75,$O$77,$O$78,$O$79,$O$80,$O$81,$O$82,$O$83,$O$84,$O$85,$O$86,$O$87,$O$88,$O$89,$O$90,$O$91,$O$92,$O$93)</f>
        <v>0.15457272055474194</v>
      </c>
      <c r="P96" s="168">
        <f>$P$57-AVERAGE($P$58,$P$59,$P$60,$P$61,$P$62,$P$63,$P$65,$P$66,$P$68,$P$69,$P$70,$P$71,$P$72,$P$73,$P$74,$P$75,$P$77,$P$78,$P$79,$P$80,$P$81,$P$82,$P$83,$P$84,$P$85,$P$86,$P$87,$P$88,$P$89,$P$90,$P$91,$P$92,$P$93)</f>
        <v>0.19688182437058652</v>
      </c>
      <c r="Q96" s="168">
        <f>$Q$57-AVERAGE($Q$58,$Q$59,$Q$60,$Q$61,$Q$62,$Q$63,$Q$65,$Q$66,$Q$68,$Q$69,$Q$70,$Q$71,$Q$72,$Q$73,$Q$74,$Q$75,$Q$77,$Q$78,$Q$79,$Q$80,$Q$81,$Q$82,$Q$83,$Q$84,$Q$85,$Q$86,$Q$87,$Q$88,$Q$89,$Q$90,$Q$91,$Q$92,$Q$93)</f>
        <v>0.24178485504605551</v>
      </c>
      <c r="R96" s="168">
        <f>$R$57-AVERAGE($R$58,$R$59,$R$60,$R$61,$R$62,$R$63,$R$65,$R$66,$R$68,$R$69,$R$70,$R$71,$R$72,$R$73,$R$74,$R$75,$R$77,$R$78,$R$79,$R$80,$R$81,$R$82,$R$83,$R$84,$R$85,$R$86,$R$87,$R$88,$R$89,$R$90,$R$91,$R$92,$R$93)</f>
        <v>0.28256667834339722</v>
      </c>
      <c r="S96" s="168">
        <f>$S$57-AVERAGE($S$58,$S$59,$S$60,$S$61,$S$62,$S$63,$S$65,$S$66,$S$68,$S$69,$S$70,$S$71,$S$72,$S$73,$S$74,$S$75,$S$77,$S$78,$S$79,$S$80,$S$81,$S$82,$S$83,$S$84,$S$85,$S$86,$S$87,$S$88,$S$89,$S$90,$S$91,$S$92,$S$93)</f>
        <v>0.31480303677645594</v>
      </c>
      <c r="T96" s="168">
        <f>$T$57-AVERAGE($T$58,$T$59,$T$60,$T$61,$T$62,$T$63,$T$65,$T$66,$T$68,$T$69,$T$70,$T$71,$T$72,$T$73,$T$74,$T$75,$T$77,$T$78,$T$79,$T$80,$T$81,$T$82,$T$83,$T$84,$T$85,$T$86,$T$87,$T$88,$T$89,$T$90,$T$91,$T$92,$T$93)</f>
        <v>0.33657273198619031</v>
      </c>
      <c r="U96" s="168">
        <f>$U$57-AVERAGE($U$58,$U$59,$U$60,$U$61,$U$62,$U$63,$U$65,$U$66,$U$68,$U$69,$U$70,$U$71,$U$72,$U$73,$U$74,$U$75,$U$77,$U$78,$U$79,$U$80,$U$81,$U$82,$U$83,$U$84,$U$85,$U$86,$U$87,$U$88,$U$89,$U$90,$U$91,$U$92,$U$93)</f>
        <v>0.33581515943462198</v>
      </c>
      <c r="V96" s="168">
        <f>$V$57-AVERAGE($V$58,$V$59,$V$60,$V$61,$V$62,$V$63,$V$65,$V$66,$V$68,$V$69,$V$70,$V$71,$V$72,$V$73,$V$74,$V$75,$V$77,$V$78,$V$79,$V$80,$V$81,$V$82,$V$83,$V$84,$V$85,$V$86,$V$87,$V$88,$V$89,$V$90,$V$91,$V$92,$V$93)</f>
        <v>0.3339984921569174</v>
      </c>
      <c r="W96" s="168">
        <f>$W$57-AVERAGE($W$58,$W$59,$W$60,$W$61,$W$62,$W$63,$W$65,$W$66,$W$68,$W$69,$W$70,$W$71,$W$72,$W$73,$W$74,$W$75,$W$77,$W$78,$W$79,$W$80,$W$81,$W$82,$W$83,$W$84,$W$85,$W$86,$W$87,$W$88,$W$89,$W$90,$W$91,$W$92,$W$93)</f>
        <v>0.33218182487921283</v>
      </c>
      <c r="X96" s="168">
        <f>$X$57-AVERAGE($X$58,$X$59,$X$60,$X$61,$X$62,$X$63,$X$65,$X$66,$X$68,$X$69,$X$70,$X$71,$X$72,$X$73,$X$74,$X$75,$X$77,$X$78,$X$79,$X$80,$X$81,$X$82,$X$83,$X$84,$X$85,$X$86,$X$87,$X$88,$X$89,$X$90,$X$91,$X$92,$X$93)</f>
        <v>0.32863938289158273</v>
      </c>
      <c r="Y96" s="168">
        <f>$Y$57-AVERAGE($Y$58,$Y$59,$Y$60,$Y$61,$Y$62,$Y$63,$Y$65,$Y$66,$Y$68,$Y$69,$Y$70,$Y$71,$Y$72,$Y$73,$Y$74,$Y$75,$Y$77,$Y$78,$Y$79,$Y$80,$Y$81,$Y$82,$Y$83,$Y$84,$Y$85,$Y$86,$Y$87,$Y$88,$Y$89,$Y$90,$Y$91,$Y$92,$Y$93)</f>
        <v>0.32684849970268481</v>
      </c>
      <c r="Z96" s="168">
        <f>$Z$57-AVERAGE($Z$58,$Z$59,$Z$60,$Z$61,$Z$62,$Z$63,$Z$65,$Z$66,$Z$68,$Z$69,$Z$70,$Z$71,$Z$72,$Z$73,$Z$74,$Z$75,$Z$77,$Z$78,$Z$79,$Z$80,$Z$81,$Z$82,$Z$83,$Z$84,$Z$85,$Z$86,$Z$87,$Z$88,$Z$89,$Z$90,$Z$91,$Z$92,$Z$93)</f>
        <v>0.3264121250672774</v>
      </c>
      <c r="AA96" s="168">
        <f>$AA$57-AVERAGE($AA$58,$AA$59,$AA$60,$AA$61,$AA$62,$AA$63,$AA$65,$AA$66,$AA$68,$AA$69,$AA$70,$AA$71,$AA$72,$AA$73,$AA$74,$AA$75,$AA$77,$AA$78,$AA$79,$AA$80,$AA$81,$AA$82,$AA$83,$AA$84,$AA$85,$AA$86,$AA$87,$AA$88,$AA$89,$AA$90,$AA$91,$AA$92,$AA$93)</f>
        <v>0.33210607008500531</v>
      </c>
      <c r="AB96" s="168">
        <f>$AB$57-AVERAGE($AB$58,$AB$59,$AB$60,$AB$61,$AB$62,$AB$63,$AB$65,$AB$66,$AB$68,$AB$69,$AB$70,$AB$71,$AB$72,$AB$73,$AB$74,$AB$75,$AB$77,$AB$78,$AB$79,$AB$80,$AB$81,$AB$82,$AB$83,$AB$84,$AB$85,$AB$86,$AB$87,$AB$88,$AB$89,$AB$90,$AB$91,$AB$92,$AB$93)</f>
        <v>0.33533332022753626</v>
      </c>
      <c r="AC96" s="168">
        <f>$AC$57-AVERAGE($AC$58,$AC$59,$AC$60,$AC$61,$AC$62,$AC$63,$AC$65,$AC$66,$AC$68,$AC$69,$AC$70,$AC$71,$AC$72,$AC$73,$AC$74,$AC$75,$AC$77,$AC$78,$AC$79,$AC$80,$AC$81,$AC$82,$AC$83,$AC$84,$AC$85,$AC$86,$AC$87,$AC$88,$AC$89,$AC$90,$AC$91,$AC$92,$AC$93)</f>
        <v>0.34116363277037937</v>
      </c>
      <c r="AD96" s="168">
        <f>$AD$57-AVERAGE($AD$58,$AD$59,$AD$60,$AD$61,$AD$62,$AD$63,$AD$65,$AD$66,$AD$68,$AD$69,$AD$70,$AD$71,$AD$72,$AD$73,$AD$74,$AD$75,$AD$77,$AD$78,$AD$79,$AD$80,$AD$81,$AD$82,$AD$83,$AD$84,$AD$85,$AD$86,$AD$87,$AD$88,$AD$89,$AD$90,$AD$91,$AD$92,$AD$93)</f>
        <v>0.34970606682878552</v>
      </c>
      <c r="AE96" s="168">
        <f>$AE$57-AVERAGE($AE$58,$AE$59,$AE$60,$AE$61,$AE$62,$AE$63,$AE$65,$AE$66,$AE$68,$AE$69,$AE$70,$AE$71,$AE$72,$AE$73,$AE$74,$AE$75,$AE$77,$AE$78,$AE$79,$AE$80,$AE$81,$AE$82,$AE$83,$AE$84,$AE$85,$AE$86,$AE$87,$AE$88,$AE$89,$AE$90,$AE$91,$AE$92,$AE$93)</f>
        <v>0.36023635394645459</v>
      </c>
      <c r="AF96" s="168">
        <f>$AF$57-AVERAGE($AF$58,$AF$59,$AF$60,$AF$61,$AF$62,$AF$63,$AF$65,$AF$66,$AF$68,$AF$69,$AF$70,$AF$71,$AF$72,$AF$73,$AF$74,$AF$75,$AF$77,$AF$78,$AF$79,$AF$80,$AF$81,$AF$82,$AF$83,$AF$84,$AF$85,$AF$86,$AF$87,$AF$88,$AF$89,$AF$90,$AF$91,$AF$92,$AF$93)</f>
        <v>0.37035455938541528</v>
      </c>
    </row>
    <row r="97" spans="1:32" x14ac:dyDescent="0.2">
      <c r="A97" t="s">
        <v>403</v>
      </c>
      <c r="H97">
        <f>INDEX(LOGEST($B$94:$H$94,$B$54:$H$54,TRUE,TRUE), 3)</f>
        <v>0.96637418618811688</v>
      </c>
      <c r="I97">
        <f>INDEX(LOGEST($B$94:$I$94,$B$54:$I$54,TRUE,TRUE), 3)</f>
        <v>0.96716782851779326</v>
      </c>
      <c r="J97">
        <f>INDEX(LOGEST($B$94:$J$94,$B$54:$J$54,TRUE,TRUE), 3)</f>
        <v>0.97009800321655826</v>
      </c>
      <c r="K97">
        <f>INDEX(LOGEST($B$94:$K$94,$B$54:$K$54,TRUE,TRUE), 3)</f>
        <v>0.97503635037460157</v>
      </c>
      <c r="L97">
        <f>INDEX(LOGEST($B$94:$L$94,$B$54:$L$54,TRUE,TRUE), 3)</f>
        <v>0.97999515281897487</v>
      </c>
      <c r="M97">
        <f>INDEX(LOGEST($B$94:$M$94,$B$54:$M$54,TRUE,TRUE), 3)</f>
        <v>0.98430032113104071</v>
      </c>
      <c r="N97">
        <f>INDEX(LOGEST($B$94:$N$94,$B$54:$N$54,TRUE,TRUE), 3)</f>
        <v>0.98766127947811699</v>
      </c>
      <c r="O97">
        <f>INDEX(LOGEST($B$94:$O$94,$B$54:$O$54,TRUE,TRUE), 3)</f>
        <v>0.98977899794285296</v>
      </c>
      <c r="P97" s="155">
        <f>INDEX(LOGEST($B$94:$P$94,$B$54:$P$54,TRUE,TRUE), 3)</f>
        <v>0.99055094873691341</v>
      </c>
      <c r="Q97">
        <f>INDEX(LOGEST($B$94:$Q$94,$B$54:$Q$54,TRUE,TRUE), 3)</f>
        <v>0.98995850590540235</v>
      </c>
      <c r="R97">
        <f>INDEX(LOGEST($B$94:$R$94,$B$54:$R$54,TRUE,TRUE), 3)</f>
        <v>0.98777240170605218</v>
      </c>
      <c r="S97">
        <f>INDEX(LOGEST($B$94:$S$94,$B$54:$S$54,TRUE,TRUE), 3)</f>
        <v>0.98361455671502984</v>
      </c>
      <c r="T97">
        <f>INDEX(LOGEST($B$94:$T$94,$B$54:$T$54,TRUE,TRUE), 3)</f>
        <v>0.97737970378457162</v>
      </c>
      <c r="U97">
        <f>INDEX(LOGEST($B$94:$U$94,$B$54:$U$54,TRUE,TRUE), 3)</f>
        <v>0.96812960027419348</v>
      </c>
      <c r="V97">
        <f>INDEX(LOGEST($B$94:$V$94,$B$54:$V$54,TRUE,TRUE), 3)</f>
        <v>0.95646514825931128</v>
      </c>
      <c r="W97">
        <f>INDEX(LOGEST($B$94:$W$94,$B$54:$W$54,TRUE,TRUE), 3)</f>
        <v>0.9429914051850542</v>
      </c>
      <c r="X97">
        <f>INDEX(LOGEST($B$94:$X$94,$B$54:$X$54,TRUE,TRUE), 3)</f>
        <v>0.92802825700336056</v>
      </c>
      <c r="Y97">
        <f>INDEX(LOGEST($B$94:$Y$94,$B$54:$Y$54,TRUE,TRUE), 3)</f>
        <v>0.91204005177554492</v>
      </c>
      <c r="Z97">
        <f>INDEX(LOGEST($B$94:$Z$94,$B$54:$Z$54,TRUE,TRUE), 3)</f>
        <v>0.89568928063489783</v>
      </c>
      <c r="AA97">
        <f>INDEX(LOGEST($B$94:$AA$94,$B$54:$AA$54,TRUE,TRUE), 3)</f>
        <v>0.87936159038574913</v>
      </c>
      <c r="AB97">
        <f>INDEX(LOGEST($B$94:$AB$94,$B$54:$AB$54,TRUE,TRUE), 3)</f>
        <v>0.86330819012644167</v>
      </c>
      <c r="AC97">
        <f>INDEX(LOGEST($B$94:$AC$94,$B$54:$AC$54,TRUE,TRUE), 3)</f>
        <v>0.84795954739309187</v>
      </c>
      <c r="AD97">
        <f>INDEX(LOGEST($B$94:$AD$94,$B$54:$AD$54,TRUE,TRUE), 3)</f>
        <v>0.83326825630202395</v>
      </c>
      <c r="AE97">
        <f>INDEX(LOGEST($B$94:$AE$94,$B$54:$AE$54,TRUE,TRUE), 3)</f>
        <v>0.81948127280879257</v>
      </c>
      <c r="AF97">
        <f>INDEX(LOGEST($B$94:$AF$94,$B$54:$AF$54,TRUE,TRUE), 3)</f>
        <v>0.8064645848096359</v>
      </c>
    </row>
    <row r="98" spans="1:32" x14ac:dyDescent="0.2">
      <c r="A98" t="s">
        <v>404</v>
      </c>
      <c r="H98">
        <f>INDEX(LOGEST($B$95:$H$95,$B$54:$H$54,TRUE,TRUE), 3)</f>
        <v>0.94810716408393214</v>
      </c>
      <c r="I98">
        <f>INDEX(LOGEST($B$95:$I$95,$B$54:$I$54,TRUE,TRUE), 3)</f>
        <v>0.94912885340095032</v>
      </c>
      <c r="J98">
        <f>INDEX(LOGEST($B$95:$J$95,$B$54:$J$54,TRUE,TRUE), 3)</f>
        <v>0.95148285163773794</v>
      </c>
      <c r="K98">
        <f>INDEX(LOGEST($B$95:$K$95,$B$54:$K$54,TRUE,TRUE), 3)</f>
        <v>0.96011309953658674</v>
      </c>
      <c r="L98">
        <f>INDEX(LOGEST($B$95:$L$95,$B$54:$L$54,TRUE,TRUE), 3)</f>
        <v>0.9676391025384784</v>
      </c>
      <c r="M98">
        <f>INDEX(LOGEST($B$95:$M$95,$B$54:$M$54,TRUE,TRUE), 3)</f>
        <v>0.97432297192710171</v>
      </c>
      <c r="N98">
        <f>INDEX(LOGEST($B$95:$N$95,$B$54:$N$54,TRUE,TRUE), 3)</f>
        <v>0.97975778192268137</v>
      </c>
      <c r="O98">
        <f>INDEX(LOGEST($B$95:$O$95,$B$54:$O$54,TRUE,TRUE), 3)</f>
        <v>0.98368578220708058</v>
      </c>
      <c r="P98">
        <f>INDEX(LOGEST($B$95:$P$95,$B$54:$P$54,TRUE,TRUE), 3)</f>
        <v>0.98603169620925668</v>
      </c>
      <c r="Q98" s="155">
        <f>INDEX(LOGEST($B$95:$Q$95,$B$54:$Q$54,TRUE,TRUE), 3)</f>
        <v>0.98684855707277097</v>
      </c>
      <c r="R98">
        <f>INDEX(LOGEST($B$95:$R$95,$B$54:$R$54,TRUE,TRUE), 3)</f>
        <v>0.98570696813293579</v>
      </c>
      <c r="S98">
        <f>INDEX(LOGEST($B$95:$S$95,$B$54:$S$54,TRUE,TRUE), 3)</f>
        <v>0.98258000145109459</v>
      </c>
      <c r="T98">
        <f>INDEX(LOGEST($B$95:$T$95,$B$54:$T$54,TRUE,TRUE), 3)</f>
        <v>0.97679998064061846</v>
      </c>
      <c r="U98">
        <f>INDEX(LOGEST($B$95:$U$95,$B$54:$U$54,TRUE,TRUE), 3)</f>
        <v>0.96796659265991092</v>
      </c>
      <c r="V98">
        <f>INDEX(LOGEST($B$95:$V$95,$B$54:$V$54,TRUE,TRUE), 3)</f>
        <v>0.95654997324997226</v>
      </c>
      <c r="W98">
        <f>INDEX(LOGEST($B$95:$W$95,$B$54:$W$54,TRUE,TRUE), 3)</f>
        <v>0.94316958715491117</v>
      </c>
      <c r="X98">
        <f>INDEX(LOGEST($B$95:$X$95,$B$54:$X$54,TRUE,TRUE), 3)</f>
        <v>0.92819892057097542</v>
      </c>
      <c r="Y98">
        <f>INDEX(LOGEST($B$95:$Y$95,$B$54:$Y$54,TRUE,TRUE), 3)</f>
        <v>0.91234093017028162</v>
      </c>
      <c r="Z98">
        <f>INDEX(LOGEST($B$95:$Z$95,$B$54:$Z$54,TRUE,TRUE), 3)</f>
        <v>0.89617023073924551</v>
      </c>
      <c r="AA98">
        <f>INDEX(LOGEST($B$95:$AA$95,$B$54:$AA$54,TRUE,TRUE), 3)</f>
        <v>0.88003670202438566</v>
      </c>
      <c r="AB98">
        <f>INDEX(LOGEST($B$95:$AB$95,$B$54:$AB$54,TRUE,TRUE), 3)</f>
        <v>0.86418796331973124</v>
      </c>
      <c r="AC98">
        <f>INDEX(LOGEST($B$95:$AC$95,$B$54:$AC$54,TRUE,TRUE), 3)</f>
        <v>0.8492932391404534</v>
      </c>
      <c r="AD98">
        <f>INDEX(LOGEST($B$95:$AD$95,$B$54:$AD$54,TRUE,TRUE), 3)</f>
        <v>0.83498097106898095</v>
      </c>
      <c r="AE98">
        <f>INDEX(LOGEST($B$95:$AE$95,$B$54:$AE$54,TRUE,TRUE), 3)</f>
        <v>0.82167271900221783</v>
      </c>
      <c r="AF98">
        <f>INDEX(LOGEST($B$95:$AF$95,$B$54:$AF$54,TRUE,TRUE), 3)</f>
        <v>0.80907029391522256</v>
      </c>
    </row>
    <row r="99" spans="1:32" x14ac:dyDescent="0.2">
      <c r="A99" t="s">
        <v>405</v>
      </c>
      <c r="H99">
        <f>INDEX(LOGEST($B$96:$H$96,$B$54:$H$54,TRUE,TRUE), 3)</f>
        <v>0.98568020902544218</v>
      </c>
      <c r="I99">
        <f>INDEX(LOGEST($B$96:$I$96,$B$54:$I$54,TRUE,TRUE), 3)</f>
        <v>0.98228036358805115</v>
      </c>
      <c r="J99">
        <f>INDEX(LOGEST($B$96:$J$96,$B$54:$J$54,TRUE,TRUE), 3)</f>
        <v>0.98173799571431497</v>
      </c>
      <c r="K99">
        <f>INDEX(LOGEST($B$96:$K$96,$B$54:$K$54,TRUE,TRUE), 3)</f>
        <v>0.98355233827128641</v>
      </c>
      <c r="L99">
        <f>INDEX(LOGEST($B$96:$L$96,$B$54:$L$54,TRUE,TRUE), 3)</f>
        <v>0.98621987030603964</v>
      </c>
      <c r="M99">
        <f>INDEX(LOGEST($B$96:$M$96,$B$54:$M$54,TRUE,TRUE), 3)</f>
        <v>0.98904312936282257</v>
      </c>
      <c r="N99">
        <f>INDEX(LOGEST($B$96:$N$96,$B$54:$N$54,TRUE,TRUE), 3)</f>
        <v>0.99139061614337698</v>
      </c>
      <c r="O99">
        <f>INDEX(LOGEST($B$96:$O$96,$B$54:$O$54,TRUE,TRUE), 3)</f>
        <v>0.99277779475617656</v>
      </c>
      <c r="P99" s="155">
        <f>INDEX(LOGEST($B$96:$P$96,$B$54:$P$54,TRUE,TRUE), 3)</f>
        <v>0.9930325721291462</v>
      </c>
      <c r="Q99">
        <f>INDEX(LOGEST($B$96:$Q$96,$B$54:$Q$54,TRUE,TRUE), 3)</f>
        <v>0.99207129090174695</v>
      </c>
      <c r="R99">
        <f>INDEX(LOGEST($B$96:$R$96,$B$54:$R$54,TRUE,TRUE), 3)</f>
        <v>0.98962573054476721</v>
      </c>
      <c r="S99">
        <f>INDEX(LOGEST($B$96:$S$96,$B$54:$S$54,TRUE,TRUE), 3)</f>
        <v>0.98539732523436807</v>
      </c>
      <c r="T99">
        <f>INDEX(LOGEST($B$96:$T$96,$B$54:$T$54,TRUE,TRUE), 3)</f>
        <v>0.97915164842736502</v>
      </c>
      <c r="U99">
        <f>INDEX(LOGEST($B$96:$U$96,$B$54:$U$54,TRUE,TRUE), 3)</f>
        <v>0.96992959488967923</v>
      </c>
      <c r="V99">
        <f>INDEX(LOGEST($B$96:$V$96,$B$54:$V$54,TRUE,TRUE), 3)</f>
        <v>0.95831826447268098</v>
      </c>
      <c r="W99">
        <f>INDEX(LOGEST($B$96:$W$96,$B$54:$W$54,TRUE,TRUE), 3)</f>
        <v>0.94491532429416702</v>
      </c>
      <c r="X99">
        <f>INDEX(LOGEST($B$96:$X$96,$B$54:$X$54,TRUE,TRUE), 3)</f>
        <v>0.93006341946306481</v>
      </c>
      <c r="Y99">
        <f>INDEX(LOGEST($B$96:$Y$96,$B$54:$Y$54,TRUE,TRUE), 3)</f>
        <v>0.91433069424584179</v>
      </c>
      <c r="Z99">
        <f>INDEX(LOGEST($B$96:$Z$96,$B$54:$Z$54,TRUE,TRUE), 3)</f>
        <v>0.89814638567089633</v>
      </c>
      <c r="AA99">
        <f>INDEX(LOGEST($B$96:$AA$96,$B$54:$AA$54,TRUE,TRUE), 3)</f>
        <v>0.88229003193544175</v>
      </c>
      <c r="AB99">
        <f>INDEX(LOGEST($B$96:$AB$96,$B$54:$AB$54,TRUE,TRUE), 3)</f>
        <v>0.86661813944002297</v>
      </c>
      <c r="AC99">
        <f>INDEX(LOGEST($B$96:$AC$96,$B$54:$AC$54,TRUE,TRUE), 3)</f>
        <v>0.85144697886787024</v>
      </c>
      <c r="AD99">
        <f>INDEX(LOGEST($B$96:$AD$96,$B$54:$AD$54,TRUE,TRUE), 3)</f>
        <v>0.8370272966689789</v>
      </c>
      <c r="AE99">
        <f>INDEX(LOGEST($B$96:$AE$96,$B$54:$AE$54,TRUE,TRUE), 3)</f>
        <v>0.82348413231752537</v>
      </c>
      <c r="AF99">
        <f>INDEX(LOGEST($B$96:$AF$96,$B$54:$AF$54,TRUE,TRUE), 3)</f>
        <v>0.8107188076824221</v>
      </c>
    </row>
    <row r="100" spans="1:32" s="160" customFormat="1" x14ac:dyDescent="0.2">
      <c r="A100" s="160" t="s">
        <v>406</v>
      </c>
      <c r="B100" s="160">
        <f>$K$43*EXP($J$49*$B$54)</f>
        <v>9.3624479838552905E-4</v>
      </c>
      <c r="C100" s="160">
        <f>$K$43*EXP($J$49*$C$54)</f>
        <v>1.3881036373713999E-3</v>
      </c>
      <c r="D100" s="160">
        <f>$K$43*EXP($J$49*$D$54)</f>
        <v>2.0580426309511793E-3</v>
      </c>
      <c r="E100" s="160">
        <f>$K$43*EXP($J$49*$E$54)</f>
        <v>3.0513135739872674E-3</v>
      </c>
      <c r="F100" s="160">
        <f>$K$43*EXP($J$49*$F$54)</f>
        <v>4.5239658240198112E-3</v>
      </c>
      <c r="G100" s="160">
        <f>$K$43*EXP($J$49*$G$54)</f>
        <v>6.7073626753330357E-3</v>
      </c>
      <c r="H100" s="160">
        <f>$K$43*EXP($J$49*$H$54)</f>
        <v>9.9445300447640467E-3</v>
      </c>
      <c r="I100" s="160">
        <f>$K$43*EXP($J$49*$I$54)</f>
        <v>1.4744048085383198E-2</v>
      </c>
      <c r="J100" s="160">
        <f>$K$43*EXP($J$49*$J$54)</f>
        <v>2.1859952452810961E-2</v>
      </c>
      <c r="K100" s="160">
        <f>$K$43*EXP($J$49*$K$54)</f>
        <v>3.2410198235373971E-2</v>
      </c>
      <c r="L100" s="160">
        <f>$K$43*EXP($J$49*$L$54)</f>
        <v>4.8052298005852506E-2</v>
      </c>
      <c r="M100" s="160">
        <f>$K$43*EXP($J$49*$M$54)</f>
        <v>7.1243727880784258E-2</v>
      </c>
      <c r="N100" s="160">
        <f>$K$43*EXP($J$49*$N$54)</f>
        <v>0.10562801308135243</v>
      </c>
      <c r="O100" s="160">
        <f>$K$43*EXP($J$49*$O$54)</f>
        <v>0.1566071495610728</v>
      </c>
      <c r="P100" s="160">
        <f>$K$43*EXP($J$49*$P$54)</f>
        <v>0.23219029287955076</v>
      </c>
    </row>
    <row r="101" spans="1:32" s="161" customFormat="1" x14ac:dyDescent="0.2">
      <c r="A101" s="161" t="s">
        <v>407</v>
      </c>
      <c r="B101" s="161">
        <f>$Q$43*EXP($P$49*$B$54)</f>
        <v>1.5549259977352145E-3</v>
      </c>
      <c r="C101" s="161">
        <f>$Q$43*EXP($P$49*$C$54)</f>
        <v>2.2137934391759286E-3</v>
      </c>
      <c r="D101" s="161">
        <f>$Q$43*EXP($P$49*$D$54)</f>
        <v>3.151842208874656E-3</v>
      </c>
      <c r="E101" s="161">
        <f>$Q$43*EXP($P$49*$E$54)</f>
        <v>4.4873695683829403E-3</v>
      </c>
      <c r="F101" s="161">
        <f>$Q$43*EXP($P$49*$F$54)</f>
        <v>6.3887987750626913E-3</v>
      </c>
      <c r="G101" s="161">
        <f>$Q$43*EXP($P$49*$G$54)</f>
        <v>9.0959189267201795E-3</v>
      </c>
      <c r="H101" s="161">
        <f>$Q$43*EXP($P$49*$H$54)</f>
        <v>1.295012474714459E-2</v>
      </c>
      <c r="I101" s="161">
        <f>$Q$43*EXP($P$49*$I$54)</f>
        <v>1.8437469849687659E-2</v>
      </c>
      <c r="J101" s="161">
        <f>$Q$43*EXP($P$49*$J$54)</f>
        <v>2.6249962922797021E-2</v>
      </c>
      <c r="K101" s="161">
        <f>$Q$43*EXP($P$49*$K$54)</f>
        <v>3.7372836894965344E-2</v>
      </c>
      <c r="L101" s="161">
        <f>$Q$43*EXP($P$49*$L$54)</f>
        <v>5.3208796587087034E-2</v>
      </c>
      <c r="M101" s="161">
        <f>$Q$43*EXP($P$49*$M$54)</f>
        <v>7.5754913714548788E-2</v>
      </c>
      <c r="N101" s="161">
        <f>$Q$43*EXP($P$49*$N$54)</f>
        <v>0.10785447745479461</v>
      </c>
      <c r="O101" s="161">
        <f>$Q$43*EXP($P$49*$O$54)</f>
        <v>0.15355556143697044</v>
      </c>
      <c r="P101" s="161">
        <f>$Q$43*EXP($P$49*$P$54)</f>
        <v>0.21862152601041615</v>
      </c>
      <c r="Q101" s="161">
        <f>$Q$43*EXP($P$49*$Q$54)</f>
        <v>0.31125783519564354</v>
      </c>
    </row>
    <row r="102" spans="1:32" s="169" customFormat="1" x14ac:dyDescent="0.2">
      <c r="A102" s="169" t="s">
        <v>408</v>
      </c>
      <c r="B102" s="169">
        <f>$W$43*EXP($V$49*$B$54)</f>
        <v>1.039599462722443E-3</v>
      </c>
      <c r="C102" s="169">
        <f>$W$43*EXP($V$49*$C$54)</f>
        <v>1.5306247213314637E-3</v>
      </c>
      <c r="D102" s="169">
        <f>$W$43*EXP($V$49*$D$54)</f>
        <v>2.2535718048716565E-3</v>
      </c>
      <c r="E102" s="169">
        <f>$W$43*EXP($V$49*$E$54)</f>
        <v>3.3179823956421689E-3</v>
      </c>
      <c r="F102" s="169">
        <f>$W$43*EXP($V$49*$F$54)</f>
        <v>4.8851370761706526E-3</v>
      </c>
      <c r="G102" s="169">
        <f>$W$43*EXP($V$49*$G$54)</f>
        <v>7.1924927282076062E-3</v>
      </c>
      <c r="H102" s="169">
        <f>$W$43*EXP($V$49*$H$54)</f>
        <v>1.0589662242573303E-2</v>
      </c>
      <c r="I102" s="169">
        <f>$W$43*EXP($V$49*$I$54)</f>
        <v>1.5591388222331718E-2</v>
      </c>
      <c r="J102" s="169">
        <f>$W$43*EXP($V$49*$J$54)</f>
        <v>2.2955537309034397E-2</v>
      </c>
      <c r="K102" s="169">
        <f>$W$43*EXP($V$49*$K$54)</f>
        <v>3.3797932912202393E-2</v>
      </c>
      <c r="L102" s="169">
        <f>$W$43*EXP($V$49*$L$54)</f>
        <v>4.9761425914790915E-2</v>
      </c>
      <c r="M102" s="169">
        <f>$W$43*EXP($V$49*$M$54)</f>
        <v>7.3264821121034288E-2</v>
      </c>
      <c r="N102" s="169">
        <f>$W$43*EXP($V$49*$N$54)</f>
        <v>0.10786937703691614</v>
      </c>
      <c r="O102" s="169">
        <f>$W$43*EXP($V$49*$O$54)</f>
        <v>0.15881841140524844</v>
      </c>
      <c r="P102" s="169">
        <f>$W$43*EXP($V$49*$P$54)</f>
        <v>0.23383177407851918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852A2-CB33-8449-9C0F-7146B943DD24}">
  <sheetPr codeName="Sheet51"/>
  <dimension ref="A42:AF102"/>
  <sheetViews>
    <sheetView workbookViewId="0"/>
  </sheetViews>
  <sheetFormatPr baseColWidth="10" defaultRowHeight="15" x14ac:dyDescent="0.2"/>
  <sheetData>
    <row r="42" spans="9:24" x14ac:dyDescent="0.2">
      <c r="I42" t="s">
        <v>249</v>
      </c>
      <c r="O42" t="s">
        <v>249</v>
      </c>
      <c r="U42" t="s">
        <v>249</v>
      </c>
    </row>
    <row r="43" spans="9:24" x14ac:dyDescent="0.2">
      <c r="I43" t="s">
        <v>250</v>
      </c>
      <c r="J43" s="159">
        <f t="array" ref="J43:K47">LOGEST($B$94:$S$94,$B$54:$S$54,TRUE,TRUE)</f>
        <v>1.0004344430719432</v>
      </c>
      <c r="K43" s="159">
        <v>4.0295656753045774E-4</v>
      </c>
      <c r="L43" t="s">
        <v>255</v>
      </c>
      <c r="O43" t="s">
        <v>250</v>
      </c>
      <c r="P43" s="159">
        <f t="array" ref="P43:Q47">LOGEST($B$95:$Q$95,$B$54:$Q$54,TRUE,TRUE)</f>
        <v>1.0003993065244983</v>
      </c>
      <c r="Q43" s="159">
        <v>1.1668847357225564E-3</v>
      </c>
      <c r="R43" t="s">
        <v>255</v>
      </c>
      <c r="U43" t="s">
        <v>250</v>
      </c>
      <c r="V43" s="159">
        <f t="array" ref="V43:W47">LOGEST($B$96:$W$96,$B$54:$W$54,TRUE,TRUE)</f>
        <v>1.0002779709165937</v>
      </c>
      <c r="W43" s="159">
        <v>2.5609863578621985E-3</v>
      </c>
      <c r="X43" t="s">
        <v>255</v>
      </c>
    </row>
    <row r="44" spans="9:24" x14ac:dyDescent="0.2">
      <c r="I44" t="s">
        <v>251</v>
      </c>
      <c r="J44" s="159">
        <v>1.2190016586649387E-5</v>
      </c>
      <c r="K44" s="159">
        <v>0.10926420644249796</v>
      </c>
      <c r="L44" t="s">
        <v>256</v>
      </c>
      <c r="O44" t="s">
        <v>251</v>
      </c>
      <c r="P44" s="159">
        <v>1.117734353258111E-5</v>
      </c>
      <c r="Q44" s="159">
        <v>8.8568688132130868E-2</v>
      </c>
      <c r="R44" t="s">
        <v>256</v>
      </c>
      <c r="U44" t="s">
        <v>251</v>
      </c>
      <c r="V44" s="159">
        <v>1.0995669337730841E-5</v>
      </c>
      <c r="W44" s="159">
        <v>0.12141733126419468</v>
      </c>
      <c r="X44" t="s">
        <v>256</v>
      </c>
    </row>
    <row r="45" spans="9:24" x14ac:dyDescent="0.2">
      <c r="I45" t="s">
        <v>252</v>
      </c>
      <c r="J45" s="159">
        <v>0.98755449464735301</v>
      </c>
      <c r="K45" s="159">
        <v>0.24151379874367471</v>
      </c>
      <c r="L45" t="s">
        <v>257</v>
      </c>
      <c r="O45" t="s">
        <v>252</v>
      </c>
      <c r="P45" s="159">
        <v>0.98914510035281911</v>
      </c>
      <c r="Q45" s="159">
        <v>0.18551063810664262</v>
      </c>
      <c r="R45" t="s">
        <v>257</v>
      </c>
      <c r="U45" t="s">
        <v>252</v>
      </c>
      <c r="V45" s="159">
        <v>0.96964650098949867</v>
      </c>
      <c r="W45" s="159">
        <v>0.29451452318687837</v>
      </c>
      <c r="X45" t="s">
        <v>257</v>
      </c>
    </row>
    <row r="46" spans="9:24" x14ac:dyDescent="0.2">
      <c r="I46" t="s">
        <v>253</v>
      </c>
      <c r="J46" s="159">
        <v>1269.6046859195653</v>
      </c>
      <c r="K46" s="159">
        <v>16</v>
      </c>
      <c r="L46" t="s">
        <v>258</v>
      </c>
      <c r="O46" t="s">
        <v>253</v>
      </c>
      <c r="P46" s="159">
        <v>1275.740159287039</v>
      </c>
      <c r="Q46" s="159">
        <v>14</v>
      </c>
      <c r="R46" t="s">
        <v>258</v>
      </c>
      <c r="U46" t="s">
        <v>253</v>
      </c>
      <c r="V46" s="159">
        <v>638.9026192031647</v>
      </c>
      <c r="W46" s="159">
        <v>20</v>
      </c>
      <c r="X46" t="s">
        <v>258</v>
      </c>
    </row>
    <row r="47" spans="9:24" x14ac:dyDescent="0.2">
      <c r="I47" t="s">
        <v>254</v>
      </c>
      <c r="J47" s="159">
        <v>74.054663787782772</v>
      </c>
      <c r="K47" s="159">
        <v>0.93326263973760337</v>
      </c>
      <c r="L47" t="s">
        <v>259</v>
      </c>
      <c r="O47" t="s">
        <v>254</v>
      </c>
      <c r="P47" s="159">
        <v>43.903572972090558</v>
      </c>
      <c r="Q47" s="159">
        <v>0.48179875591027221</v>
      </c>
      <c r="R47" t="s">
        <v>259</v>
      </c>
      <c r="U47" t="s">
        <v>254</v>
      </c>
      <c r="V47" s="159">
        <v>55.417649297262464</v>
      </c>
      <c r="W47" s="159">
        <v>1.7347760873598861</v>
      </c>
      <c r="X47" t="s">
        <v>259</v>
      </c>
    </row>
    <row r="49" spans="1:32" x14ac:dyDescent="0.2">
      <c r="I49" t="s">
        <v>260</v>
      </c>
      <c r="J49">
        <f>LN($J$43)</f>
        <v>4.34348728875273E-4</v>
      </c>
      <c r="O49" t="s">
        <v>260</v>
      </c>
      <c r="P49">
        <f>LN($P$43)</f>
        <v>3.9922682286422866E-4</v>
      </c>
      <c r="U49" t="s">
        <v>260</v>
      </c>
      <c r="V49">
        <f>LN($V$43)</f>
        <v>2.7793228983632562E-4</v>
      </c>
    </row>
    <row r="50" spans="1:32" x14ac:dyDescent="0.2">
      <c r="I50" t="s">
        <v>261</v>
      </c>
      <c r="J50">
        <f>ROUND(LN(2)/$J$49, 1)</f>
        <v>1595.8</v>
      </c>
      <c r="O50" t="s">
        <v>261</v>
      </c>
      <c r="P50">
        <f>ROUND(LN(2)/$P$49, 1)</f>
        <v>1736.2</v>
      </c>
      <c r="U50" t="s">
        <v>261</v>
      </c>
      <c r="V50">
        <f>ROUND(LN(2)/$V$49, 1)</f>
        <v>2493.9</v>
      </c>
    </row>
    <row r="51" spans="1:32" x14ac:dyDescent="0.2">
      <c r="I51" t="s">
        <v>204</v>
      </c>
      <c r="J51" s="155">
        <f>ROUND($J$50/60, 1)</f>
        <v>26.6</v>
      </c>
      <c r="O51" t="s">
        <v>204</v>
      </c>
      <c r="P51" s="155">
        <f>ROUND($P$50/60, 1)</f>
        <v>28.9</v>
      </c>
      <c r="U51" t="s">
        <v>204</v>
      </c>
      <c r="V51" s="155">
        <f>ROUND($V$50/60, 1)</f>
        <v>41.6</v>
      </c>
    </row>
    <row r="54" spans="1:32" x14ac:dyDescent="0.2">
      <c r="A54" t="s">
        <v>206</v>
      </c>
      <c r="B54" s="166">
        <v>0</v>
      </c>
      <c r="C54" s="166">
        <v>900.1</v>
      </c>
      <c r="D54" s="166">
        <v>1800.2</v>
      </c>
      <c r="E54" s="166">
        <v>2700.3</v>
      </c>
      <c r="F54" s="166">
        <v>3600.4</v>
      </c>
      <c r="G54" s="166">
        <v>4500.5</v>
      </c>
      <c r="H54" s="166">
        <v>5400.6</v>
      </c>
      <c r="I54" s="166">
        <v>6300.7</v>
      </c>
      <c r="J54" s="166">
        <v>7200.8</v>
      </c>
      <c r="K54" s="166">
        <v>8100.9</v>
      </c>
      <c r="L54" s="166">
        <v>9001</v>
      </c>
      <c r="M54" s="166">
        <v>9901.1</v>
      </c>
      <c r="N54" s="166">
        <v>10801.2</v>
      </c>
      <c r="O54" s="166">
        <v>11701.3</v>
      </c>
      <c r="P54" s="166">
        <v>12601.4</v>
      </c>
      <c r="Q54" s="166">
        <v>13501.5</v>
      </c>
      <c r="R54" s="166">
        <v>14401.6</v>
      </c>
      <c r="S54" s="166">
        <v>15301.7</v>
      </c>
      <c r="T54" s="166">
        <v>16201.8</v>
      </c>
      <c r="U54" s="166">
        <v>17101.900000000001</v>
      </c>
      <c r="V54" s="166">
        <v>18002</v>
      </c>
      <c r="W54" s="166">
        <v>18902.099999999999</v>
      </c>
      <c r="X54" s="166">
        <v>19802.2</v>
      </c>
      <c r="Y54" s="166">
        <v>20702.3</v>
      </c>
      <c r="Z54" s="166">
        <v>21602.400000000001</v>
      </c>
      <c r="AA54" s="166">
        <v>22502.5</v>
      </c>
      <c r="AB54" s="166">
        <v>23402.6</v>
      </c>
      <c r="AC54" s="166">
        <v>24302.7</v>
      </c>
      <c r="AD54" s="166">
        <v>25202.799999999999</v>
      </c>
      <c r="AE54" s="166">
        <v>26102.9</v>
      </c>
      <c r="AF54" s="166">
        <v>27003</v>
      </c>
    </row>
    <row r="55" spans="1:32" x14ac:dyDescent="0.2">
      <c r="A55" s="156" t="s">
        <v>409</v>
      </c>
      <c r="B55" s="156">
        <v>0.10610000044107437</v>
      </c>
      <c r="C55" s="156">
        <v>0.10599999874830246</v>
      </c>
      <c r="D55" s="156">
        <v>0.10610000044107437</v>
      </c>
      <c r="E55" s="156">
        <v>0.10620000213384628</v>
      </c>
      <c r="F55" s="156">
        <v>0.10660000145435333</v>
      </c>
      <c r="G55" s="156">
        <v>0.10750000178813934</v>
      </c>
      <c r="H55" s="156">
        <v>0.10859999805688858</v>
      </c>
      <c r="I55" s="156">
        <v>0.11060000211000443</v>
      </c>
      <c r="J55" s="156">
        <v>0.11389999836683273</v>
      </c>
      <c r="K55" s="156">
        <v>0.11959999799728394</v>
      </c>
      <c r="L55" s="156">
        <v>0.12839999794960022</v>
      </c>
      <c r="M55" s="156">
        <v>0.14159999787807465</v>
      </c>
      <c r="N55" s="156">
        <v>0.15970000624656677</v>
      </c>
      <c r="O55" s="156">
        <v>0.18410000205039978</v>
      </c>
      <c r="P55" s="156">
        <v>0.21359999477863312</v>
      </c>
      <c r="Q55" s="156">
        <v>0.24869999289512634</v>
      </c>
      <c r="R55" s="156">
        <v>0.28999999165534973</v>
      </c>
      <c r="S55" s="156">
        <v>0.33500000834465027</v>
      </c>
      <c r="T55" s="156">
        <v>0.37779998779296875</v>
      </c>
      <c r="U55" s="156">
        <v>0.41460001468658447</v>
      </c>
      <c r="V55" s="156">
        <f t="shared" ref="V55:V57" si="0">AVERAGE(U55,W55)</f>
        <v>0.43090000748634338</v>
      </c>
      <c r="W55" s="156">
        <v>0.44720000028610229</v>
      </c>
      <c r="X55" s="156">
        <v>0.45500001311302185</v>
      </c>
      <c r="Y55" s="156">
        <v>0.45640000700950623</v>
      </c>
      <c r="Z55" s="156">
        <v>0.4544999897480011</v>
      </c>
      <c r="AA55" s="156">
        <v>0.45509999990463257</v>
      </c>
      <c r="AB55" s="156">
        <v>0.45649999380111694</v>
      </c>
      <c r="AC55" s="156">
        <v>0.46160000562667847</v>
      </c>
      <c r="AD55" s="156">
        <v>0.46889999508857727</v>
      </c>
      <c r="AE55" s="156">
        <v>0.47499999403953552</v>
      </c>
      <c r="AF55" s="156">
        <v>0.4878000020980835</v>
      </c>
    </row>
    <row r="56" spans="1:32" x14ac:dyDescent="0.2">
      <c r="A56" s="157" t="s">
        <v>410</v>
      </c>
      <c r="B56" s="157">
        <v>0.10859999805688858</v>
      </c>
      <c r="C56" s="157">
        <v>0.10840000212192535</v>
      </c>
      <c r="D56" s="157">
        <v>0.1088000014424324</v>
      </c>
      <c r="E56" s="157">
        <v>0.10939999669790268</v>
      </c>
      <c r="F56" s="157">
        <v>0.11020000278949738</v>
      </c>
      <c r="G56" s="157">
        <v>0.1120000034570694</v>
      </c>
      <c r="H56" s="157">
        <v>0.11479999870061874</v>
      </c>
      <c r="I56" s="157">
        <v>0.11949999630451202</v>
      </c>
      <c r="J56" s="157">
        <v>0.1273999959230423</v>
      </c>
      <c r="K56" s="157">
        <v>0.13899999856948853</v>
      </c>
      <c r="L56" s="157">
        <v>0.15539999306201935</v>
      </c>
      <c r="M56" s="157">
        <v>0.17870000004768372</v>
      </c>
      <c r="N56" s="157">
        <v>0.20730000734329224</v>
      </c>
      <c r="O56" s="157">
        <v>0.24050000309944153</v>
      </c>
      <c r="P56" s="157">
        <v>0.27790001034736633</v>
      </c>
      <c r="Q56" s="157">
        <v>0.32170000672340393</v>
      </c>
      <c r="R56" s="157">
        <v>0.36550000309944153</v>
      </c>
      <c r="S56" s="157">
        <v>0.40279999375343323</v>
      </c>
      <c r="T56" s="157">
        <v>0.43369999527931213</v>
      </c>
      <c r="U56" s="157">
        <v>0.44539999961853027</v>
      </c>
      <c r="V56" s="157">
        <f t="shared" si="0"/>
        <v>0.44885000586509705</v>
      </c>
      <c r="W56" s="157">
        <v>0.45230001211166382</v>
      </c>
      <c r="X56" s="157">
        <v>0.45080000162124634</v>
      </c>
      <c r="Y56" s="157">
        <v>0.4505000114440918</v>
      </c>
      <c r="Z56" s="157">
        <v>0.4512999951839447</v>
      </c>
      <c r="AA56" s="157">
        <v>0.45570001006126404</v>
      </c>
      <c r="AB56" s="157">
        <v>0.46149998903274536</v>
      </c>
      <c r="AC56" s="157">
        <v>0.47009998559951782</v>
      </c>
      <c r="AD56" s="157">
        <v>0.48050001263618469</v>
      </c>
      <c r="AE56" s="157">
        <v>0.49200001358985901</v>
      </c>
      <c r="AF56" s="157">
        <v>0.5065000057220459</v>
      </c>
    </row>
    <row r="57" spans="1:32" x14ac:dyDescent="0.2">
      <c r="A57" s="168" t="s">
        <v>411</v>
      </c>
      <c r="B57" s="168">
        <v>0.11180000007152557</v>
      </c>
      <c r="C57" s="168">
        <v>0.11110000312328339</v>
      </c>
      <c r="D57" s="168">
        <v>0.11129999905824661</v>
      </c>
      <c r="E57" s="168">
        <v>0.1120000034570694</v>
      </c>
      <c r="F57" s="168">
        <v>0.11219999939203262</v>
      </c>
      <c r="G57" s="168">
        <v>0.11309999972581863</v>
      </c>
      <c r="H57" s="168">
        <v>0.11420000344514847</v>
      </c>
      <c r="I57" s="168">
        <v>0.11599999666213989</v>
      </c>
      <c r="J57" s="168">
        <v>0.1193000003695488</v>
      </c>
      <c r="K57" s="168">
        <v>0.12470000237226486</v>
      </c>
      <c r="L57" s="168">
        <v>0.13349999487400055</v>
      </c>
      <c r="M57" s="168">
        <v>0.14640000462532043</v>
      </c>
      <c r="N57" s="168">
        <v>0.16419999301433563</v>
      </c>
      <c r="O57" s="168">
        <v>0.18819999694824219</v>
      </c>
      <c r="P57" s="168">
        <v>0.21690000593662262</v>
      </c>
      <c r="Q57" s="168">
        <v>0.25049999356269836</v>
      </c>
      <c r="R57" s="168">
        <v>0.28999999165534973</v>
      </c>
      <c r="S57" s="168">
        <v>0.33460000157356262</v>
      </c>
      <c r="T57" s="168">
        <v>0.37709999084472656</v>
      </c>
      <c r="U57" s="168">
        <v>0.41440001130104065</v>
      </c>
      <c r="V57" s="168">
        <f t="shared" si="0"/>
        <v>0.43375000357627869</v>
      </c>
      <c r="W57" s="168">
        <v>0.45309999585151672</v>
      </c>
      <c r="X57" s="168">
        <v>0.4595000147819519</v>
      </c>
      <c r="Y57" s="168">
        <v>0.46169999241828918</v>
      </c>
      <c r="Z57" s="168">
        <v>0.460999995470047</v>
      </c>
      <c r="AA57" s="168">
        <v>0.46079999208450317</v>
      </c>
      <c r="AB57" s="168">
        <v>0.4611000120639801</v>
      </c>
      <c r="AC57" s="168">
        <v>0.46480000019073486</v>
      </c>
      <c r="AD57" s="168">
        <v>0.46900001168251038</v>
      </c>
      <c r="AE57" s="168">
        <v>0.47560000419616699</v>
      </c>
      <c r="AF57" s="168">
        <v>0.48410001397132874</v>
      </c>
    </row>
    <row r="58" spans="1:32" x14ac:dyDescent="0.2">
      <c r="A58" s="158" t="s">
        <v>209</v>
      </c>
      <c r="B58" s="158">
        <v>0.10480000078678131</v>
      </c>
      <c r="C58" s="158">
        <v>0.1046999990940094</v>
      </c>
      <c r="D58" s="158">
        <v>0.1046999990940094</v>
      </c>
      <c r="E58" s="158">
        <v>0.10480000078678131</v>
      </c>
      <c r="F58" s="158">
        <v>0.10459999740123749</v>
      </c>
      <c r="G58" s="158">
        <v>0.10450000315904617</v>
      </c>
      <c r="H58" s="158">
        <v>0.10440000146627426</v>
      </c>
      <c r="I58" s="158">
        <v>0.10429999977350235</v>
      </c>
      <c r="J58" s="158">
        <v>0.10419999808073044</v>
      </c>
      <c r="K58" s="158">
        <v>0.10419999808073044</v>
      </c>
      <c r="L58" s="158">
        <v>0.10419999808073044</v>
      </c>
      <c r="M58" s="158">
        <v>0.10409999638795853</v>
      </c>
      <c r="N58" s="158">
        <v>0.10400000214576721</v>
      </c>
      <c r="O58" s="158">
        <v>0.1039000004529953</v>
      </c>
      <c r="P58" s="158">
        <v>0.10379999876022339</v>
      </c>
      <c r="Q58" s="158">
        <v>0.10379999876022339</v>
      </c>
      <c r="R58" s="158">
        <v>0.1039000004529953</v>
      </c>
      <c r="S58" s="158">
        <v>0.10360000282526016</v>
      </c>
      <c r="T58" s="158">
        <v>0.10360000282526016</v>
      </c>
      <c r="U58" s="158">
        <v>0.10379999876022339</v>
      </c>
      <c r="V58" s="158">
        <f>AVERAGE(U58,W58)</f>
        <v>0.10359999909996986</v>
      </c>
      <c r="W58" s="158">
        <v>0.10339999943971634</v>
      </c>
      <c r="X58" s="158">
        <v>0.10329999774694443</v>
      </c>
      <c r="Y58" s="158">
        <v>0.10320000350475311</v>
      </c>
      <c r="Z58" s="158">
        <v>0.10320000350475311</v>
      </c>
      <c r="AA58" s="158">
        <v>0.1031000018119812</v>
      </c>
      <c r="AB58" s="158">
        <v>0.1031000018119812</v>
      </c>
      <c r="AC58" s="158">
        <v>0.10300000011920929</v>
      </c>
      <c r="AD58" s="158">
        <v>0.10300000011920929</v>
      </c>
      <c r="AE58" s="158">
        <v>0.10289999842643738</v>
      </c>
      <c r="AF58" s="158">
        <v>0.10289999842643738</v>
      </c>
    </row>
    <row r="59" spans="1:32" x14ac:dyDescent="0.2">
      <c r="A59" s="158" t="s">
        <v>210</v>
      </c>
      <c r="B59" s="158">
        <v>0.10660000145435333</v>
      </c>
      <c r="C59" s="158">
        <v>0.10649999976158142</v>
      </c>
      <c r="D59" s="158">
        <v>0.10649999976158142</v>
      </c>
      <c r="E59" s="158">
        <v>0.10649999976158142</v>
      </c>
      <c r="F59" s="158">
        <v>0.10639999806880951</v>
      </c>
      <c r="G59" s="158">
        <v>0.1062999963760376</v>
      </c>
      <c r="H59" s="158">
        <v>0.1062999963760376</v>
      </c>
      <c r="I59" s="158">
        <v>0.10610000044107437</v>
      </c>
      <c r="J59" s="158">
        <v>0.10610000044107437</v>
      </c>
      <c r="K59" s="158">
        <v>0.10610000044107437</v>
      </c>
      <c r="L59" s="158">
        <v>0.10610000044107437</v>
      </c>
      <c r="M59" s="158">
        <v>0.10599999874830246</v>
      </c>
      <c r="N59" s="158">
        <v>0.10589999705553055</v>
      </c>
      <c r="O59" s="158">
        <v>0.10589999705553055</v>
      </c>
      <c r="P59" s="158">
        <v>0.10570000112056732</v>
      </c>
      <c r="Q59" s="158">
        <v>0.10570000112056732</v>
      </c>
      <c r="R59" s="158">
        <v>0.10570000112056732</v>
      </c>
      <c r="S59" s="158">
        <v>0.10559999942779541</v>
      </c>
      <c r="T59" s="158">
        <v>0.10559999942779541</v>
      </c>
      <c r="U59" s="158">
        <v>0.10559999942779541</v>
      </c>
      <c r="V59" s="158">
        <f t="shared" ref="V59:V93" si="1">AVERAGE(U59,W59)</f>
        <v>0.1055000014603138</v>
      </c>
      <c r="W59" s="158">
        <v>0.10540000349283218</v>
      </c>
      <c r="X59" s="158">
        <v>0.10540000349283218</v>
      </c>
      <c r="Y59" s="158">
        <v>0.10530000180006027</v>
      </c>
      <c r="Z59" s="158">
        <v>0.10530000180006027</v>
      </c>
      <c r="AA59" s="158">
        <v>0.10520000010728836</v>
      </c>
      <c r="AB59" s="158">
        <v>0.10520000010728836</v>
      </c>
      <c r="AC59" s="158">
        <v>0.10520000010728836</v>
      </c>
      <c r="AD59" s="158">
        <v>0.10509999841451645</v>
      </c>
      <c r="AE59" s="158">
        <v>0.10509999841451645</v>
      </c>
      <c r="AF59" s="158">
        <v>0.10509999841451645</v>
      </c>
    </row>
    <row r="60" spans="1:32" x14ac:dyDescent="0.2">
      <c r="A60" s="158" t="s">
        <v>211</v>
      </c>
      <c r="B60" s="158">
        <v>0.10740000009536743</v>
      </c>
      <c r="C60" s="158">
        <v>0.10740000009536743</v>
      </c>
      <c r="D60" s="158">
        <v>0.10729999840259552</v>
      </c>
      <c r="E60" s="158">
        <v>0.10729999840259552</v>
      </c>
      <c r="F60" s="158">
        <v>0.10719999670982361</v>
      </c>
      <c r="G60" s="158">
        <v>0.10719999670982361</v>
      </c>
      <c r="H60" s="158">
        <v>0.10710000246763229</v>
      </c>
      <c r="I60" s="158">
        <v>0.10689999908208847</v>
      </c>
      <c r="J60" s="158">
        <v>0.10689999908208847</v>
      </c>
      <c r="K60" s="158">
        <v>0.10710000246763229</v>
      </c>
      <c r="L60" s="158">
        <v>0.10679999738931656</v>
      </c>
      <c r="M60" s="158">
        <v>0.10670000314712524</v>
      </c>
      <c r="N60" s="158">
        <v>0.10670000314712524</v>
      </c>
      <c r="O60" s="158">
        <v>0.10660000145435333</v>
      </c>
      <c r="P60" s="158">
        <v>0.10649999976158142</v>
      </c>
      <c r="Q60" s="158">
        <v>0.10649999976158142</v>
      </c>
      <c r="R60" s="158">
        <v>0.10639999806880951</v>
      </c>
      <c r="S60" s="158">
        <v>0.1062999963760376</v>
      </c>
      <c r="T60" s="158">
        <v>0.1062999963760376</v>
      </c>
      <c r="U60" s="158">
        <v>0.1062999963760376</v>
      </c>
      <c r="V60" s="158">
        <f t="shared" si="1"/>
        <v>0.10624999925494194</v>
      </c>
      <c r="W60" s="158">
        <v>0.10620000213384628</v>
      </c>
      <c r="X60" s="158">
        <v>0.10610000044107437</v>
      </c>
      <c r="Y60" s="158">
        <v>0.10610000044107437</v>
      </c>
      <c r="Z60" s="158">
        <v>0.10599999874830246</v>
      </c>
      <c r="AA60" s="158">
        <v>0.10589999705553055</v>
      </c>
      <c r="AB60" s="158">
        <v>0.10589999705553055</v>
      </c>
      <c r="AC60" s="158">
        <v>0.10599999874830246</v>
      </c>
      <c r="AD60" s="158">
        <v>0.10580000281333923</v>
      </c>
      <c r="AE60" s="158">
        <v>0.10580000281333923</v>
      </c>
      <c r="AF60" s="158">
        <v>0.10580000281333923</v>
      </c>
    </row>
    <row r="61" spans="1:32" x14ac:dyDescent="0.2">
      <c r="A61" s="158" t="s">
        <v>212</v>
      </c>
      <c r="B61" s="158">
        <v>0.10700000077486038</v>
      </c>
      <c r="C61" s="158">
        <v>0.10689999908208847</v>
      </c>
      <c r="D61" s="158">
        <v>0.10679999738931656</v>
      </c>
      <c r="E61" s="158">
        <v>0.10689999908208847</v>
      </c>
      <c r="F61" s="158">
        <v>0.10670000314712524</v>
      </c>
      <c r="G61" s="158">
        <v>0.10689999908208847</v>
      </c>
      <c r="H61" s="158">
        <v>0.10660000145435333</v>
      </c>
      <c r="I61" s="158">
        <v>0.10639999806880951</v>
      </c>
      <c r="J61" s="158">
        <v>0.10639999806880951</v>
      </c>
      <c r="K61" s="158">
        <v>0.1062999963760376</v>
      </c>
      <c r="L61" s="158">
        <v>0.1062999963760376</v>
      </c>
      <c r="M61" s="158">
        <v>0.1062999963760376</v>
      </c>
      <c r="N61" s="158">
        <v>0.10620000213384628</v>
      </c>
      <c r="O61" s="158">
        <v>0.10610000044107437</v>
      </c>
      <c r="P61" s="158">
        <v>0.10599999874830246</v>
      </c>
      <c r="Q61" s="158">
        <v>0.10599999874830246</v>
      </c>
      <c r="R61" s="158">
        <v>0.10599999874830246</v>
      </c>
      <c r="S61" s="158">
        <v>0.10580000281333923</v>
      </c>
      <c r="T61" s="158">
        <v>0.10580000281333923</v>
      </c>
      <c r="U61" s="158">
        <v>0.10580000281333923</v>
      </c>
      <c r="V61" s="158">
        <f t="shared" si="1"/>
        <v>0.10575000196695328</v>
      </c>
      <c r="W61" s="158">
        <v>0.10570000112056732</v>
      </c>
      <c r="X61" s="158">
        <v>0.10559999942779541</v>
      </c>
      <c r="Y61" s="158">
        <v>0.10559999942779541</v>
      </c>
      <c r="Z61" s="158">
        <v>0.10559999942779541</v>
      </c>
      <c r="AA61" s="158">
        <v>0.10540000349283218</v>
      </c>
      <c r="AB61" s="158">
        <v>0.10540000349283218</v>
      </c>
      <c r="AC61" s="158">
        <v>0.10540000349283218</v>
      </c>
      <c r="AD61" s="158">
        <v>0.10540000349283218</v>
      </c>
      <c r="AE61" s="158">
        <v>0.10530000180006027</v>
      </c>
      <c r="AF61" s="158">
        <v>0.10530000180006027</v>
      </c>
    </row>
    <row r="62" spans="1:32" x14ac:dyDescent="0.2">
      <c r="A62" s="158" t="s">
        <v>213</v>
      </c>
      <c r="B62" s="158">
        <v>0.10570000112056732</v>
      </c>
      <c r="C62" s="158">
        <v>0.1054999977350235</v>
      </c>
      <c r="D62" s="158">
        <v>0.1054999977350235</v>
      </c>
      <c r="E62" s="158">
        <v>0.1054999977350235</v>
      </c>
      <c r="F62" s="158">
        <v>0.10540000349283218</v>
      </c>
      <c r="G62" s="158">
        <v>0.10530000180006027</v>
      </c>
      <c r="H62" s="158">
        <v>0.10520000010728836</v>
      </c>
      <c r="I62" s="158">
        <v>0.10520000010728836</v>
      </c>
      <c r="J62" s="158">
        <v>0.10499999672174454</v>
      </c>
      <c r="K62" s="158">
        <v>0.10499999672174454</v>
      </c>
      <c r="L62" s="158">
        <v>0.10499999672174454</v>
      </c>
      <c r="M62" s="158">
        <v>0.10490000247955322</v>
      </c>
      <c r="N62" s="158">
        <v>0.10490000247955322</v>
      </c>
      <c r="O62" s="158">
        <v>0.10480000078678131</v>
      </c>
      <c r="P62" s="158">
        <v>0.10459999740123749</v>
      </c>
      <c r="Q62" s="158">
        <v>0.10459999740123749</v>
      </c>
      <c r="R62" s="158">
        <v>0.10459999740123749</v>
      </c>
      <c r="S62" s="158">
        <v>0.10440000146627426</v>
      </c>
      <c r="T62" s="158">
        <v>0.10450000315904617</v>
      </c>
      <c r="U62" s="158">
        <v>0.10450000315904617</v>
      </c>
      <c r="V62" s="158">
        <f t="shared" si="1"/>
        <v>0.10445000231266022</v>
      </c>
      <c r="W62" s="158">
        <v>0.10440000146627426</v>
      </c>
      <c r="X62" s="158">
        <v>0.10440000146627426</v>
      </c>
      <c r="Y62" s="158">
        <v>0.10429999977350235</v>
      </c>
      <c r="Z62" s="158">
        <v>0.10419999808073044</v>
      </c>
      <c r="AA62" s="158">
        <v>0.10419999808073044</v>
      </c>
      <c r="AB62" s="158">
        <v>0.10419999808073044</v>
      </c>
      <c r="AC62" s="158">
        <v>0.10440000146627426</v>
      </c>
      <c r="AD62" s="158">
        <v>0.10409999638795853</v>
      </c>
      <c r="AE62" s="158">
        <v>0.10400000214576721</v>
      </c>
      <c r="AF62" s="158">
        <v>0.10400000214576721</v>
      </c>
    </row>
    <row r="63" spans="1:32" x14ac:dyDescent="0.2">
      <c r="A63" s="158" t="s">
        <v>214</v>
      </c>
      <c r="B63" s="158">
        <v>0.10689999908208847</v>
      </c>
      <c r="C63" s="158">
        <v>0.10679999738931656</v>
      </c>
      <c r="D63" s="158">
        <v>0.10679999738931656</v>
      </c>
      <c r="E63" s="158">
        <v>0.10679999738931656</v>
      </c>
      <c r="F63" s="158">
        <v>0.10670000314712524</v>
      </c>
      <c r="G63" s="158">
        <v>0.10660000145435333</v>
      </c>
      <c r="H63" s="158">
        <v>0.10649999976158142</v>
      </c>
      <c r="I63" s="158">
        <v>0.1062999963760376</v>
      </c>
      <c r="J63" s="158">
        <v>0.1062999963760376</v>
      </c>
      <c r="K63" s="158">
        <v>0.10620000213384628</v>
      </c>
      <c r="L63" s="158">
        <v>0.1062999963760376</v>
      </c>
      <c r="M63" s="158">
        <v>0.10620000213384628</v>
      </c>
      <c r="N63" s="158">
        <v>0.10610000044107437</v>
      </c>
      <c r="O63" s="158">
        <v>0.10610000044107437</v>
      </c>
      <c r="P63" s="158">
        <v>0.10580000281333923</v>
      </c>
      <c r="Q63" s="158">
        <v>0.10589999705553055</v>
      </c>
      <c r="R63" s="158">
        <v>0.10580000281333923</v>
      </c>
      <c r="S63" s="158">
        <v>0.10570000112056732</v>
      </c>
      <c r="T63" s="158">
        <v>0.10570000112056732</v>
      </c>
      <c r="U63" s="158">
        <v>0.10570000112056732</v>
      </c>
      <c r="V63" s="158">
        <f t="shared" si="1"/>
        <v>0.10565000027418137</v>
      </c>
      <c r="W63" s="158">
        <v>0.10559999942779541</v>
      </c>
      <c r="X63" s="158">
        <v>0.1054999977350235</v>
      </c>
      <c r="Y63" s="158">
        <v>0.1054999977350235</v>
      </c>
      <c r="Z63" s="158">
        <v>0.10540000349283218</v>
      </c>
      <c r="AA63" s="158">
        <v>0.10540000349283218</v>
      </c>
      <c r="AB63" s="158">
        <v>0.10540000349283218</v>
      </c>
      <c r="AC63" s="158">
        <v>0.10540000349283218</v>
      </c>
      <c r="AD63" s="158">
        <v>0.10530000180006027</v>
      </c>
      <c r="AE63" s="158">
        <v>0.10520000010728836</v>
      </c>
      <c r="AF63" s="158">
        <v>0.10530000180006027</v>
      </c>
    </row>
    <row r="64" spans="1:32" x14ac:dyDescent="0.2">
      <c r="A64" s="158" t="s">
        <v>215</v>
      </c>
      <c r="B64" s="158">
        <v>0.10819999873638153</v>
      </c>
      <c r="C64" s="158">
        <v>0.10790000110864639</v>
      </c>
      <c r="D64" s="158">
        <v>0.10779999941587448</v>
      </c>
      <c r="E64" s="158">
        <v>0.1080000028014183</v>
      </c>
      <c r="F64" s="158">
        <v>0.10760000348091125</v>
      </c>
      <c r="G64" s="158">
        <v>0.10750000178813934</v>
      </c>
      <c r="H64" s="158">
        <v>0.10740000009536743</v>
      </c>
      <c r="I64" s="158">
        <v>0.10719999670982361</v>
      </c>
      <c r="J64" s="158">
        <v>0.10719999670982361</v>
      </c>
      <c r="K64" s="158">
        <v>0.10710000246763229</v>
      </c>
      <c r="L64" s="158">
        <v>0.10719999670982361</v>
      </c>
      <c r="M64" s="158">
        <v>0.10700000077486038</v>
      </c>
      <c r="N64" s="158">
        <v>0.10700000077486038</v>
      </c>
      <c r="O64" s="158">
        <v>0.10700000077486038</v>
      </c>
      <c r="P64" s="158">
        <v>0.10679999738931656</v>
      </c>
      <c r="Q64" s="158">
        <v>0.10679999738931656</v>
      </c>
      <c r="R64" s="158">
        <v>0.10670000314712524</v>
      </c>
      <c r="S64" s="158">
        <v>0.10660000145435333</v>
      </c>
      <c r="T64" s="158">
        <v>0.10660000145435333</v>
      </c>
      <c r="U64" s="158">
        <v>0.10660000145435333</v>
      </c>
      <c r="V64" s="158">
        <f t="shared" si="1"/>
        <v>0.10655000060796738</v>
      </c>
      <c r="W64" s="158">
        <v>0.10649999976158142</v>
      </c>
      <c r="X64" s="158">
        <v>0.10649999976158142</v>
      </c>
      <c r="Y64" s="158">
        <v>0.1062999963760376</v>
      </c>
      <c r="Z64" s="158">
        <v>0.1062999963760376</v>
      </c>
      <c r="AA64" s="158">
        <v>0.1062999963760376</v>
      </c>
      <c r="AB64" s="158">
        <v>0.1062999963760376</v>
      </c>
      <c r="AC64" s="158">
        <v>0.1062999963760376</v>
      </c>
      <c r="AD64" s="158">
        <v>0.10620000213384628</v>
      </c>
      <c r="AE64" s="158">
        <v>0.10610000044107437</v>
      </c>
      <c r="AF64" s="158">
        <v>0.10610000044107437</v>
      </c>
    </row>
    <row r="65" spans="1:32" x14ac:dyDescent="0.2">
      <c r="A65" s="158" t="s">
        <v>216</v>
      </c>
      <c r="B65" s="158">
        <v>0.10639999806880951</v>
      </c>
      <c r="C65" s="158">
        <v>0.10599999874830246</v>
      </c>
      <c r="D65" s="158">
        <v>0.10589999705553055</v>
      </c>
      <c r="E65" s="158">
        <v>0.10840000212192535</v>
      </c>
      <c r="F65" s="158">
        <v>0.10869999974966049</v>
      </c>
      <c r="G65" s="158">
        <v>0.10819999873638153</v>
      </c>
      <c r="H65" s="158">
        <v>0.10819999873638153</v>
      </c>
      <c r="I65" s="158">
        <v>0.1080000028014183</v>
      </c>
      <c r="J65" s="158">
        <v>0.10779999941587448</v>
      </c>
      <c r="K65" s="158">
        <v>0.1080000028014183</v>
      </c>
      <c r="L65" s="158">
        <v>0.10830000042915344</v>
      </c>
      <c r="M65" s="158">
        <v>0.1080000028014183</v>
      </c>
      <c r="N65" s="158">
        <v>0.10809999704360962</v>
      </c>
      <c r="O65" s="158">
        <v>0.10779999941587448</v>
      </c>
      <c r="P65" s="158">
        <v>0.10740000009536743</v>
      </c>
      <c r="Q65" s="158">
        <v>0.10760000348091125</v>
      </c>
      <c r="R65" s="158">
        <v>0.10760000348091125</v>
      </c>
      <c r="S65" s="158">
        <v>0.1080000028014183</v>
      </c>
      <c r="T65" s="158">
        <v>0.10750000178813934</v>
      </c>
      <c r="U65" s="158">
        <v>0.10750000178813934</v>
      </c>
      <c r="V65" s="158">
        <f t="shared" si="1"/>
        <v>0.1075500026345253</v>
      </c>
      <c r="W65" s="158">
        <v>0.10760000348091125</v>
      </c>
      <c r="X65" s="158">
        <v>0.10779999941587448</v>
      </c>
      <c r="Y65" s="158">
        <v>0.10740000009536743</v>
      </c>
      <c r="Z65" s="158">
        <v>0.10750000178813934</v>
      </c>
      <c r="AA65" s="158">
        <v>0.10920000076293945</v>
      </c>
      <c r="AB65" s="158">
        <v>0.10830000042915344</v>
      </c>
      <c r="AC65" s="158">
        <v>0.10909999907016754</v>
      </c>
      <c r="AD65" s="158">
        <v>0.10819999873638153</v>
      </c>
      <c r="AE65" s="158">
        <v>0.10740000009536743</v>
      </c>
      <c r="AF65" s="158">
        <v>0.10849999636411667</v>
      </c>
    </row>
    <row r="66" spans="1:32" x14ac:dyDescent="0.2">
      <c r="A66" s="158" t="s">
        <v>217</v>
      </c>
      <c r="B66" s="158">
        <v>0.10580000281333923</v>
      </c>
      <c r="C66" s="158">
        <v>0.10570000112056732</v>
      </c>
      <c r="D66" s="158">
        <v>0.10570000112056732</v>
      </c>
      <c r="E66" s="158">
        <v>0.10580000281333923</v>
      </c>
      <c r="F66" s="158">
        <v>0.1054999977350235</v>
      </c>
      <c r="G66" s="158">
        <v>0.10559999942779541</v>
      </c>
      <c r="H66" s="158">
        <v>0.10540000349283218</v>
      </c>
      <c r="I66" s="158">
        <v>0.10530000180006027</v>
      </c>
      <c r="J66" s="158">
        <v>0.10520000010728836</v>
      </c>
      <c r="K66" s="158">
        <v>0.10520000010728836</v>
      </c>
      <c r="L66" s="158">
        <v>0.10520000010728836</v>
      </c>
      <c r="M66" s="158">
        <v>0.10509999841451645</v>
      </c>
      <c r="N66" s="158">
        <v>0.10509999841451645</v>
      </c>
      <c r="O66" s="158">
        <v>0.10499999672174454</v>
      </c>
      <c r="P66" s="158">
        <v>0.10480000078678131</v>
      </c>
      <c r="Q66" s="158">
        <v>0.10480000078678131</v>
      </c>
      <c r="R66" s="158">
        <v>0.10480000078678131</v>
      </c>
      <c r="S66" s="158">
        <v>0.1046999990940094</v>
      </c>
      <c r="T66" s="158">
        <v>0.1046999990940094</v>
      </c>
      <c r="U66" s="158">
        <v>0.1046999990940094</v>
      </c>
      <c r="V66" s="158">
        <f t="shared" si="1"/>
        <v>0.10464999824762344</v>
      </c>
      <c r="W66" s="158">
        <v>0.10459999740123749</v>
      </c>
      <c r="X66" s="158">
        <v>0.10459999740123749</v>
      </c>
      <c r="Y66" s="158">
        <v>0.10450000315904617</v>
      </c>
      <c r="Z66" s="158">
        <v>0.10450000315904617</v>
      </c>
      <c r="AA66" s="158">
        <v>0.10429999977350235</v>
      </c>
      <c r="AB66" s="158">
        <v>0.10429999977350235</v>
      </c>
      <c r="AC66" s="158">
        <v>0.10429999977350235</v>
      </c>
      <c r="AD66" s="158">
        <v>0.10429999977350235</v>
      </c>
      <c r="AE66" s="158">
        <v>0.10419999808073044</v>
      </c>
      <c r="AF66" s="158">
        <v>0.10419999808073044</v>
      </c>
    </row>
    <row r="67" spans="1:32" x14ac:dyDescent="0.2">
      <c r="A67" s="158" t="s">
        <v>218</v>
      </c>
      <c r="B67" s="158">
        <v>0.10999999940395355</v>
      </c>
      <c r="C67" s="158">
        <v>0.10859999805688858</v>
      </c>
      <c r="D67" s="158">
        <v>0.1088000014424324</v>
      </c>
      <c r="E67" s="158">
        <v>0.10869999974966049</v>
      </c>
      <c r="F67" s="158">
        <v>0.10859999805688858</v>
      </c>
      <c r="G67" s="158">
        <v>0.10890000313520432</v>
      </c>
      <c r="H67" s="158">
        <v>0.10849999636411667</v>
      </c>
      <c r="I67" s="158">
        <v>0.10830000042915344</v>
      </c>
      <c r="J67" s="158">
        <v>0.10840000212192535</v>
      </c>
      <c r="K67" s="158">
        <v>0.10809999704360962</v>
      </c>
      <c r="L67" s="158">
        <v>0.10869999974966049</v>
      </c>
      <c r="M67" s="158">
        <v>0.10849999636411667</v>
      </c>
      <c r="N67" s="158">
        <v>0.10859999805688858</v>
      </c>
      <c r="O67" s="158">
        <v>0.10849999636411667</v>
      </c>
      <c r="P67" s="158">
        <v>0.1080000028014183</v>
      </c>
      <c r="Q67" s="158">
        <v>0.10769999772310257</v>
      </c>
      <c r="R67" s="158">
        <v>0.10769999772310257</v>
      </c>
      <c r="S67" s="158">
        <v>0.1080000028014183</v>
      </c>
      <c r="T67" s="158">
        <v>0.10769999772310257</v>
      </c>
      <c r="U67" s="158">
        <v>0.10809999704360962</v>
      </c>
      <c r="V67" s="158">
        <f t="shared" si="1"/>
        <v>0.10794999822974205</v>
      </c>
      <c r="W67" s="158">
        <v>0.10779999941587448</v>
      </c>
      <c r="X67" s="158">
        <v>0.10740000009536743</v>
      </c>
      <c r="Y67" s="158">
        <v>0.10750000178813934</v>
      </c>
      <c r="Z67" s="158">
        <v>0.10750000178813934</v>
      </c>
      <c r="AA67" s="158">
        <v>0.10620000213384628</v>
      </c>
      <c r="AB67" s="158">
        <v>0.10670000314712524</v>
      </c>
      <c r="AC67" s="158">
        <v>0.10620000213384628</v>
      </c>
      <c r="AD67" s="158">
        <v>0.10700000077486038</v>
      </c>
      <c r="AE67" s="158">
        <v>0.10679999738931656</v>
      </c>
      <c r="AF67" s="158">
        <v>0.10639999806880951</v>
      </c>
    </row>
    <row r="68" spans="1:32" x14ac:dyDescent="0.2">
      <c r="A68" s="158" t="s">
        <v>219</v>
      </c>
      <c r="B68" s="158">
        <v>0.10649999976158142</v>
      </c>
      <c r="C68" s="158">
        <v>0.10620000213384628</v>
      </c>
      <c r="D68" s="158">
        <v>0.10610000044107437</v>
      </c>
      <c r="E68" s="158">
        <v>0.10639999806880951</v>
      </c>
      <c r="F68" s="158">
        <v>0.10620000213384628</v>
      </c>
      <c r="G68" s="158">
        <v>0.10620000213384628</v>
      </c>
      <c r="H68" s="158">
        <v>0.10610000044107437</v>
      </c>
      <c r="I68" s="158">
        <v>0.10589999705553055</v>
      </c>
      <c r="J68" s="158">
        <v>0.10610000044107437</v>
      </c>
      <c r="K68" s="158">
        <v>0.10589999705553055</v>
      </c>
      <c r="L68" s="158">
        <v>0.10589999705553055</v>
      </c>
      <c r="M68" s="158">
        <v>0.10570000112056732</v>
      </c>
      <c r="N68" s="158">
        <v>0.10570000112056732</v>
      </c>
      <c r="O68" s="158">
        <v>0.10559999942779541</v>
      </c>
      <c r="P68" s="158">
        <v>0.10540000349283218</v>
      </c>
      <c r="Q68" s="158">
        <v>0.10540000349283218</v>
      </c>
      <c r="R68" s="158">
        <v>0.10540000349283218</v>
      </c>
      <c r="S68" s="158">
        <v>0.10530000180006027</v>
      </c>
      <c r="T68" s="158">
        <v>0.10530000180006027</v>
      </c>
      <c r="U68" s="158">
        <v>0.10530000180006027</v>
      </c>
      <c r="V68" s="158">
        <f t="shared" si="1"/>
        <v>0.10525000095367432</v>
      </c>
      <c r="W68" s="158">
        <v>0.10520000010728836</v>
      </c>
      <c r="X68" s="158">
        <v>0.10509999841451645</v>
      </c>
      <c r="Y68" s="158">
        <v>0.10499999672174454</v>
      </c>
      <c r="Z68" s="158">
        <v>0.10520000010728836</v>
      </c>
      <c r="AA68" s="158">
        <v>0.10490000247955322</v>
      </c>
      <c r="AB68" s="158">
        <v>0.10490000247955322</v>
      </c>
      <c r="AC68" s="158">
        <v>0.10490000247955322</v>
      </c>
      <c r="AD68" s="158">
        <v>0.10480000078678131</v>
      </c>
      <c r="AE68" s="158">
        <v>0.10499999672174454</v>
      </c>
      <c r="AF68" s="158">
        <v>0.10480000078678131</v>
      </c>
    </row>
    <row r="69" spans="1:32" x14ac:dyDescent="0.2">
      <c r="A69" s="158" t="s">
        <v>220</v>
      </c>
      <c r="B69" s="158">
        <v>0.10679999738931656</v>
      </c>
      <c r="C69" s="158">
        <v>0.10660000145435333</v>
      </c>
      <c r="D69" s="158">
        <v>0.10649999976158142</v>
      </c>
      <c r="E69" s="158">
        <v>0.10649999976158142</v>
      </c>
      <c r="F69" s="158">
        <v>0.1062999963760376</v>
      </c>
      <c r="G69" s="158">
        <v>0.10620000213384628</v>
      </c>
      <c r="H69" s="158">
        <v>0.10610000044107437</v>
      </c>
      <c r="I69" s="158">
        <v>0.10599999874830246</v>
      </c>
      <c r="J69" s="158">
        <v>0.10589999705553055</v>
      </c>
      <c r="K69" s="158">
        <v>0.10589999705553055</v>
      </c>
      <c r="L69" s="158">
        <v>0.10589999705553055</v>
      </c>
      <c r="M69" s="158">
        <v>0.10580000281333923</v>
      </c>
      <c r="N69" s="158">
        <v>0.10570000112056732</v>
      </c>
      <c r="O69" s="158">
        <v>0.10559999942779541</v>
      </c>
      <c r="P69" s="158">
        <v>0.10540000349283218</v>
      </c>
      <c r="Q69" s="158">
        <v>0.10540000349283218</v>
      </c>
      <c r="R69" s="158">
        <v>0.10530000180006027</v>
      </c>
      <c r="S69" s="158">
        <v>0.10520000010728836</v>
      </c>
      <c r="T69" s="158">
        <v>0.10520000010728836</v>
      </c>
      <c r="U69" s="158">
        <v>0.10520000010728836</v>
      </c>
      <c r="V69" s="158">
        <f t="shared" si="1"/>
        <v>0.10509999841451645</v>
      </c>
      <c r="W69" s="158">
        <v>0.10499999672174454</v>
      </c>
      <c r="X69" s="158">
        <v>0.10499999672174454</v>
      </c>
      <c r="Y69" s="158">
        <v>0.10480000078678131</v>
      </c>
      <c r="Z69" s="158">
        <v>0.10480000078678131</v>
      </c>
      <c r="AA69" s="158">
        <v>0.10459999740123749</v>
      </c>
      <c r="AB69" s="158">
        <v>0.10459999740123749</v>
      </c>
      <c r="AC69" s="158">
        <v>0.10459999740123749</v>
      </c>
      <c r="AD69" s="158">
        <v>0.10450000315904617</v>
      </c>
      <c r="AE69" s="158">
        <v>0.10440000146627426</v>
      </c>
      <c r="AF69" s="158">
        <v>0.10440000146627426</v>
      </c>
    </row>
    <row r="70" spans="1:32" x14ac:dyDescent="0.2">
      <c r="A70" s="158" t="s">
        <v>221</v>
      </c>
      <c r="B70" s="158">
        <v>0.10620000213384628</v>
      </c>
      <c r="C70" s="158">
        <v>0.10610000044107437</v>
      </c>
      <c r="D70" s="158">
        <v>0.10599999874830246</v>
      </c>
      <c r="E70" s="158">
        <v>0.10610000044107437</v>
      </c>
      <c r="F70" s="158">
        <v>0.10589999705553055</v>
      </c>
      <c r="G70" s="158">
        <v>0.10599999874830246</v>
      </c>
      <c r="H70" s="158">
        <v>0.10589999705553055</v>
      </c>
      <c r="I70" s="158">
        <v>0.10580000281333923</v>
      </c>
      <c r="J70" s="158">
        <v>0.10570000112056732</v>
      </c>
      <c r="K70" s="158">
        <v>0.10570000112056732</v>
      </c>
      <c r="L70" s="158">
        <v>0.10580000281333923</v>
      </c>
      <c r="M70" s="158">
        <v>0.10570000112056732</v>
      </c>
      <c r="N70" s="158">
        <v>0.10559999942779541</v>
      </c>
      <c r="O70" s="158">
        <v>0.10540000349283218</v>
      </c>
      <c r="P70" s="158">
        <v>0.10530000180006027</v>
      </c>
      <c r="Q70" s="158">
        <v>0.10530000180006027</v>
      </c>
      <c r="R70" s="158">
        <v>0.10520000010728836</v>
      </c>
      <c r="S70" s="158">
        <v>0.10530000180006027</v>
      </c>
      <c r="T70" s="158">
        <v>0.10530000180006027</v>
      </c>
      <c r="U70" s="158">
        <v>0.10540000349283218</v>
      </c>
      <c r="V70" s="158">
        <f t="shared" si="1"/>
        <v>0.10530000180006027</v>
      </c>
      <c r="W70" s="158">
        <v>0.10520000010728836</v>
      </c>
      <c r="X70" s="158">
        <v>0.10520000010728836</v>
      </c>
      <c r="Y70" s="158">
        <v>0.10499999672174454</v>
      </c>
      <c r="Z70" s="158">
        <v>0.10490000247955322</v>
      </c>
      <c r="AA70" s="158">
        <v>0.10490000247955322</v>
      </c>
      <c r="AB70" s="158">
        <v>0.10480000078678131</v>
      </c>
      <c r="AC70" s="158">
        <v>0.1046999990940094</v>
      </c>
      <c r="AD70" s="158">
        <v>0.10480000078678131</v>
      </c>
      <c r="AE70" s="158">
        <v>0.1046999990940094</v>
      </c>
      <c r="AF70" s="158">
        <v>0.10480000078678131</v>
      </c>
    </row>
    <row r="71" spans="1:32" x14ac:dyDescent="0.2">
      <c r="A71" s="158" t="s">
        <v>222</v>
      </c>
      <c r="B71" s="158">
        <v>0.10649999976158142</v>
      </c>
      <c r="C71" s="158">
        <v>0.10610000044107437</v>
      </c>
      <c r="D71" s="158">
        <v>0.10599999874830246</v>
      </c>
      <c r="E71" s="158">
        <v>0.10610000044107437</v>
      </c>
      <c r="F71" s="158">
        <v>0.10589999705553055</v>
      </c>
      <c r="G71" s="158">
        <v>0.10580000281333923</v>
      </c>
      <c r="H71" s="158">
        <v>0.10570000112056732</v>
      </c>
      <c r="I71" s="158">
        <v>0.10559999942779541</v>
      </c>
      <c r="J71" s="158">
        <v>0.1054999977350235</v>
      </c>
      <c r="K71" s="158">
        <v>0.1054999977350235</v>
      </c>
      <c r="L71" s="158">
        <v>0.1054999977350235</v>
      </c>
      <c r="M71" s="158">
        <v>0.10540000349283218</v>
      </c>
      <c r="N71" s="158">
        <v>0.10540000349283218</v>
      </c>
      <c r="O71" s="158">
        <v>0.10530000180006027</v>
      </c>
      <c r="P71" s="158">
        <v>0.10499999672174454</v>
      </c>
      <c r="Q71" s="158">
        <v>0.10499999672174454</v>
      </c>
      <c r="R71" s="158">
        <v>0.10499999672174454</v>
      </c>
      <c r="S71" s="158">
        <v>0.10490000247955322</v>
      </c>
      <c r="T71" s="158">
        <v>0.10490000247955322</v>
      </c>
      <c r="U71" s="158">
        <v>0.10490000247955322</v>
      </c>
      <c r="V71" s="158">
        <f t="shared" si="1"/>
        <v>0.10485000163316727</v>
      </c>
      <c r="W71" s="158">
        <v>0.10480000078678131</v>
      </c>
      <c r="X71" s="158">
        <v>0.10480000078678131</v>
      </c>
      <c r="Y71" s="158">
        <v>0.1046999990940094</v>
      </c>
      <c r="Z71" s="158">
        <v>0.10450000315904617</v>
      </c>
      <c r="AA71" s="158">
        <v>0.10450000315904617</v>
      </c>
      <c r="AB71" s="158">
        <v>0.10450000315904617</v>
      </c>
      <c r="AC71" s="158">
        <v>0.10440000146627426</v>
      </c>
      <c r="AD71" s="158">
        <v>0.10440000146627426</v>
      </c>
      <c r="AE71" s="158">
        <v>0.10440000146627426</v>
      </c>
      <c r="AF71" s="158">
        <v>0.10429999977350235</v>
      </c>
    </row>
    <row r="72" spans="1:32" x14ac:dyDescent="0.2">
      <c r="A72" s="158" t="s">
        <v>223</v>
      </c>
      <c r="B72" s="158">
        <v>0.10710000246763229</v>
      </c>
      <c r="C72" s="158">
        <v>0.10689999908208847</v>
      </c>
      <c r="D72" s="158">
        <v>0.10679999738931656</v>
      </c>
      <c r="E72" s="158">
        <v>0.10679999738931656</v>
      </c>
      <c r="F72" s="158">
        <v>0.10689999908208847</v>
      </c>
      <c r="G72" s="158">
        <v>0.10670000314712524</v>
      </c>
      <c r="H72" s="158">
        <v>0.10670000314712524</v>
      </c>
      <c r="I72" s="158">
        <v>0.10649999976158142</v>
      </c>
      <c r="J72" s="158">
        <v>0.10649999976158142</v>
      </c>
      <c r="K72" s="158">
        <v>0.10639999806880951</v>
      </c>
      <c r="L72" s="158">
        <v>0.10649999976158142</v>
      </c>
      <c r="M72" s="158">
        <v>0.10639999806880951</v>
      </c>
      <c r="N72" s="158">
        <v>0.1062999963760376</v>
      </c>
      <c r="O72" s="158">
        <v>0.10620000213384628</v>
      </c>
      <c r="P72" s="158">
        <v>0.10610000044107437</v>
      </c>
      <c r="Q72" s="158">
        <v>0.10599999874830246</v>
      </c>
      <c r="R72" s="158">
        <v>0.10599999874830246</v>
      </c>
      <c r="S72" s="158">
        <v>0.10610000044107437</v>
      </c>
      <c r="T72" s="158">
        <v>0.10610000044107437</v>
      </c>
      <c r="U72" s="158">
        <v>0.10610000044107437</v>
      </c>
      <c r="V72" s="158">
        <f t="shared" si="1"/>
        <v>0.10610000044107437</v>
      </c>
      <c r="W72" s="158">
        <v>0.10610000044107437</v>
      </c>
      <c r="X72" s="158">
        <v>0.10599999874830246</v>
      </c>
      <c r="Y72" s="158">
        <v>0.10589999705553055</v>
      </c>
      <c r="Z72" s="158">
        <v>0.10580000281333923</v>
      </c>
      <c r="AA72" s="158">
        <v>0.10589999705553055</v>
      </c>
      <c r="AB72" s="158">
        <v>0.10559999942779541</v>
      </c>
      <c r="AC72" s="158">
        <v>0.10559999942779541</v>
      </c>
      <c r="AD72" s="158">
        <v>0.10559999942779541</v>
      </c>
      <c r="AE72" s="158">
        <v>0.10559999942779541</v>
      </c>
      <c r="AF72" s="158">
        <v>0.10589999705553055</v>
      </c>
    </row>
    <row r="73" spans="1:32" x14ac:dyDescent="0.2">
      <c r="A73" s="158" t="s">
        <v>224</v>
      </c>
      <c r="B73" s="158">
        <v>0.10710000246763229</v>
      </c>
      <c r="C73" s="158">
        <v>0.10679999738931656</v>
      </c>
      <c r="D73" s="158">
        <v>0.10670000314712524</v>
      </c>
      <c r="E73" s="158">
        <v>0.10670000314712524</v>
      </c>
      <c r="F73" s="158">
        <v>0.10660000145435333</v>
      </c>
      <c r="G73" s="158">
        <v>0.10660000145435333</v>
      </c>
      <c r="H73" s="158">
        <v>0.10639999806880951</v>
      </c>
      <c r="I73" s="158">
        <v>0.1062999963760376</v>
      </c>
      <c r="J73" s="158">
        <v>0.10620000213384628</v>
      </c>
      <c r="K73" s="158">
        <v>0.10620000213384628</v>
      </c>
      <c r="L73" s="158">
        <v>0.10620000213384628</v>
      </c>
      <c r="M73" s="158">
        <v>0.10599999874830246</v>
      </c>
      <c r="N73" s="158">
        <v>0.10589999705553055</v>
      </c>
      <c r="O73" s="158">
        <v>0.10570000112056732</v>
      </c>
      <c r="P73" s="158">
        <v>0.1054999977350235</v>
      </c>
      <c r="Q73" s="158">
        <v>0.1054999977350235</v>
      </c>
      <c r="R73" s="158">
        <v>0.1054999977350235</v>
      </c>
      <c r="S73" s="158">
        <v>0.1054999977350235</v>
      </c>
      <c r="T73" s="158">
        <v>0.10559999942779541</v>
      </c>
      <c r="U73" s="158">
        <v>0.10570000112056732</v>
      </c>
      <c r="V73" s="158">
        <f t="shared" si="1"/>
        <v>0.10559999942779541</v>
      </c>
      <c r="W73" s="158">
        <v>0.1054999977350235</v>
      </c>
      <c r="X73" s="158">
        <v>0.10540000349283218</v>
      </c>
      <c r="Y73" s="158">
        <v>0.10520000010728836</v>
      </c>
      <c r="Z73" s="158">
        <v>0.10509999841451645</v>
      </c>
      <c r="AA73" s="158">
        <v>0.10490000247955322</v>
      </c>
      <c r="AB73" s="158">
        <v>0.10480000078678131</v>
      </c>
      <c r="AC73" s="158">
        <v>0.10480000078678131</v>
      </c>
      <c r="AD73" s="158">
        <v>0.10480000078678131</v>
      </c>
      <c r="AE73" s="158">
        <v>0.1046999990940094</v>
      </c>
      <c r="AF73" s="158">
        <v>0.10490000247955322</v>
      </c>
    </row>
    <row r="74" spans="1:32" x14ac:dyDescent="0.2">
      <c r="A74" s="158" t="s">
        <v>225</v>
      </c>
      <c r="B74" s="158">
        <v>0.10719999670982361</v>
      </c>
      <c r="C74" s="158">
        <v>0.10719999670982361</v>
      </c>
      <c r="D74" s="158">
        <v>0.10719999670982361</v>
      </c>
      <c r="E74" s="158">
        <v>0.10729999840259552</v>
      </c>
      <c r="F74" s="158">
        <v>0.10729999840259552</v>
      </c>
      <c r="G74" s="158">
        <v>0.10740000009536743</v>
      </c>
      <c r="H74" s="158">
        <v>0.10729999840259552</v>
      </c>
      <c r="I74" s="158">
        <v>0.10729999840259552</v>
      </c>
      <c r="J74" s="158">
        <v>0.10719999670982361</v>
      </c>
      <c r="K74" s="158">
        <v>0.10719999670982361</v>
      </c>
      <c r="L74" s="158">
        <v>0.10719999670982361</v>
      </c>
      <c r="M74" s="158">
        <v>0.10729999840259552</v>
      </c>
      <c r="N74" s="158">
        <v>0.10689999908208847</v>
      </c>
      <c r="O74" s="158">
        <v>0.10679999738931656</v>
      </c>
      <c r="P74" s="158">
        <v>0.10660000145435333</v>
      </c>
      <c r="Q74" s="158">
        <v>0.10660000145435333</v>
      </c>
      <c r="R74" s="158">
        <v>0.10660000145435333</v>
      </c>
      <c r="S74" s="158">
        <v>0.10670000314712524</v>
      </c>
      <c r="T74" s="158">
        <v>0.10679999738931656</v>
      </c>
      <c r="U74" s="158">
        <v>0.10689999908208847</v>
      </c>
      <c r="V74" s="158">
        <f t="shared" si="1"/>
        <v>0.10684999823570251</v>
      </c>
      <c r="W74" s="158">
        <v>0.10679999738931656</v>
      </c>
      <c r="X74" s="158">
        <v>0.10679999738931656</v>
      </c>
      <c r="Y74" s="158">
        <v>0.10649999976158142</v>
      </c>
      <c r="Z74" s="158">
        <v>0.1062999963760376</v>
      </c>
      <c r="AA74" s="158">
        <v>0.10620000213384628</v>
      </c>
      <c r="AB74" s="158">
        <v>0.10610000044107437</v>
      </c>
      <c r="AC74" s="158">
        <v>0.10610000044107437</v>
      </c>
      <c r="AD74" s="158">
        <v>0.10610000044107437</v>
      </c>
      <c r="AE74" s="158">
        <v>0.10610000044107437</v>
      </c>
      <c r="AF74" s="158">
        <v>0.10620000213384628</v>
      </c>
    </row>
    <row r="75" spans="1:32" x14ac:dyDescent="0.2">
      <c r="A75" s="158" t="s">
        <v>226</v>
      </c>
      <c r="B75" s="158">
        <v>0.10740000009536743</v>
      </c>
      <c r="C75" s="158">
        <v>0.10710000246763229</v>
      </c>
      <c r="D75" s="158">
        <v>0.10710000246763229</v>
      </c>
      <c r="E75" s="158">
        <v>0.10700000077486038</v>
      </c>
      <c r="F75" s="158">
        <v>0.10689999908208847</v>
      </c>
      <c r="G75" s="158">
        <v>0.10719999670982361</v>
      </c>
      <c r="H75" s="158">
        <v>0.10679999738931656</v>
      </c>
      <c r="I75" s="158">
        <v>0.10670000314712524</v>
      </c>
      <c r="J75" s="158">
        <v>0.10670000314712524</v>
      </c>
      <c r="K75" s="158">
        <v>0.10670000314712524</v>
      </c>
      <c r="L75" s="158">
        <v>0.10670000314712524</v>
      </c>
      <c r="M75" s="158">
        <v>0.10649999976158142</v>
      </c>
      <c r="N75" s="158">
        <v>0.10639999806880951</v>
      </c>
      <c r="O75" s="158">
        <v>0.10620000213384628</v>
      </c>
      <c r="P75" s="158">
        <v>0.10599999874830246</v>
      </c>
      <c r="Q75" s="158">
        <v>0.10599999874830246</v>
      </c>
      <c r="R75" s="158">
        <v>0.10599999874830246</v>
      </c>
      <c r="S75" s="158">
        <v>0.10599999874830246</v>
      </c>
      <c r="T75" s="158">
        <v>0.10610000044107437</v>
      </c>
      <c r="U75" s="158">
        <v>0.10620000213384628</v>
      </c>
      <c r="V75" s="158">
        <f t="shared" si="1"/>
        <v>0.10615000128746033</v>
      </c>
      <c r="W75" s="158">
        <v>0.10610000044107437</v>
      </c>
      <c r="X75" s="158">
        <v>0.10599999874830246</v>
      </c>
      <c r="Y75" s="158">
        <v>0.10570000112056732</v>
      </c>
      <c r="Z75" s="158">
        <v>0.1054999977350235</v>
      </c>
      <c r="AA75" s="158">
        <v>0.10540000349283218</v>
      </c>
      <c r="AB75" s="158">
        <v>0.10540000349283218</v>
      </c>
      <c r="AC75" s="158">
        <v>0.10530000180006027</v>
      </c>
      <c r="AD75" s="158">
        <v>0.10540000349283218</v>
      </c>
      <c r="AE75" s="158">
        <v>0.10530000180006027</v>
      </c>
      <c r="AF75" s="158">
        <v>0.1054999977350235</v>
      </c>
    </row>
    <row r="76" spans="1:32" x14ac:dyDescent="0.2">
      <c r="A76" s="158" t="s">
        <v>227</v>
      </c>
      <c r="B76" s="158">
        <v>0.10859999805688858</v>
      </c>
      <c r="C76" s="158">
        <v>0.10819999873638153</v>
      </c>
      <c r="D76" s="158">
        <v>0.10809999704360962</v>
      </c>
      <c r="E76" s="158">
        <v>0.10819999873638153</v>
      </c>
      <c r="F76" s="158">
        <v>0.10809999704360962</v>
      </c>
      <c r="G76" s="158">
        <v>0.10819999873638153</v>
      </c>
      <c r="H76" s="158">
        <v>0.10809999704360962</v>
      </c>
      <c r="I76" s="158">
        <v>0.1080000028014183</v>
      </c>
      <c r="J76" s="158">
        <v>0.1080000028014183</v>
      </c>
      <c r="K76" s="158">
        <v>0.1080000028014183</v>
      </c>
      <c r="L76" s="158">
        <v>0.1080000028014183</v>
      </c>
      <c r="M76" s="158">
        <v>0.10779999941587448</v>
      </c>
      <c r="N76" s="158">
        <v>0.10769999772310257</v>
      </c>
      <c r="O76" s="158">
        <v>0.10750000178813934</v>
      </c>
      <c r="P76" s="158">
        <v>0.10729999840259552</v>
      </c>
      <c r="Q76" s="158">
        <v>0.10760000348091125</v>
      </c>
      <c r="R76" s="158">
        <v>0.10729999840259552</v>
      </c>
      <c r="S76" s="158">
        <v>0.10760000348091125</v>
      </c>
      <c r="T76" s="158">
        <v>0.10760000348091125</v>
      </c>
      <c r="U76" s="158">
        <v>0.10769999772310257</v>
      </c>
      <c r="V76" s="158">
        <f t="shared" si="1"/>
        <v>0.10799999907612801</v>
      </c>
      <c r="W76" s="158">
        <v>0.10830000042915344</v>
      </c>
      <c r="X76" s="158">
        <v>0.10819999873638153</v>
      </c>
      <c r="Y76" s="158">
        <v>0.10939999669790268</v>
      </c>
      <c r="Z76" s="158">
        <v>0.10899999737739563</v>
      </c>
      <c r="AA76" s="158">
        <v>0.10920000076293945</v>
      </c>
      <c r="AB76" s="158">
        <v>0.10930000245571136</v>
      </c>
      <c r="AC76" s="158">
        <v>0.10890000313520432</v>
      </c>
      <c r="AD76" s="158">
        <v>0.10890000313520432</v>
      </c>
      <c r="AE76" s="158">
        <v>0.1088000014424324</v>
      </c>
      <c r="AF76" s="158">
        <v>0.10830000042915344</v>
      </c>
    </row>
    <row r="77" spans="1:32" x14ac:dyDescent="0.2">
      <c r="A77" s="158" t="s">
        <v>228</v>
      </c>
      <c r="B77" s="158">
        <v>0.10719999670982361</v>
      </c>
      <c r="C77" s="158">
        <v>0.10660000145435333</v>
      </c>
      <c r="D77" s="158">
        <v>0.10660000145435333</v>
      </c>
      <c r="E77" s="158">
        <v>0.10660000145435333</v>
      </c>
      <c r="F77" s="158">
        <v>0.10639999806880951</v>
      </c>
      <c r="G77" s="158">
        <v>0.10649999976158142</v>
      </c>
      <c r="H77" s="158">
        <v>0.10660000145435333</v>
      </c>
      <c r="I77" s="158">
        <v>0.10620000213384628</v>
      </c>
      <c r="J77" s="158">
        <v>0.10620000213384628</v>
      </c>
      <c r="K77" s="158">
        <v>0.10620000213384628</v>
      </c>
      <c r="L77" s="158">
        <v>0.10610000044107437</v>
      </c>
      <c r="M77" s="158">
        <v>0.10589999705553055</v>
      </c>
      <c r="N77" s="158">
        <v>0.10580000281333923</v>
      </c>
      <c r="O77" s="158">
        <v>0.1054999977350235</v>
      </c>
      <c r="P77" s="158">
        <v>0.10530000180006027</v>
      </c>
      <c r="Q77" s="158">
        <v>0.10530000180006027</v>
      </c>
      <c r="R77" s="158">
        <v>0.10530000180006027</v>
      </c>
      <c r="S77" s="158">
        <v>0.10540000349283218</v>
      </c>
      <c r="T77" s="158">
        <v>0.10570000112056732</v>
      </c>
      <c r="U77" s="158">
        <v>0.10570000112056732</v>
      </c>
      <c r="V77" s="158">
        <f t="shared" si="1"/>
        <v>0.10610000044107437</v>
      </c>
      <c r="W77" s="158">
        <v>0.10649999976158142</v>
      </c>
      <c r="X77" s="158">
        <v>0.10639999806880951</v>
      </c>
      <c r="Y77" s="158">
        <v>0.10620000213384628</v>
      </c>
      <c r="Z77" s="158">
        <v>0.10580000281333923</v>
      </c>
      <c r="AA77" s="158">
        <v>0.10570000112056732</v>
      </c>
      <c r="AB77" s="158">
        <v>0.10559999942779541</v>
      </c>
      <c r="AC77" s="158">
        <v>0.10540000349283218</v>
      </c>
      <c r="AD77" s="158">
        <v>0.1054999977350235</v>
      </c>
      <c r="AE77" s="158">
        <v>0.1054999977350235</v>
      </c>
      <c r="AF77" s="158">
        <v>0.10580000281333923</v>
      </c>
    </row>
    <row r="78" spans="1:32" x14ac:dyDescent="0.2">
      <c r="A78" s="158" t="s">
        <v>229</v>
      </c>
      <c r="B78" s="158">
        <v>0.10790000110864639</v>
      </c>
      <c r="C78" s="158">
        <v>0.10760000348091125</v>
      </c>
      <c r="D78" s="158">
        <v>0.10750000178813934</v>
      </c>
      <c r="E78" s="158">
        <v>0.10750000178813934</v>
      </c>
      <c r="F78" s="158">
        <v>0.10750000178813934</v>
      </c>
      <c r="G78" s="158">
        <v>0.10760000348091125</v>
      </c>
      <c r="H78" s="158">
        <v>0.10750000178813934</v>
      </c>
      <c r="I78" s="158">
        <v>0.10750000178813934</v>
      </c>
      <c r="J78" s="158">
        <v>0.10740000009536743</v>
      </c>
      <c r="K78" s="158">
        <v>0.10740000009536743</v>
      </c>
      <c r="L78" s="158">
        <v>0.10740000009536743</v>
      </c>
      <c r="M78" s="158">
        <v>0.10719999670982361</v>
      </c>
      <c r="N78" s="158">
        <v>0.10700000077486038</v>
      </c>
      <c r="O78" s="158">
        <v>0.10670000314712524</v>
      </c>
      <c r="P78" s="158">
        <v>0.10679999738931656</v>
      </c>
      <c r="Q78" s="158">
        <v>0.10649999976158142</v>
      </c>
      <c r="R78" s="158">
        <v>0.10660000145435333</v>
      </c>
      <c r="S78" s="158">
        <v>0.10679999738931656</v>
      </c>
      <c r="T78" s="158">
        <v>0.10700000077486038</v>
      </c>
      <c r="U78" s="158">
        <v>0.10710000246763229</v>
      </c>
      <c r="V78" s="158">
        <f t="shared" si="1"/>
        <v>0.10710000246763229</v>
      </c>
      <c r="W78" s="158">
        <v>0.10710000246763229</v>
      </c>
      <c r="X78" s="158">
        <v>0.10679999738931656</v>
      </c>
      <c r="Y78" s="158">
        <v>0.10660000145435333</v>
      </c>
      <c r="Z78" s="158">
        <v>0.1062999963760376</v>
      </c>
      <c r="AA78" s="158">
        <v>0.10620000213384628</v>
      </c>
      <c r="AB78" s="158">
        <v>0.10599999874830246</v>
      </c>
      <c r="AC78" s="158">
        <v>0.10589999705553055</v>
      </c>
      <c r="AD78" s="158">
        <v>0.10599999874830246</v>
      </c>
      <c r="AE78" s="158">
        <v>0.10599999874830246</v>
      </c>
      <c r="AF78" s="158">
        <v>0.10610000044107437</v>
      </c>
    </row>
    <row r="79" spans="1:32" x14ac:dyDescent="0.2">
      <c r="A79" s="158" t="s">
        <v>230</v>
      </c>
      <c r="B79" s="158">
        <v>0.10639999806880951</v>
      </c>
      <c r="C79" s="158">
        <v>0.10589999705553055</v>
      </c>
      <c r="D79" s="158">
        <v>0.10570000112056732</v>
      </c>
      <c r="E79" s="158">
        <v>0.10570000112056732</v>
      </c>
      <c r="F79" s="158">
        <v>0.1054999977350235</v>
      </c>
      <c r="G79" s="158">
        <v>0.10559999942779541</v>
      </c>
      <c r="H79" s="158">
        <v>0.10540000349283218</v>
      </c>
      <c r="I79" s="158">
        <v>0.10530000180006027</v>
      </c>
      <c r="J79" s="158">
        <v>0.10509999841451645</v>
      </c>
      <c r="K79" s="158">
        <v>0.10520000010728836</v>
      </c>
      <c r="L79" s="158">
        <v>0.10520000010728836</v>
      </c>
      <c r="M79" s="158">
        <v>0.10499999672174454</v>
      </c>
      <c r="N79" s="158">
        <v>0.10480000078678131</v>
      </c>
      <c r="O79" s="158">
        <v>0.10450000315904617</v>
      </c>
      <c r="P79" s="158">
        <v>0.10429999977350235</v>
      </c>
      <c r="Q79" s="158">
        <v>0.10429999977350235</v>
      </c>
      <c r="R79" s="158">
        <v>0.10429999977350235</v>
      </c>
      <c r="S79" s="158">
        <v>0.10440000146627426</v>
      </c>
      <c r="T79" s="158">
        <v>0.10459999740123749</v>
      </c>
      <c r="U79" s="158">
        <v>0.1046999990940094</v>
      </c>
      <c r="V79" s="158">
        <f t="shared" si="1"/>
        <v>0.10520000010728836</v>
      </c>
      <c r="W79" s="158">
        <v>0.10570000112056732</v>
      </c>
      <c r="X79" s="158">
        <v>0.10540000349283218</v>
      </c>
      <c r="Y79" s="158">
        <v>0.10509999841451645</v>
      </c>
      <c r="Z79" s="158">
        <v>0.10499999672174454</v>
      </c>
      <c r="AA79" s="158">
        <v>0.10480000078678131</v>
      </c>
      <c r="AB79" s="158">
        <v>0.1046999990940094</v>
      </c>
      <c r="AC79" s="158">
        <v>0.10459999740123749</v>
      </c>
      <c r="AD79" s="158">
        <v>0.10459999740123749</v>
      </c>
      <c r="AE79" s="158">
        <v>0.1046999990940094</v>
      </c>
      <c r="AF79" s="158">
        <v>0.10400000214576721</v>
      </c>
    </row>
    <row r="80" spans="1:32" x14ac:dyDescent="0.2">
      <c r="A80" s="158" t="s">
        <v>231</v>
      </c>
      <c r="B80" s="158">
        <v>0.10719999670982361</v>
      </c>
      <c r="C80" s="158">
        <v>0.10679999738931656</v>
      </c>
      <c r="D80" s="158">
        <v>0.10670000314712524</v>
      </c>
      <c r="E80" s="158">
        <v>0.10660000145435333</v>
      </c>
      <c r="F80" s="158">
        <v>0.10660000145435333</v>
      </c>
      <c r="G80" s="158">
        <v>0.10679999738931656</v>
      </c>
      <c r="H80" s="158">
        <v>0.10670000314712524</v>
      </c>
      <c r="I80" s="158">
        <v>0.10670000314712524</v>
      </c>
      <c r="J80" s="158">
        <v>0.10660000145435333</v>
      </c>
      <c r="K80" s="158">
        <v>0.10679999738931656</v>
      </c>
      <c r="L80" s="158">
        <v>0.10660000145435333</v>
      </c>
      <c r="M80" s="158">
        <v>0.10639999806880951</v>
      </c>
      <c r="N80" s="158">
        <v>0.10620000213384628</v>
      </c>
      <c r="O80" s="158">
        <v>0.10599999874830246</v>
      </c>
      <c r="P80" s="158">
        <v>0.10580000281333923</v>
      </c>
      <c r="Q80" s="158">
        <v>0.10580000281333923</v>
      </c>
      <c r="R80" s="158">
        <v>0.10580000281333923</v>
      </c>
      <c r="S80" s="158">
        <v>0.10599999874830246</v>
      </c>
      <c r="T80" s="158">
        <v>0.10620000213384628</v>
      </c>
      <c r="U80" s="158">
        <v>0.1062999963760376</v>
      </c>
      <c r="V80" s="158">
        <f t="shared" si="1"/>
        <v>0.1062999963760376</v>
      </c>
      <c r="W80" s="158">
        <v>0.1062999963760376</v>
      </c>
      <c r="X80" s="158">
        <v>0.10610000044107437</v>
      </c>
      <c r="Y80" s="158">
        <v>0.10580000281333923</v>
      </c>
      <c r="Z80" s="158">
        <v>0.10559999942779541</v>
      </c>
      <c r="AA80" s="158">
        <v>0.10540000349283218</v>
      </c>
      <c r="AB80" s="158">
        <v>0.10530000180006027</v>
      </c>
      <c r="AC80" s="158">
        <v>0.10520000010728836</v>
      </c>
      <c r="AD80" s="158">
        <v>0.10520000010728836</v>
      </c>
      <c r="AE80" s="158">
        <v>0.10530000180006027</v>
      </c>
      <c r="AF80" s="158">
        <v>0.10530000180006027</v>
      </c>
    </row>
    <row r="81" spans="1:32" x14ac:dyDescent="0.2">
      <c r="A81" s="158" t="s">
        <v>232</v>
      </c>
      <c r="B81" s="158">
        <v>0.10719999670982361</v>
      </c>
      <c r="C81" s="158">
        <v>0.10660000145435333</v>
      </c>
      <c r="D81" s="158">
        <v>0.1062999963760376</v>
      </c>
      <c r="E81" s="158">
        <v>0.1062999963760376</v>
      </c>
      <c r="F81" s="158">
        <v>0.10620000213384628</v>
      </c>
      <c r="G81" s="158">
        <v>0.1062999963760376</v>
      </c>
      <c r="H81" s="158">
        <v>0.10620000213384628</v>
      </c>
      <c r="I81" s="158">
        <v>0.10610000044107437</v>
      </c>
      <c r="J81" s="158">
        <v>0.10599999874830246</v>
      </c>
      <c r="K81" s="158">
        <v>0.10599999874830246</v>
      </c>
      <c r="L81" s="158">
        <v>0.10599999874830246</v>
      </c>
      <c r="M81" s="158">
        <v>0.10570000112056732</v>
      </c>
      <c r="N81" s="158">
        <v>0.1054999977350235</v>
      </c>
      <c r="O81" s="158">
        <v>0.10520000010728836</v>
      </c>
      <c r="P81" s="158">
        <v>0.10499999672174454</v>
      </c>
      <c r="Q81" s="158">
        <v>0.10499999672174454</v>
      </c>
      <c r="R81" s="158">
        <v>0.10499999672174454</v>
      </c>
      <c r="S81" s="158">
        <v>0.10520000010728836</v>
      </c>
      <c r="T81" s="158">
        <v>0.10540000349283218</v>
      </c>
      <c r="U81" s="158">
        <v>0.1054999977350235</v>
      </c>
      <c r="V81" s="158">
        <f t="shared" si="1"/>
        <v>0.10545000061392784</v>
      </c>
      <c r="W81" s="158">
        <v>0.10540000349283218</v>
      </c>
      <c r="X81" s="158">
        <v>0.10520000010728836</v>
      </c>
      <c r="Y81" s="158">
        <v>0.10490000247955322</v>
      </c>
      <c r="Z81" s="158">
        <v>0.10459999740123749</v>
      </c>
      <c r="AA81" s="158">
        <v>0.10440000146627426</v>
      </c>
      <c r="AB81" s="158">
        <v>0.10429999977350235</v>
      </c>
      <c r="AC81" s="158">
        <v>0.10419999808073044</v>
      </c>
      <c r="AD81" s="158">
        <v>0.10419999808073044</v>
      </c>
      <c r="AE81" s="158">
        <v>0.10419999808073044</v>
      </c>
      <c r="AF81" s="158">
        <v>0.10440000146627426</v>
      </c>
    </row>
    <row r="82" spans="1:32" x14ac:dyDescent="0.2">
      <c r="A82" s="158" t="s">
        <v>233</v>
      </c>
      <c r="B82" s="158">
        <v>0.10769999772310257</v>
      </c>
      <c r="C82" s="158">
        <v>0.10729999840259552</v>
      </c>
      <c r="D82" s="158">
        <v>0.10689999908208847</v>
      </c>
      <c r="E82" s="158">
        <v>0.10689999908208847</v>
      </c>
      <c r="F82" s="158">
        <v>0.10689999908208847</v>
      </c>
      <c r="G82" s="158">
        <v>0.10719999670982361</v>
      </c>
      <c r="H82" s="158">
        <v>0.10710000246763229</v>
      </c>
      <c r="I82" s="158">
        <v>0.10710000246763229</v>
      </c>
      <c r="J82" s="158">
        <v>0.10700000077486038</v>
      </c>
      <c r="K82" s="158">
        <v>0.10700000077486038</v>
      </c>
      <c r="L82" s="158">
        <v>0.10689999908208847</v>
      </c>
      <c r="M82" s="158">
        <v>0.10670000314712524</v>
      </c>
      <c r="N82" s="158">
        <v>0.10639999806880951</v>
      </c>
      <c r="O82" s="158">
        <v>0.10620000213384628</v>
      </c>
      <c r="P82" s="158">
        <v>0.10599999874830246</v>
      </c>
      <c r="Q82" s="158">
        <v>0.10589999705553055</v>
      </c>
      <c r="R82" s="158">
        <v>0.10599999874830246</v>
      </c>
      <c r="S82" s="158">
        <v>0.10620000213384628</v>
      </c>
      <c r="T82" s="158">
        <v>0.10670000314712524</v>
      </c>
      <c r="U82" s="158">
        <v>0.10660000145435333</v>
      </c>
      <c r="V82" s="158">
        <f t="shared" si="1"/>
        <v>0.10660000145435333</v>
      </c>
      <c r="W82" s="158">
        <v>0.10660000145435333</v>
      </c>
      <c r="X82" s="158">
        <v>0.1062999963760376</v>
      </c>
      <c r="Y82" s="158">
        <v>0.10620000213384628</v>
      </c>
      <c r="Z82" s="158">
        <v>0.10559999942779541</v>
      </c>
      <c r="AA82" s="158">
        <v>0.1054999977350235</v>
      </c>
      <c r="AB82" s="158">
        <v>0.10530000180006027</v>
      </c>
      <c r="AC82" s="158">
        <v>0.10509999841451645</v>
      </c>
      <c r="AD82" s="158">
        <v>0.10509999841451645</v>
      </c>
      <c r="AE82" s="158">
        <v>0.10520000010728836</v>
      </c>
      <c r="AF82" s="158">
        <v>0.10530000180006027</v>
      </c>
    </row>
    <row r="83" spans="1:32" x14ac:dyDescent="0.2">
      <c r="A83" s="158" t="s">
        <v>234</v>
      </c>
      <c r="B83" s="158">
        <v>0.10710000246763229</v>
      </c>
      <c r="C83" s="158">
        <v>0.10679999738931656</v>
      </c>
      <c r="D83" s="158">
        <v>0.10639999806880951</v>
      </c>
      <c r="E83" s="158">
        <v>0.10639999806880951</v>
      </c>
      <c r="F83" s="158">
        <v>0.1062999963760376</v>
      </c>
      <c r="G83" s="158">
        <v>0.10649999976158142</v>
      </c>
      <c r="H83" s="158">
        <v>0.10639999806880951</v>
      </c>
      <c r="I83" s="158">
        <v>0.1062999963760376</v>
      </c>
      <c r="J83" s="158">
        <v>0.10639999806880951</v>
      </c>
      <c r="K83" s="158">
        <v>0.10620000213384628</v>
      </c>
      <c r="L83" s="158">
        <v>0.10620000213384628</v>
      </c>
      <c r="M83" s="158">
        <v>0.10599999874830246</v>
      </c>
      <c r="N83" s="158">
        <v>0.10580000281333923</v>
      </c>
      <c r="O83" s="158">
        <v>0.1054999977350235</v>
      </c>
      <c r="P83" s="158">
        <v>0.10530000180006027</v>
      </c>
      <c r="Q83" s="158">
        <v>0.10530000180006027</v>
      </c>
      <c r="R83" s="158">
        <v>0.10540000349283218</v>
      </c>
      <c r="S83" s="158">
        <v>0.10559999942779541</v>
      </c>
      <c r="T83" s="158">
        <v>0.10580000281333923</v>
      </c>
      <c r="U83" s="158">
        <v>0.10589999705553055</v>
      </c>
      <c r="V83" s="158">
        <f t="shared" si="1"/>
        <v>0.10589999705553055</v>
      </c>
      <c r="W83" s="158">
        <v>0.10589999705553055</v>
      </c>
      <c r="X83" s="158">
        <v>0.10570000112056732</v>
      </c>
      <c r="Y83" s="158">
        <v>0.10530000180006027</v>
      </c>
      <c r="Z83" s="158">
        <v>0.10509999841451645</v>
      </c>
      <c r="AA83" s="158">
        <v>0.10520000010728836</v>
      </c>
      <c r="AB83" s="158">
        <v>0.10480000078678131</v>
      </c>
      <c r="AC83" s="158">
        <v>0.10459999740123749</v>
      </c>
      <c r="AD83" s="158">
        <v>0.1046999990940094</v>
      </c>
      <c r="AE83" s="158">
        <v>0.1046999990940094</v>
      </c>
      <c r="AF83" s="158">
        <v>0.10509999841451645</v>
      </c>
    </row>
    <row r="84" spans="1:32" x14ac:dyDescent="0.2">
      <c r="A84" s="158" t="s">
        <v>235</v>
      </c>
      <c r="B84" s="158">
        <v>0.10719999670982361</v>
      </c>
      <c r="C84" s="158">
        <v>0.10679999738931656</v>
      </c>
      <c r="D84" s="158">
        <v>0.10670000314712524</v>
      </c>
      <c r="E84" s="158">
        <v>0.10649999976158142</v>
      </c>
      <c r="F84" s="158">
        <v>0.10639999806880951</v>
      </c>
      <c r="G84" s="158">
        <v>0.10670000314712524</v>
      </c>
      <c r="H84" s="158">
        <v>0.10660000145435333</v>
      </c>
      <c r="I84" s="158">
        <v>0.10639999806880951</v>
      </c>
      <c r="J84" s="158">
        <v>0.10639999806880951</v>
      </c>
      <c r="K84" s="158">
        <v>0.10639999806880951</v>
      </c>
      <c r="L84" s="158">
        <v>0.10639999806880951</v>
      </c>
      <c r="M84" s="158">
        <v>0.10610000044107437</v>
      </c>
      <c r="N84" s="158">
        <v>0.10580000281333923</v>
      </c>
      <c r="O84" s="158">
        <v>0.10559999942779541</v>
      </c>
      <c r="P84" s="158">
        <v>0.10540000349283218</v>
      </c>
      <c r="Q84" s="158">
        <v>0.10540000349283218</v>
      </c>
      <c r="R84" s="158">
        <v>0.1054999977350235</v>
      </c>
      <c r="S84" s="158">
        <v>0.10559999942779541</v>
      </c>
      <c r="T84" s="158">
        <v>0.10589999705553055</v>
      </c>
      <c r="U84" s="158">
        <v>0.10599999874830246</v>
      </c>
      <c r="V84" s="158">
        <f t="shared" si="1"/>
        <v>0.10604999959468842</v>
      </c>
      <c r="W84" s="158">
        <v>0.10610000044107437</v>
      </c>
      <c r="X84" s="158">
        <v>0.10580000281333923</v>
      </c>
      <c r="Y84" s="158">
        <v>0.1054999977350235</v>
      </c>
      <c r="Z84" s="158">
        <v>0.10520000010728836</v>
      </c>
      <c r="AA84" s="158">
        <v>0.10499999672174454</v>
      </c>
      <c r="AB84" s="158">
        <v>0.10490000247955322</v>
      </c>
      <c r="AC84" s="158">
        <v>0.1046999990940094</v>
      </c>
      <c r="AD84" s="158">
        <v>0.10480000078678131</v>
      </c>
      <c r="AE84" s="158">
        <v>0.10480000078678131</v>
      </c>
      <c r="AF84" s="158">
        <v>0.10499999672174454</v>
      </c>
    </row>
    <row r="85" spans="1:32" x14ac:dyDescent="0.2">
      <c r="A85" s="158" t="s">
        <v>236</v>
      </c>
      <c r="B85" s="158">
        <v>0.10639999806880951</v>
      </c>
      <c r="C85" s="158">
        <v>0.10599999874830246</v>
      </c>
      <c r="D85" s="158">
        <v>0.10580000281333923</v>
      </c>
      <c r="E85" s="158">
        <v>0.10580000281333923</v>
      </c>
      <c r="F85" s="158">
        <v>0.10610000044107437</v>
      </c>
      <c r="G85" s="158">
        <v>0.10620000213384628</v>
      </c>
      <c r="H85" s="158">
        <v>0.10610000044107437</v>
      </c>
      <c r="I85" s="158">
        <v>0.10599999874830246</v>
      </c>
      <c r="J85" s="158">
        <v>0.10580000281333923</v>
      </c>
      <c r="K85" s="158">
        <v>0.10580000281333923</v>
      </c>
      <c r="L85" s="158">
        <v>0.10580000281333923</v>
      </c>
      <c r="M85" s="158">
        <v>0.10559999942779541</v>
      </c>
      <c r="N85" s="158">
        <v>0.10530000180006027</v>
      </c>
      <c r="O85" s="158">
        <v>0.10490000247955322</v>
      </c>
      <c r="P85" s="158">
        <v>0.10490000247955322</v>
      </c>
      <c r="Q85" s="158">
        <v>0.10480000078678131</v>
      </c>
      <c r="R85" s="158">
        <v>0.10480000078678131</v>
      </c>
      <c r="S85" s="158">
        <v>0.10509999841451645</v>
      </c>
      <c r="T85" s="158">
        <v>0.10530000180006027</v>
      </c>
      <c r="U85" s="158">
        <v>0.10559999942779541</v>
      </c>
      <c r="V85" s="158">
        <f t="shared" si="1"/>
        <v>0.10619999840855598</v>
      </c>
      <c r="W85" s="158">
        <v>0.10679999738931656</v>
      </c>
      <c r="X85" s="158">
        <v>0.1062999963760376</v>
      </c>
      <c r="Y85" s="158">
        <v>0.10589999705553055</v>
      </c>
      <c r="Z85" s="158">
        <v>0.10580000281333923</v>
      </c>
      <c r="AA85" s="158">
        <v>0.10570000112056732</v>
      </c>
      <c r="AB85" s="158">
        <v>0.10540000349283218</v>
      </c>
      <c r="AC85" s="158">
        <v>0.1054999977350235</v>
      </c>
      <c r="AD85" s="158">
        <v>0.10520000010728836</v>
      </c>
      <c r="AE85" s="158">
        <v>0.10540000349283218</v>
      </c>
      <c r="AF85" s="158">
        <v>0.10480000078678131</v>
      </c>
    </row>
    <row r="86" spans="1:32" x14ac:dyDescent="0.2">
      <c r="A86" s="158" t="s">
        <v>237</v>
      </c>
      <c r="B86" s="158">
        <v>0.10670000314712524</v>
      </c>
      <c r="C86" s="158">
        <v>0.1062999963760376</v>
      </c>
      <c r="D86" s="158">
        <v>0.10620000213384628</v>
      </c>
      <c r="E86" s="158">
        <v>0.10610000044107437</v>
      </c>
      <c r="F86" s="158">
        <v>0.10599999874830246</v>
      </c>
      <c r="G86" s="158">
        <v>0.1062999963760376</v>
      </c>
      <c r="H86" s="158">
        <v>0.10620000213384628</v>
      </c>
      <c r="I86" s="158">
        <v>0.10610000044107437</v>
      </c>
      <c r="J86" s="158">
        <v>0.10649999976158142</v>
      </c>
      <c r="K86" s="158">
        <v>0.10599999874830246</v>
      </c>
      <c r="L86" s="158">
        <v>0.10610000044107437</v>
      </c>
      <c r="M86" s="158">
        <v>0.10589999705553055</v>
      </c>
      <c r="N86" s="158">
        <v>0.1054999977350235</v>
      </c>
      <c r="O86" s="158">
        <v>0.10520000010728836</v>
      </c>
      <c r="P86" s="158">
        <v>0.10499999672174454</v>
      </c>
      <c r="Q86" s="158">
        <v>0.10499999672174454</v>
      </c>
      <c r="R86" s="158">
        <v>0.10509999841451645</v>
      </c>
      <c r="S86" s="158">
        <v>0.10520000010728836</v>
      </c>
      <c r="T86" s="158">
        <v>0.1054999977350235</v>
      </c>
      <c r="U86" s="158">
        <v>0.10559999942779541</v>
      </c>
      <c r="V86" s="158">
        <f t="shared" si="1"/>
        <v>0.10559999942779541</v>
      </c>
      <c r="W86" s="158">
        <v>0.10559999942779541</v>
      </c>
      <c r="X86" s="158">
        <v>0.10540000349283218</v>
      </c>
      <c r="Y86" s="158">
        <v>0.10509999841451645</v>
      </c>
      <c r="Z86" s="158">
        <v>0.10480000078678131</v>
      </c>
      <c r="AA86" s="158">
        <v>0.10459999740123749</v>
      </c>
      <c r="AB86" s="158">
        <v>0.10440000146627426</v>
      </c>
      <c r="AC86" s="158">
        <v>0.10429999977350235</v>
      </c>
      <c r="AD86" s="158">
        <v>0.10429999977350235</v>
      </c>
      <c r="AE86" s="158">
        <v>0.10440000146627426</v>
      </c>
      <c r="AF86" s="158">
        <v>0.10459999740123749</v>
      </c>
    </row>
    <row r="87" spans="1:32" x14ac:dyDescent="0.2">
      <c r="A87" s="158" t="s">
        <v>238</v>
      </c>
      <c r="B87" s="158">
        <v>0.10679999738931656</v>
      </c>
      <c r="C87" s="158">
        <v>0.10649999976158142</v>
      </c>
      <c r="D87" s="158">
        <v>0.10639999806880951</v>
      </c>
      <c r="E87" s="158">
        <v>0.1062999963760376</v>
      </c>
      <c r="F87" s="158">
        <v>0.10620000213384628</v>
      </c>
      <c r="G87" s="158">
        <v>0.10639999806880951</v>
      </c>
      <c r="H87" s="158">
        <v>0.1062999963760376</v>
      </c>
      <c r="I87" s="158">
        <v>0.10620000213384628</v>
      </c>
      <c r="J87" s="158">
        <v>0.10610000044107437</v>
      </c>
      <c r="K87" s="158">
        <v>0.10610000044107437</v>
      </c>
      <c r="L87" s="158">
        <v>0.10610000044107437</v>
      </c>
      <c r="M87" s="158">
        <v>0.10580000281333923</v>
      </c>
      <c r="N87" s="158">
        <v>0.10559999942779541</v>
      </c>
      <c r="O87" s="158">
        <v>0.1054999977350235</v>
      </c>
      <c r="P87" s="158">
        <v>0.10509999841451645</v>
      </c>
      <c r="Q87" s="158">
        <v>0.10509999841451645</v>
      </c>
      <c r="R87" s="158">
        <v>0.10520000010728836</v>
      </c>
      <c r="S87" s="158">
        <v>0.10530000180006027</v>
      </c>
      <c r="T87" s="158">
        <v>0.10559999942779541</v>
      </c>
      <c r="U87" s="158">
        <v>0.10559999942779541</v>
      </c>
      <c r="V87" s="158">
        <f t="shared" si="1"/>
        <v>0.10565000027418137</v>
      </c>
      <c r="W87" s="158">
        <v>0.10570000112056732</v>
      </c>
      <c r="X87" s="158">
        <v>0.10540000349283218</v>
      </c>
      <c r="Y87" s="158">
        <v>0.10509999841451645</v>
      </c>
      <c r="Z87" s="158">
        <v>0.10490000247955322</v>
      </c>
      <c r="AA87" s="158">
        <v>0.10459999740123749</v>
      </c>
      <c r="AB87" s="158">
        <v>0.10450000315904617</v>
      </c>
      <c r="AC87" s="158">
        <v>0.10440000146627426</v>
      </c>
      <c r="AD87" s="158">
        <v>0.10440000146627426</v>
      </c>
      <c r="AE87" s="158">
        <v>0.10440000146627426</v>
      </c>
      <c r="AF87" s="158">
        <v>0.10459999740123749</v>
      </c>
    </row>
    <row r="88" spans="1:32" x14ac:dyDescent="0.2">
      <c r="A88" s="158" t="s">
        <v>239</v>
      </c>
      <c r="B88" s="158">
        <v>0.10679999738931656</v>
      </c>
      <c r="C88" s="158">
        <v>0.1062999963760376</v>
      </c>
      <c r="D88" s="158">
        <v>0.10620000213384628</v>
      </c>
      <c r="E88" s="158">
        <v>0.10610000044107437</v>
      </c>
      <c r="F88" s="158">
        <v>0.10610000044107437</v>
      </c>
      <c r="G88" s="158">
        <v>0.10620000213384628</v>
      </c>
      <c r="H88" s="158">
        <v>0.10620000213384628</v>
      </c>
      <c r="I88" s="158">
        <v>0.10599999874830246</v>
      </c>
      <c r="J88" s="158">
        <v>0.10589999705553055</v>
      </c>
      <c r="K88" s="158">
        <v>0.10589999705553055</v>
      </c>
      <c r="L88" s="158">
        <v>0.10589999705553055</v>
      </c>
      <c r="M88" s="158">
        <v>0.10570000112056732</v>
      </c>
      <c r="N88" s="158">
        <v>0.10540000349283218</v>
      </c>
      <c r="O88" s="158">
        <v>0.10520000010728836</v>
      </c>
      <c r="P88" s="158">
        <v>0.10490000247955322</v>
      </c>
      <c r="Q88" s="158">
        <v>0.10499999672174454</v>
      </c>
      <c r="R88" s="158">
        <v>0.10499999672174454</v>
      </c>
      <c r="S88" s="158">
        <v>0.10520000010728836</v>
      </c>
      <c r="T88" s="158">
        <v>0.1054999977350235</v>
      </c>
      <c r="U88" s="158">
        <v>0.1054999977350235</v>
      </c>
      <c r="V88" s="158">
        <f t="shared" si="1"/>
        <v>0.1054999977350235</v>
      </c>
      <c r="W88" s="158">
        <v>0.1054999977350235</v>
      </c>
      <c r="X88" s="158">
        <v>0.10520000010728836</v>
      </c>
      <c r="Y88" s="158">
        <v>0.10499999672174454</v>
      </c>
      <c r="Z88" s="158">
        <v>0.1046999990940094</v>
      </c>
      <c r="AA88" s="158">
        <v>0.10450000315904617</v>
      </c>
      <c r="AB88" s="158">
        <v>0.10440000146627426</v>
      </c>
      <c r="AC88" s="158">
        <v>0.10429999977350235</v>
      </c>
      <c r="AD88" s="158">
        <v>0.10419999808073044</v>
      </c>
      <c r="AE88" s="158">
        <v>0.10429999977350235</v>
      </c>
      <c r="AF88" s="158">
        <v>0.10450000315904617</v>
      </c>
    </row>
    <row r="89" spans="1:32" x14ac:dyDescent="0.2">
      <c r="A89" s="158" t="s">
        <v>240</v>
      </c>
      <c r="B89" s="158">
        <v>0.10649999976158142</v>
      </c>
      <c r="C89" s="158">
        <v>0.10610000044107437</v>
      </c>
      <c r="D89" s="158">
        <v>0.10589999705553055</v>
      </c>
      <c r="E89" s="158">
        <v>0.10589999705553055</v>
      </c>
      <c r="F89" s="158">
        <v>0.10589999705553055</v>
      </c>
      <c r="G89" s="158">
        <v>0.10599999874830246</v>
      </c>
      <c r="H89" s="158">
        <v>0.10620000213384628</v>
      </c>
      <c r="I89" s="158">
        <v>0.10570000112056732</v>
      </c>
      <c r="J89" s="158">
        <v>0.10570000112056732</v>
      </c>
      <c r="K89" s="158">
        <v>0.10559999942779541</v>
      </c>
      <c r="L89" s="158">
        <v>0.10570000112056732</v>
      </c>
      <c r="M89" s="158">
        <v>0.10540000349283218</v>
      </c>
      <c r="N89" s="158">
        <v>0.10520000010728836</v>
      </c>
      <c r="O89" s="158">
        <v>0.10490000247955322</v>
      </c>
      <c r="P89" s="158">
        <v>0.1046999990940094</v>
      </c>
      <c r="Q89" s="158">
        <v>0.1046999990940094</v>
      </c>
      <c r="R89" s="158">
        <v>0.1046999990940094</v>
      </c>
      <c r="S89" s="158">
        <v>0.10509999841451645</v>
      </c>
      <c r="T89" s="158">
        <v>0.10520000010728836</v>
      </c>
      <c r="U89" s="158">
        <v>0.10530000180006027</v>
      </c>
      <c r="V89" s="158">
        <f t="shared" si="1"/>
        <v>0.10530000180006027</v>
      </c>
      <c r="W89" s="158">
        <v>0.10530000180006027</v>
      </c>
      <c r="X89" s="158">
        <v>0.10499999672174454</v>
      </c>
      <c r="Y89" s="158">
        <v>0.10480000078678131</v>
      </c>
      <c r="Z89" s="158">
        <v>0.10450000315904617</v>
      </c>
      <c r="AA89" s="158">
        <v>0.10419999808073044</v>
      </c>
      <c r="AB89" s="158">
        <v>0.10409999638795853</v>
      </c>
      <c r="AC89" s="158">
        <v>0.10400000214576721</v>
      </c>
      <c r="AD89" s="158">
        <v>0.10400000214576721</v>
      </c>
      <c r="AE89" s="158">
        <v>0.10409999638795853</v>
      </c>
      <c r="AF89" s="158">
        <v>0.10419999808073044</v>
      </c>
    </row>
    <row r="90" spans="1:32" x14ac:dyDescent="0.2">
      <c r="A90" s="158" t="s">
        <v>241</v>
      </c>
      <c r="B90" s="158">
        <v>0.10740000009536743</v>
      </c>
      <c r="C90" s="158">
        <v>0.10700000077486038</v>
      </c>
      <c r="D90" s="158">
        <v>0.10700000077486038</v>
      </c>
      <c r="E90" s="158">
        <v>0.10670000314712524</v>
      </c>
      <c r="F90" s="158">
        <v>0.10660000145435333</v>
      </c>
      <c r="G90" s="158">
        <v>0.10689999908208847</v>
      </c>
      <c r="H90" s="158">
        <v>0.10670000314712524</v>
      </c>
      <c r="I90" s="158">
        <v>0.10660000145435333</v>
      </c>
      <c r="J90" s="158">
        <v>0.10649999976158142</v>
      </c>
      <c r="K90" s="158">
        <v>0.10649999976158142</v>
      </c>
      <c r="L90" s="158">
        <v>0.10679999738931656</v>
      </c>
      <c r="M90" s="158">
        <v>0.1062999963760376</v>
      </c>
      <c r="N90" s="158">
        <v>0.10599999874830246</v>
      </c>
      <c r="O90" s="158">
        <v>0.10580000281333923</v>
      </c>
      <c r="P90" s="158">
        <v>0.1054999977350235</v>
      </c>
      <c r="Q90" s="158">
        <v>0.1054999977350235</v>
      </c>
      <c r="R90" s="158">
        <v>0.10559999942779541</v>
      </c>
      <c r="S90" s="158">
        <v>0.10570000112056732</v>
      </c>
      <c r="T90" s="158">
        <v>0.10599999874830246</v>
      </c>
      <c r="U90" s="158">
        <v>0.10610000044107437</v>
      </c>
      <c r="V90" s="158">
        <f t="shared" si="1"/>
        <v>0.10610000044107437</v>
      </c>
      <c r="W90" s="158">
        <v>0.10610000044107437</v>
      </c>
      <c r="X90" s="158">
        <v>0.10580000281333923</v>
      </c>
      <c r="Y90" s="158">
        <v>0.1054999977350235</v>
      </c>
      <c r="Z90" s="158">
        <v>0.10530000180006027</v>
      </c>
      <c r="AA90" s="158">
        <v>0.10499999672174454</v>
      </c>
      <c r="AB90" s="158">
        <v>0.10490000247955322</v>
      </c>
      <c r="AC90" s="158">
        <v>0.10480000078678131</v>
      </c>
      <c r="AD90" s="158">
        <v>0.10490000247955322</v>
      </c>
      <c r="AE90" s="158">
        <v>0.10480000078678131</v>
      </c>
      <c r="AF90" s="158">
        <v>0.10499999672174454</v>
      </c>
    </row>
    <row r="91" spans="1:32" x14ac:dyDescent="0.2">
      <c r="A91" s="158" t="s">
        <v>242</v>
      </c>
      <c r="B91" s="158">
        <v>0.10719999670982361</v>
      </c>
      <c r="C91" s="158">
        <v>0.10660000145435333</v>
      </c>
      <c r="D91" s="158">
        <v>0.10639999806880951</v>
      </c>
      <c r="E91" s="158">
        <v>0.10639999806880951</v>
      </c>
      <c r="F91" s="158">
        <v>0.10620000213384628</v>
      </c>
      <c r="G91" s="158">
        <v>0.10639999806880951</v>
      </c>
      <c r="H91" s="158">
        <v>0.10620000213384628</v>
      </c>
      <c r="I91" s="158">
        <v>0.10610000044107437</v>
      </c>
      <c r="J91" s="158">
        <v>0.10599999874830246</v>
      </c>
      <c r="K91" s="158">
        <v>0.10610000044107437</v>
      </c>
      <c r="L91" s="158">
        <v>0.10599999874830246</v>
      </c>
      <c r="M91" s="158">
        <v>0.10580000281333923</v>
      </c>
      <c r="N91" s="158">
        <v>0.1054999977350235</v>
      </c>
      <c r="O91" s="158">
        <v>0.10540000349283218</v>
      </c>
      <c r="P91" s="158">
        <v>0.10499999672174454</v>
      </c>
      <c r="Q91" s="158">
        <v>0.10509999841451645</v>
      </c>
      <c r="R91" s="158">
        <v>0.10509999841451645</v>
      </c>
      <c r="S91" s="158">
        <v>0.10520000010728836</v>
      </c>
      <c r="T91" s="158">
        <v>0.1054999977350235</v>
      </c>
      <c r="U91" s="158">
        <v>0.10559999942779541</v>
      </c>
      <c r="V91" s="158">
        <f t="shared" si="1"/>
        <v>0.10559999942779541</v>
      </c>
      <c r="W91" s="158">
        <v>0.10559999942779541</v>
      </c>
      <c r="X91" s="158">
        <v>0.10540000349283218</v>
      </c>
      <c r="Y91" s="158">
        <v>0.10509999841451645</v>
      </c>
      <c r="Z91" s="158">
        <v>0.10490000247955322</v>
      </c>
      <c r="AA91" s="158">
        <v>0.10459999740123749</v>
      </c>
      <c r="AB91" s="158">
        <v>0.10440000146627426</v>
      </c>
      <c r="AC91" s="158">
        <v>0.10440000146627426</v>
      </c>
      <c r="AD91" s="158">
        <v>0.10440000146627426</v>
      </c>
      <c r="AE91" s="158">
        <v>0.10440000146627426</v>
      </c>
      <c r="AF91" s="158">
        <v>0.10459999740123749</v>
      </c>
    </row>
    <row r="92" spans="1:32" x14ac:dyDescent="0.2">
      <c r="A92" s="158" t="s">
        <v>243</v>
      </c>
      <c r="B92" s="158">
        <v>0.10740000009536743</v>
      </c>
      <c r="C92" s="158">
        <v>0.10679999738931656</v>
      </c>
      <c r="D92" s="158">
        <v>0.10660000145435333</v>
      </c>
      <c r="E92" s="158">
        <v>0.10639999806880951</v>
      </c>
      <c r="F92" s="158">
        <v>0.1062999963760376</v>
      </c>
      <c r="G92" s="158">
        <v>0.10649999976158142</v>
      </c>
      <c r="H92" s="158">
        <v>0.1062999963760376</v>
      </c>
      <c r="I92" s="158">
        <v>0.10620000213384628</v>
      </c>
      <c r="J92" s="158">
        <v>0.10610000044107437</v>
      </c>
      <c r="K92" s="158">
        <v>0.10610000044107437</v>
      </c>
      <c r="L92" s="158">
        <v>0.10599999874830246</v>
      </c>
      <c r="M92" s="158">
        <v>0.10580000281333923</v>
      </c>
      <c r="N92" s="158">
        <v>0.1054999977350235</v>
      </c>
      <c r="O92" s="158">
        <v>0.10530000180006027</v>
      </c>
      <c r="P92" s="158">
        <v>0.10499999672174454</v>
      </c>
      <c r="Q92" s="158">
        <v>0.10499999672174454</v>
      </c>
      <c r="R92" s="158">
        <v>0.10509999841451645</v>
      </c>
      <c r="S92" s="158">
        <v>0.10520000010728836</v>
      </c>
      <c r="T92" s="158">
        <v>0.1054999977350235</v>
      </c>
      <c r="U92" s="158">
        <v>0.10559999942779541</v>
      </c>
      <c r="V92" s="158">
        <f t="shared" si="1"/>
        <v>0.10559999942779541</v>
      </c>
      <c r="W92" s="158">
        <v>0.10559999942779541</v>
      </c>
      <c r="X92" s="158">
        <v>0.10530000180006027</v>
      </c>
      <c r="Y92" s="158">
        <v>0.10509999841451645</v>
      </c>
      <c r="Z92" s="158">
        <v>0.10480000078678131</v>
      </c>
      <c r="AA92" s="158">
        <v>0.10450000315904617</v>
      </c>
      <c r="AB92" s="158">
        <v>0.10440000146627426</v>
      </c>
      <c r="AC92" s="158">
        <v>0.10429999977350235</v>
      </c>
      <c r="AD92" s="158">
        <v>0.10429999977350235</v>
      </c>
      <c r="AE92" s="158">
        <v>0.10429999977350235</v>
      </c>
      <c r="AF92" s="158">
        <v>0.10450000315904617</v>
      </c>
    </row>
    <row r="93" spans="1:32" x14ac:dyDescent="0.2">
      <c r="A93" s="158" t="s">
        <v>244</v>
      </c>
      <c r="B93" s="158">
        <v>0.10750000178813934</v>
      </c>
      <c r="C93" s="158">
        <v>0.10639999806880951</v>
      </c>
      <c r="D93" s="158">
        <v>0.10639999806880951</v>
      </c>
      <c r="E93" s="158">
        <v>0.10670000314712524</v>
      </c>
      <c r="F93" s="158">
        <v>0.10639999806880951</v>
      </c>
      <c r="G93" s="158">
        <v>0.10660000145435333</v>
      </c>
      <c r="H93" s="158">
        <v>0.1062999963760376</v>
      </c>
      <c r="I93" s="158">
        <v>0.10620000213384628</v>
      </c>
      <c r="J93" s="158">
        <v>0.10599999874830246</v>
      </c>
      <c r="K93" s="158">
        <v>0.10599999874830246</v>
      </c>
      <c r="L93" s="158">
        <v>0.10599999874830246</v>
      </c>
      <c r="M93" s="158">
        <v>0.10570000112056732</v>
      </c>
      <c r="N93" s="158">
        <v>0.1054999977350235</v>
      </c>
      <c r="O93" s="158">
        <v>0.10530000180006027</v>
      </c>
      <c r="P93" s="158">
        <v>0.10490000247955322</v>
      </c>
      <c r="Q93" s="158">
        <v>0.10490000247955322</v>
      </c>
      <c r="R93" s="158">
        <v>0.10499999672174454</v>
      </c>
      <c r="S93" s="158">
        <v>0.10509999841451645</v>
      </c>
      <c r="T93" s="158">
        <v>0.10530000180006027</v>
      </c>
      <c r="U93" s="158">
        <v>0.10530000180006027</v>
      </c>
      <c r="V93" s="158">
        <f t="shared" si="1"/>
        <v>0.10530000180006027</v>
      </c>
      <c r="W93" s="158">
        <v>0.10530000180006027</v>
      </c>
      <c r="X93" s="158">
        <v>0.10499999672174454</v>
      </c>
      <c r="Y93" s="158">
        <v>0.1046999990940094</v>
      </c>
      <c r="Z93" s="158">
        <v>0.10450000315904617</v>
      </c>
      <c r="AA93" s="158">
        <v>0.10419999808073044</v>
      </c>
      <c r="AB93" s="158">
        <v>0.10400000214576721</v>
      </c>
      <c r="AC93" s="158">
        <v>0.10400000214576721</v>
      </c>
      <c r="AD93" s="158">
        <v>0.10409999638795853</v>
      </c>
      <c r="AE93" s="158">
        <v>0.1039000004529953</v>
      </c>
      <c r="AF93" s="158">
        <v>0.10350000113248825</v>
      </c>
    </row>
    <row r="94" spans="1:32" x14ac:dyDescent="0.2">
      <c r="A94" s="156" t="s">
        <v>412</v>
      </c>
      <c r="B94" s="156">
        <f>$B$55-AVERAGE($B$58,$B$62,$B$66)</f>
        <v>6.6666553417842056E-4</v>
      </c>
      <c r="C94" s="156">
        <f>$C$55-AVERAGE($C$58,$C$62,$C$66)</f>
        <v>6.9999943176905777E-4</v>
      </c>
      <c r="D94" s="156">
        <f>$D$55-AVERAGE($D$58,$D$62,$D$66)</f>
        <v>8.0000112454096939E-4</v>
      </c>
      <c r="E94" s="156">
        <f>$E$55-AVERAGE($E$58,$E$62,$E$66)</f>
        <v>8.333350221316066E-4</v>
      </c>
      <c r="F94" s="156">
        <f>$F$55-AVERAGE($F$58,$F$62,$F$66)</f>
        <v>1.4333352446556091E-3</v>
      </c>
      <c r="G94" s="156">
        <f>$G$55-AVERAGE($G$58,$G$62,$G$66)</f>
        <v>2.3666669925053868E-3</v>
      </c>
      <c r="H94" s="156">
        <f>$H$55-AVERAGE($H$58,$H$62,$H$66)</f>
        <v>3.5999963680903163E-3</v>
      </c>
      <c r="I94" s="156">
        <f>$I$55-AVERAGE($I$58,$I$62,$I$66)</f>
        <v>5.6666682163874355E-3</v>
      </c>
      <c r="J94" s="156">
        <f>$J$55-AVERAGE($J$58,$J$62,$J$66)</f>
        <v>9.1000000635782924E-3</v>
      </c>
      <c r="K94" s="156">
        <f>$K$55-AVERAGE($K$58,$K$62,$K$66)</f>
        <v>1.4799999694029495E-2</v>
      </c>
      <c r="L94" s="156">
        <f>$L$55-AVERAGE($L$58,$L$62,$L$66)</f>
        <v>2.3599999646345779E-2</v>
      </c>
      <c r="M94" s="156">
        <f>$M$55-AVERAGE($M$58,$M$62,$M$66)</f>
        <v>3.6899998784065247E-2</v>
      </c>
      <c r="N94" s="156">
        <f>$N$55-AVERAGE($N$58,$N$62,$N$66)</f>
        <v>5.503333856662114E-2</v>
      </c>
      <c r="O94" s="156">
        <f>$O$55-AVERAGE($O$58,$O$62,$O$66)</f>
        <v>7.9533336063226059E-2</v>
      </c>
      <c r="P94" s="156">
        <f>$P$55-AVERAGE($P$58,$P$62,$P$66)</f>
        <v>0.10919999579588573</v>
      </c>
      <c r="Q94" s="156">
        <f>$Q$55-AVERAGE($Q$58,$Q$62,$Q$66)</f>
        <v>0.14429999391237897</v>
      </c>
      <c r="R94" s="156">
        <f>$R$55-AVERAGE($R$58,$R$62,$R$66)</f>
        <v>0.18556665877501172</v>
      </c>
      <c r="S94" s="156">
        <f>$S$55-AVERAGE($S$58,$S$62,$S$66)</f>
        <v>0.23076667388280231</v>
      </c>
      <c r="T94" s="156">
        <f>$T$55-AVERAGE($T$58,$T$62,$T$66)</f>
        <v>0.27353331943353015</v>
      </c>
      <c r="U94" s="156">
        <f>$U$55-AVERAGE($U$58,$U$62,$U$66)</f>
        <v>0.31026668101549149</v>
      </c>
      <c r="V94" s="156">
        <f>$V$55-AVERAGE($V$58,$V$62,$V$66)</f>
        <v>0.32666667426625889</v>
      </c>
      <c r="W94" s="156">
        <f>$W$55-AVERAGE($W$58,$W$62,$W$66)</f>
        <v>0.34306666751702625</v>
      </c>
      <c r="X94" s="156">
        <f>$X$55-AVERAGE($X$58,$X$62,$X$66)</f>
        <v>0.35090001424153644</v>
      </c>
      <c r="Y94" s="156">
        <f>$Y$55-AVERAGE($Y$58,$Y$62,$Y$66)</f>
        <v>0.35240000486373901</v>
      </c>
      <c r="Z94" s="156">
        <f>$Z$55-AVERAGE($Z$58,$Z$62,$Z$66)</f>
        <v>0.35053332149982452</v>
      </c>
      <c r="AA94" s="156">
        <f>$AA$55-AVERAGE($AA$58,$AA$62,$AA$66)</f>
        <v>0.35123333334922791</v>
      </c>
      <c r="AB94" s="156">
        <f>$AB$55-AVERAGE($AB$58,$AB$62,$AB$66)</f>
        <v>0.35263332724571228</v>
      </c>
      <c r="AC94" s="156">
        <f>$AC$55-AVERAGE($AC$58,$AC$62,$AC$66)</f>
        <v>0.35770000517368317</v>
      </c>
      <c r="AD94" s="156">
        <f>$AD$55-AVERAGE($AD$58,$AD$62,$AD$66)</f>
        <v>0.36509999632835388</v>
      </c>
      <c r="AE94" s="156">
        <f>$AE$55-AVERAGE($AE$58,$AE$62,$AE$66)</f>
        <v>0.37129999448855716</v>
      </c>
      <c r="AF94" s="156">
        <f>$AF$55-AVERAGE($AF$58,$AF$62,$AF$66)</f>
        <v>0.38410000254710513</v>
      </c>
    </row>
    <row r="95" spans="1:32" x14ac:dyDescent="0.2">
      <c r="A95" s="157" t="s">
        <v>413</v>
      </c>
      <c r="B95" s="157">
        <f>$B$56-AVERAGE($B$58,$B$59,$B$60,$B$61,$B$62,$B$63,$B$64,$B$65,$B$66,$B$68,$B$69,$B$70,$B$71,$B$72,$B$73,$B$74,$B$75,$B$77,$B$78,$B$79,$B$80,$B$81,$B$82,$B$83,$B$84,$B$85,$B$86,$B$87,$B$88,$B$89,$B$90,$B$91,$B$92,$B$93)</f>
        <v>1.7117632224279283E-3</v>
      </c>
      <c r="C95" s="157">
        <f>$C$56-AVERAGE($C$58,$C$59,$C$60,$C$61,$C$62,$C$63,$C$64,$C$65,$C$66,$C$68,$C$69,$C$70,$C$71,$C$72,$C$73,$C$74,$C$75,$C$77,$C$78,$C$79,$C$80,$C$81,$C$82,$C$83,$C$84,$C$85,$C$86,$C$87,$C$88,$C$89,$C$90,$C$91,$C$92,$C$93)</f>
        <v>1.8470616025083181E-3</v>
      </c>
      <c r="D95" s="157">
        <f>$D$56-AVERAGE($D$58,$D$59,$D$60,$D$61,$D$62,$D$63,$D$64,$D$65,$D$66,$D$68,$D$69,$D$70,$D$71,$D$72,$D$73,$D$74,$D$75,$D$77,$D$78,$D$79,$D$80,$D$81,$D$82,$D$83,$D$84,$D$85,$D$86,$D$87,$D$88,$D$89,$D$90,$D$91,$D$92,$D$93)</f>
        <v>2.3558841032140371E-3</v>
      </c>
      <c r="E95" s="157">
        <f>$E$56-AVERAGE($E$58,$E$59,$E$60,$E$61,$E$62,$E$63,$E$64,$E$65,$E$66,$E$68,$E$69,$E$70,$E$71,$E$72,$E$73,$E$74,$E$75,$E$77,$E$78,$E$79,$E$80,$E$81,$E$82,$E$83,$E$84,$E$85,$E$86,$E$87,$E$88,$E$89,$E$90,$E$91,$E$92,$E$93)</f>
        <v>2.8764673453920003E-3</v>
      </c>
      <c r="F95" s="157">
        <f>$F$56-AVERAGE($F$58,$F$59,$F$60,$F$61,$F$62,$F$63,$F$64,$F$65,$F$66,$F$68,$F$69,$F$70,$F$71,$F$72,$F$73,$F$74,$F$75,$F$77,$F$78,$F$79,$F$80,$F$81,$F$82,$F$83,$F$84,$F$85,$F$86,$F$87,$F$88,$F$89,$F$90,$F$91,$F$92,$F$93)</f>
        <v>3.7764738149502763E-3</v>
      </c>
      <c r="G95" s="157">
        <f>$G$56-AVERAGE($G$58,$G$59,$G$60,$G$61,$G$62,$G$63,$G$64,$G$65,$G$66,$G$68,$G$69,$G$70,$G$71,$G$72,$G$73,$G$74,$G$75,$G$77,$G$78,$G$79,$G$80,$G$81,$G$82,$G$83,$G$84,$G$85,$G$86,$G$87,$G$88,$G$89,$G$90,$G$91,$G$92,$G$93)</f>
        <v>5.5029447026112566E-3</v>
      </c>
      <c r="H95" s="157">
        <f>$H$56-AVERAGE($H$58,$H$59,$H$60,$H$61,$H$62,$H$63,$H$64,$H$65,$H$66,$H$68,$H$69,$H$70,$H$71,$H$72,$H$73,$H$74,$H$75,$H$77,$H$78,$H$79,$H$80,$H$81,$H$82,$H$83,$H$84,$H$85,$H$86,$H$87,$H$88,$H$89,$H$90,$H$91,$H$92,$H$93)</f>
        <v>8.4147041334825395E-3</v>
      </c>
      <c r="I95" s="157">
        <f>$I$56-AVERAGE($I$58,$I$59,$I$60,$I$61,$I$62,$I$63,$I$64,$I$65,$I$66,$I$68,$I$69,$I$70,$I$71,$I$72,$I$73,$I$74,$I$75,$I$77,$I$78,$I$79,$I$80,$I$81,$I$82,$I$83,$I$84,$I$85,$I$86,$I$87,$I$88,$I$89,$I$90,$I$91,$I$92,$I$93)</f>
        <v>1.3249996173031187E-2</v>
      </c>
      <c r="J95" s="157">
        <f>$J$56-AVERAGE($J$58,$J$59,$J$60,$J$61,$J$62,$J$63,$J$64,$J$65,$J$66,$J$68,$J$69,$J$70,$J$71,$J$72,$J$73,$J$74,$J$75,$J$77,$J$78,$J$79,$J$80,$J$81,$J$82,$J$83,$J$84,$J$85,$J$86,$J$87,$J$88,$J$89,$J$90,$J$91,$J$92,$J$93)</f>
        <v>2.1205878871328687E-2</v>
      </c>
      <c r="K95" s="157">
        <f>$K$56-AVERAGE($K$58,$K$59,$K$60,$K$61,$K$62,$K$63,$K$64,$K$65,$K$66,$K$68,$K$69,$K$70,$K$71,$K$72,$K$73,$K$74,$K$75,$K$77,$K$78,$K$79,$K$80,$K$81,$K$82,$K$83,$K$84,$K$85,$K$86,$K$87,$K$88,$K$89,$K$90,$K$91,$K$92,$K$93)</f>
        <v>3.2823528217918729E-2</v>
      </c>
      <c r="L95" s="157">
        <f>$L$56-AVERAGE($L$58,$L$59,$L$60,$L$61,$L$62,$L$63,$L$64,$L$65,$L$66,$L$68,$L$69,$L$70,$L$71,$L$72,$L$73,$L$74,$L$75,$L$77,$L$78,$L$79,$L$80,$L$81,$L$82,$L$83,$L$84,$L$85,$L$86,$L$87,$L$88,$L$89,$L$90,$L$91,$L$92,$L$93)</f>
        <v>4.9214699689079738E-2</v>
      </c>
      <c r="M95" s="157">
        <f>$M$56-AVERAGE($M$58,$M$59,$M$60,$M$61,$M$62,$M$63,$M$64,$M$65,$M$66,$M$68,$M$69,$M$70,$M$71,$M$72,$M$73,$M$74,$M$75,$M$77,$M$78,$M$79,$M$80,$M$81,$M$82,$M$83,$M$84,$M$85,$M$86,$M$87,$M$88,$M$89,$M$90,$M$91,$M$92,$M$93)</f>
        <v>7.269705875831492E-2</v>
      </c>
      <c r="N95" s="157">
        <f>$N$56-AVERAGE($N$58,$N$59,$N$60,$N$61,$N$62,$N$63,$N$64,$N$65,$N$66,$N$68,$N$69,$N$70,$N$71,$N$72,$N$73,$N$74,$N$75,$N$77,$N$78,$N$79,$N$80,$N$81,$N$82,$N$83,$N$84,$N$85,$N$86,$N$87,$N$88,$N$89,$N$90,$N$91,$N$92,$N$93)</f>
        <v>0.10145588964223862</v>
      </c>
      <c r="O95" s="157">
        <f>$O$56-AVERAGE($O$58,$O$59,$O$60,$O$61,$O$62,$O$63,$O$64,$O$65,$O$66,$O$68,$O$69,$O$70,$O$71,$O$72,$O$73,$O$74,$O$75,$O$77,$O$78,$O$79,$O$80,$O$81,$O$82,$O$83,$O$84,$O$85,$O$86,$O$87,$O$88,$O$89,$O$90,$O$91,$O$92,$O$93)</f>
        <v>0.13483235546771216</v>
      </c>
      <c r="P95" s="157">
        <f>$P$56-AVERAGE($P$58,$P$59,$P$60,$P$61,$P$62,$P$63,$P$64,$P$65,$P$66,$P$68,$P$69,$P$70,$P$71,$P$72,$P$73,$P$74,$P$75,$P$77,$P$78,$P$79,$P$80,$P$81,$P$82,$P$83,$P$84,$P$85,$P$86,$P$87,$P$88,$P$89,$P$90,$P$91,$P$92,$P$93)</f>
        <v>0.17244118693120339</v>
      </c>
      <c r="Q95" s="157">
        <f>$Q$56-AVERAGE($Q$58,$Q$59,$Q$60,$Q$61,$Q$62,$Q$63,$Q$64,$Q$65,$Q$66,$Q$68,$Q$69,$Q$70,$Q$71,$Q$72,$Q$73,$Q$74,$Q$75,$Q$77,$Q$78,$Q$79,$Q$80,$Q$81,$Q$82,$Q$83,$Q$84,$Q$85,$Q$86,$Q$87,$Q$88,$Q$89,$Q$90,$Q$91,$Q$92,$Q$93)</f>
        <v>0.21624412475263372</v>
      </c>
      <c r="R95" s="157">
        <f>$R$56-AVERAGE($R$58,$R$59,$R$60,$R$61,$R$62,$R$63,$R$64,$R$65,$R$66,$R$68,$R$69,$R$70,$R$71,$R$72,$R$73,$R$74,$R$75,$R$77,$R$78,$R$79,$R$80,$R$81,$R$82,$R$83,$R$84,$R$85,$R$86,$R$87,$R$88,$R$89,$R$90,$R$91,$R$92,$R$93)</f>
        <v>0.2600294149973813</v>
      </c>
      <c r="S95" s="157">
        <f>$S$56-AVERAGE($S$58,$S$59,$S$60,$S$61,$S$62,$S$63,$S$64,$S$65,$S$66,$S$68,$S$69,$S$70,$S$71,$S$72,$S$73,$S$74,$S$75,$S$77,$S$78,$S$79,$S$80,$S$81,$S$82,$S$83,$S$84,$S$85,$S$86,$S$87,$S$88,$S$89,$S$90,$S$91,$S$92,$S$93)</f>
        <v>0.29727058156448249</v>
      </c>
      <c r="T95" s="157">
        <f>$T$56-AVERAGE($T$58,$T$59,$T$60,$T$61,$T$62,$T$63,$T$64,$T$65,$T$66,$T$68,$T$69,$T$70,$T$71,$T$72,$T$73,$T$74,$T$75,$T$77,$T$78,$T$79,$T$80,$T$81,$T$82,$T$83,$T$84,$T$85,$T$86,$T$87,$T$88,$T$89,$T$90,$T$91,$T$92,$T$93)</f>
        <v>0.32804411255261479</v>
      </c>
      <c r="U95" s="157">
        <f>$U$56-AVERAGE($U$58,$U$59,$U$60,$U$61,$U$62,$U$63,$U$64,$U$65,$U$66,$U$68,$U$69,$U$70,$U$71,$U$72,$U$73,$U$74,$U$75,$U$77,$U$78,$U$79,$U$80,$U$81,$U$82,$U$83,$U$84,$U$85,$U$86,$U$87,$U$88,$U$89,$U$90,$U$91,$U$92,$U$93)</f>
        <v>0.3396882346886046</v>
      </c>
      <c r="V95" s="157">
        <f>$V$56-AVERAGE($V$58,$V$59,$V$60,$V$61,$V$62,$V$63,$V$64,$V$65,$V$66,$V$68,$V$69,$V$70,$V$71,$V$72,$V$73,$V$74,$V$75,$V$77,$V$78,$V$79,$V$80,$V$81,$V$82,$V$83,$V$84,$V$85,$V$86,$V$87,$V$88,$V$89,$V$90,$V$91,$V$92,$V$93)</f>
        <v>0.34312353513258342</v>
      </c>
      <c r="W95" s="157">
        <f>$W$56-AVERAGE($W$58,$W$59,$W$60,$W$61,$W$62,$W$63,$W$64,$W$65,$W$66,$W$68,$W$69,$W$70,$W$71,$W$72,$W$73,$W$74,$W$75,$W$77,$W$78,$W$79,$W$80,$W$81,$W$82,$W$83,$W$84,$W$85,$W$86,$W$87,$W$88,$W$89,$W$90,$W$91,$W$92,$W$93)</f>
        <v>0.34655883557656231</v>
      </c>
      <c r="X95" s="157">
        <f>$X$56-AVERAGE($X$58,$X$59,$X$60,$X$61,$X$62,$X$63,$X$64,$X$65,$X$66,$X$68,$X$69,$X$70,$X$71,$X$72,$X$73,$X$74,$X$75,$X$77,$X$78,$X$79,$X$80,$X$81,$X$82,$X$83,$X$84,$X$85,$X$86,$X$87,$X$88,$X$89,$X$90,$X$91,$X$92,$X$93)</f>
        <v>0.34521176644107876</v>
      </c>
      <c r="Y95" s="157">
        <f>$Y$56-AVERAGE($Y$58,$Y$59,$Y$60,$Y$61,$Y$62,$Y$63,$Y$64,$Y$65,$Y$66,$Y$68,$Y$69,$Y$70,$Y$71,$Y$72,$Y$73,$Y$74,$Y$75,$Y$77,$Y$78,$Y$79,$Y$80,$Y$81,$Y$82,$Y$83,$Y$84,$Y$85,$Y$86,$Y$87,$Y$88,$Y$89,$Y$90,$Y$91,$Y$92,$Y$93)</f>
        <v>0.34512060004122114</v>
      </c>
      <c r="Z95" s="157">
        <f>$Z$56-AVERAGE($Z$58,$Z$59,$Z$60,$Z$61,$Z$62,$Z$63,$Z$64,$Z$65,$Z$66,$Z$68,$Z$69,$Z$70,$Z$71,$Z$72,$Z$73,$Z$74,$Z$75,$Z$77,$Z$78,$Z$79,$Z$80,$Z$81,$Z$82,$Z$83,$Z$84,$Z$85,$Z$86,$Z$87,$Z$88,$Z$89,$Z$90,$Z$91,$Z$92,$Z$93)</f>
        <v>0.34607940649285035</v>
      </c>
      <c r="AA95" s="157">
        <f>$AA$56-AVERAGE($AA$58,$AA$59,$AA$60,$AA$61,$AA$62,$AA$63,$AA$64,$AA$65,$AA$66,$AA$68,$AA$69,$AA$70,$AA$71,$AA$72,$AA$73,$AA$74,$AA$75,$AA$77,$AA$78,$AA$79,$AA$80,$AA$81,$AA$82,$AA$83,$AA$84,$AA$85,$AA$86,$AA$87,$AA$88,$AA$89,$AA$90,$AA$91,$AA$92,$AA$93)</f>
        <v>0.35057059806935931</v>
      </c>
      <c r="AB95" s="157">
        <f>$AB$56-AVERAGE($AB$58,$AB$59,$AB$60,$AB$61,$AB$62,$AB$63,$AB$64,$AB$65,$AB$66,$AB$68,$AB$69,$AB$70,$AB$71,$AB$72,$AB$73,$AB$74,$AB$75,$AB$77,$AB$78,$AB$79,$AB$80,$AB$81,$AB$82,$AB$83,$AB$84,$AB$85,$AB$86,$AB$87,$AB$88,$AB$89,$AB$90,$AB$91,$AB$92,$AB$93)</f>
        <v>0.35649410591405983</v>
      </c>
      <c r="AC95" s="157">
        <f>$AC$56-AVERAGE($AC$58,$AC$59,$AC$60,$AC$61,$AC$62,$AC$63,$AC$64,$AC$65,$AC$66,$AC$68,$AC$69,$AC$70,$AC$71,$AC$72,$AC$73,$AC$74,$AC$75,$AC$77,$AC$78,$AC$79,$AC$80,$AC$81,$AC$82,$AC$83,$AC$84,$AC$85,$AC$86,$AC$87,$AC$88,$AC$89,$AC$90,$AC$91,$AC$92,$AC$93)</f>
        <v>0.36512351496254697</v>
      </c>
      <c r="AD95" s="157">
        <f>$AD$56-AVERAGE($AD$58,$AD$59,$AD$60,$AD$61,$AD$62,$AD$63,$AD$64,$AD$65,$AD$66,$AD$68,$AD$69,$AD$70,$AD$71,$AD$72,$AD$73,$AD$74,$AD$75,$AD$77,$AD$78,$AD$79,$AD$80,$AD$81,$AD$82,$AD$83,$AD$84,$AD$85,$AD$86,$AD$87,$AD$88,$AD$89,$AD$90,$AD$91,$AD$92,$AD$93)</f>
        <v>0.37556765951654492</v>
      </c>
      <c r="AE95" s="157">
        <f>$AE$56-AVERAGE($AE$58,$AE$59,$AE$60,$AE$61,$AE$62,$AE$63,$AE$64,$AE$65,$AE$66,$AE$68,$AE$69,$AE$70,$AE$71,$AE$72,$AE$73,$AE$74,$AE$75,$AE$77,$AE$78,$AE$79,$AE$80,$AE$81,$AE$82,$AE$83,$AE$84,$AE$85,$AE$86,$AE$87,$AE$88,$AE$89,$AE$90,$AE$91,$AE$92,$AE$93)</f>
        <v>0.38710001352078771</v>
      </c>
      <c r="AF95" s="157">
        <f>$AF$56-AVERAGE($AF$58,$AF$59,$AF$60,$AF$61,$AF$62,$AF$63,$AF$64,$AF$65,$AF$66,$AF$68,$AF$69,$AF$70,$AF$71,$AF$72,$AF$73,$AF$74,$AF$75,$AF$77,$AF$78,$AF$79,$AF$80,$AF$81,$AF$82,$AF$83,$AF$84,$AF$85,$AF$86,$AF$87,$AF$88,$AF$89,$AF$90,$AF$91,$AF$92,$AF$93)</f>
        <v>0.40152059385881705</v>
      </c>
    </row>
    <row r="96" spans="1:32" x14ac:dyDescent="0.2">
      <c r="A96" s="168" t="s">
        <v>414</v>
      </c>
      <c r="B96" s="168">
        <f>$B$57-AVERAGE($B$58,$B$59,$B$60,$B$61,$B$62,$B$63,$B$64,$B$65,$B$66,$B$67,$B$68,$B$69,$B$70,$B$71,$B$72,$B$73,$B$74,$B$75,$B$76,$B$77,$B$78,$B$79,$B$80,$B$81,$B$82,$B$83,$B$84,$B$85,$B$86,$B$87,$B$88,$B$89,$B$90,$B$91,$B$92,$B$93)</f>
        <v>4.7777783539560137E-3</v>
      </c>
      <c r="C96" s="168">
        <f>$C$57-AVERAGE($C$58,$C$59,$C$60,$C$61,$C$62,$C$63,$C$64,$C$65,$C$66,$C$67,$C$68,$C$69,$C$70,$C$71,$C$72,$C$73,$C$74,$C$75,$C$76,$C$77,$C$78,$C$79,$C$80,$C$81,$C$82,$C$83,$C$84,$C$85,$C$86,$C$87,$C$88,$C$89,$C$90,$C$91,$C$92,$C$93)</f>
        <v>4.4444482773542404E-3</v>
      </c>
      <c r="D96" s="168">
        <f>$D$57-AVERAGE($D$58,$D$59,$D$60,$D$61,$D$62,$D$63,$D$64,$D$65,$D$66,$D$67,$D$68,$D$69,$D$70,$D$71,$D$72,$D$73,$D$74,$D$75,$D$76,$D$77,$D$78,$D$79,$D$80,$D$81,$D$82,$D$83,$D$84,$D$85,$D$86,$D$87,$D$88,$D$89,$D$90,$D$91,$D$92,$D$93)</f>
        <v>4.7444438354836554E-3</v>
      </c>
      <c r="E96" s="168">
        <f>$E$57-AVERAGE($E$58,$E$59,$E$60,$E$61,$E$62,$E$63,$E$64,$E$65,$E$66,$E$67,$E$68,$E$69,$E$70,$E$71,$E$72,$E$73,$E$74,$E$75,$E$76,$E$77,$E$78,$E$79,$E$80,$E$81,$E$82,$E$83,$E$84,$E$85,$E$86,$E$87,$E$88,$E$89,$E$90,$E$91,$E$92,$E$93)</f>
        <v>5.3694479995303745E-3</v>
      </c>
      <c r="F96" s="168">
        <f>$F$57-AVERAGE($F$58,$F$59,$F$60,$F$61,$F$62,$F$63,$F$64,$F$65,$F$66,$F$67,$F$68,$F$69,$F$70,$F$71,$F$72,$F$73,$F$74,$F$75,$F$76,$F$77,$F$78,$F$79,$F$80,$F$81,$F$82,$F$83,$F$84,$F$85,$F$86,$F$87,$F$88,$F$89,$F$90,$F$91,$F$92,$F$93)</f>
        <v>5.6694443855020704E-3</v>
      </c>
      <c r="G96" s="168">
        <f>$G$57-AVERAGE($G$58,$G$59,$G$60,$G$61,$G$62,$G$63,$G$64,$G$65,$G$66,$G$67,$G$68,$G$69,$G$70,$G$71,$G$72,$G$73,$G$74,$G$75,$G$76,$G$77,$G$78,$G$79,$G$80,$G$81,$G$82,$G$83,$G$84,$G$85,$G$86,$G$87,$G$88,$G$89,$G$90,$G$91,$G$92,$G$93)</f>
        <v>6.4888886279529934E-3</v>
      </c>
      <c r="H96" s="168">
        <f>$H$57-AVERAGE($H$58,$H$59,$H$60,$H$61,$H$62,$H$63,$H$64,$H$65,$H$66,$H$67,$H$68,$H$69,$H$70,$H$71,$H$72,$H$73,$H$74,$H$75,$H$76,$H$77,$H$78,$H$79,$H$80,$H$81,$H$82,$H$83,$H$84,$H$85,$H$86,$H$87,$H$88,$H$89,$H$90,$H$91,$H$92,$H$93)</f>
        <v>7.7083365370829854E-3</v>
      </c>
      <c r="I96" s="168">
        <f>$I$57-AVERAGE($I$58,$I$59,$I$60,$I$61,$I$62,$I$63,$I$64,$I$65,$I$66,$I$67,$I$68,$I$69,$I$70,$I$71,$I$72,$I$73,$I$74,$I$75,$I$76,$I$77,$I$78,$I$79,$I$80,$I$81,$I$82,$I$83,$I$84,$I$85,$I$86,$I$87,$I$88,$I$89,$I$90,$I$91,$I$92,$I$93)</f>
        <v>9.6444408926698866E-3</v>
      </c>
      <c r="J96" s="168">
        <f>$J$57-AVERAGE($J$58,$J$59,$J$60,$J$61,$J$62,$J$63,$J$64,$J$65,$J$66,$J$67,$J$68,$J$69,$J$70,$J$71,$J$72,$J$73,$J$74,$J$75,$J$76,$J$77,$J$78,$J$79,$J$80,$J$81,$J$82,$J$83,$J$84,$J$85,$J$86,$J$87,$J$88,$J$89,$J$90,$J$91,$J$92,$J$93)</f>
        <v>1.2994445239504174E-2</v>
      </c>
      <c r="K96" s="168">
        <f>$K$57-AVERAGE($K$58,$K$59,$K$60,$K$61,$K$62,$K$63,$K$64,$K$65,$K$66,$K$67,$K$68,$K$69,$K$70,$K$71,$K$72,$K$73,$K$74,$K$75,$K$76,$K$77,$K$78,$K$79,$K$80,$K$81,$K$82,$K$83,$K$84,$K$85,$K$86,$K$87,$K$88,$K$89,$K$90,$K$91,$K$92,$K$93)</f>
        <v>1.8419447044531509E-2</v>
      </c>
      <c r="L96" s="168">
        <f>$L$57-AVERAGE($L$58,$L$59,$L$60,$L$61,$L$62,$L$63,$L$64,$L$65,$L$66,$L$67,$L$68,$L$69,$L$70,$L$71,$L$72,$L$73,$L$74,$L$75,$L$76,$L$77,$L$78,$L$79,$L$80,$L$81,$L$82,$L$83,$L$84,$L$85,$L$86,$L$87,$L$88,$L$89,$L$90,$L$91,$L$92,$L$93)</f>
        <v>2.7194439950916499E-2</v>
      </c>
      <c r="M96" s="168">
        <f>$M$57-AVERAGE($M$58,$M$59,$M$60,$M$61,$M$62,$M$63,$M$64,$M$65,$M$66,$M$67,$M$68,$M$69,$M$70,$M$71,$M$72,$M$73,$M$74,$M$75,$M$76,$M$77,$M$78,$M$79,$M$80,$M$81,$M$82,$M$83,$M$84,$M$85,$M$86,$M$87,$M$88,$M$89,$M$90,$M$91,$M$92,$M$93)</f>
        <v>4.0277782413694591E-2</v>
      </c>
      <c r="N96" s="168">
        <f>$N$57-AVERAGE($N$58,$N$59,$N$60,$N$61,$N$62,$N$63,$N$64,$N$65,$N$66,$N$67,$N$68,$N$69,$N$70,$N$71,$N$72,$N$73,$N$74,$N$75,$N$76,$N$77,$N$78,$N$79,$N$80,$N$81,$N$82,$N$83,$N$84,$N$85,$N$86,$N$87,$N$88,$N$89,$N$90,$N$91,$N$92,$N$93)</f>
        <v>5.8227770858340799E-2</v>
      </c>
      <c r="O96" s="168">
        <f>$O$57-AVERAGE($O$58,$O$59,$O$60,$O$61,$O$62,$O$63,$O$64,$O$65,$O$66,$O$67,$O$68,$O$69,$O$70,$O$71,$O$72,$O$73,$O$74,$O$75,$O$76,$O$77,$O$78,$O$79,$O$80,$O$81,$O$82,$O$83,$O$84,$O$85,$O$86,$O$87,$O$88,$O$89,$O$90,$O$91,$O$92,$O$93)</f>
        <v>8.2402774236268461E-2</v>
      </c>
      <c r="P96" s="168">
        <f>$P$57-AVERAGE($P$58,$P$59,$P$60,$P$61,$P$62,$P$63,$P$64,$P$65,$P$66,$P$67,$P$68,$P$69,$P$70,$P$71,$P$72,$P$73,$P$74,$P$75,$P$76,$P$77,$P$78,$P$79,$P$80,$P$81,$P$82,$P$83,$P$84,$P$85,$P$86,$P$87,$P$88,$P$89,$P$90,$P$91,$P$92,$P$93)</f>
        <v>0.11131945045457946</v>
      </c>
      <c r="Q96" s="168">
        <f>$Q$57-AVERAGE($Q$58,$Q$59,$Q$60,$Q$61,$Q$62,$Q$63,$Q$64,$Q$65,$Q$66,$Q$67,$Q$68,$Q$69,$Q$70,$Q$71,$Q$72,$Q$73,$Q$74,$Q$75,$Q$76,$Q$77,$Q$78,$Q$79,$Q$80,$Q$81,$Q$82,$Q$83,$Q$84,$Q$85,$Q$86,$Q$87,$Q$88,$Q$89,$Q$90,$Q$91,$Q$92,$Q$93)</f>
        <v>0.14492221611241501</v>
      </c>
      <c r="R96" s="168">
        <f>$R$57-AVERAGE($R$58,$R$59,$R$60,$R$61,$R$62,$R$63,$R$64,$R$65,$R$66,$R$67,$R$68,$R$69,$R$70,$R$71,$R$72,$R$73,$R$74,$R$75,$R$76,$R$77,$R$78,$R$79,$R$80,$R$81,$R$82,$R$83,$R$84,$R$85,$R$86,$R$87,$R$88,$R$89,$R$90,$R$91,$R$92,$R$93)</f>
        <v>0.1844166585554679</v>
      </c>
      <c r="S96" s="168">
        <f>$S$57-AVERAGE($S$58,$S$59,$S$60,$S$61,$S$62,$S$63,$S$64,$S$65,$S$66,$S$67,$S$68,$S$69,$S$70,$S$71,$S$72,$S$73,$S$74,$S$75,$S$76,$S$77,$S$78,$S$79,$S$80,$S$81,$S$82,$S$83,$S$84,$S$85,$S$86,$S$87,$S$88,$S$89,$S$90,$S$91,$S$92,$S$93)</f>
        <v>0.22894444544282225</v>
      </c>
      <c r="T96" s="168">
        <f>$T$57-AVERAGE($T$58,$T$59,$T$60,$T$61,$T$62,$T$63,$T$64,$T$65,$T$66,$T$67,$T$68,$T$69,$T$70,$T$71,$T$72,$T$73,$T$74,$T$75,$T$76,$T$77,$T$78,$T$79,$T$80,$T$81,$T$82,$T$83,$T$84,$T$85,$T$86,$T$87,$T$88,$T$89,$T$90,$T$91,$T$92,$T$93)</f>
        <v>0.27133332379162312</v>
      </c>
      <c r="U96" s="168">
        <f>$U$57-AVERAGE($U$58,$U$59,$U$60,$U$61,$U$62,$U$63,$U$64,$U$65,$U$66,$U$67,$U$68,$U$69,$U$70,$U$71,$U$72,$U$73,$U$74,$U$75,$U$76,$U$77,$U$78,$U$79,$U$80,$U$81,$U$82,$U$83,$U$84,$U$85,$U$86,$U$87,$U$88,$U$89,$U$90,$U$91,$U$92,$U$93)</f>
        <v>0.30856667790147996</v>
      </c>
      <c r="V96" s="168">
        <f>$V$57-AVERAGE($V$58,$V$59,$V$60,$V$61,$V$62,$V$63,$V$64,$V$65,$V$66,$V$67,$V$68,$V$69,$V$70,$V$71,$V$72,$V$73,$V$74,$V$75,$V$76,$V$77,$V$78,$V$79,$V$80,$V$81,$V$82,$V$83,$V$84,$V$85,$V$86,$V$87,$V$88,$V$89,$V$90,$V$91,$V$92,$V$93)</f>
        <v>0.32789861462596392</v>
      </c>
      <c r="W96" s="168">
        <f>$W$57-AVERAGE($W$58,$W$59,$W$60,$W$61,$W$62,$W$63,$W$64,$W$65,$W$66,$W$67,$W$68,$W$69,$W$70,$W$71,$W$72,$W$73,$W$74,$W$75,$W$76,$W$77,$W$78,$W$79,$W$80,$W$81,$W$82,$W$83,$W$84,$W$85,$W$86,$W$87,$W$88,$W$89,$W$90,$W$91,$W$92,$W$93)</f>
        <v>0.34723055135044789</v>
      </c>
      <c r="X96" s="168">
        <f>$X$57-AVERAGE($X$58,$X$59,$X$60,$X$61,$X$62,$X$63,$X$64,$X$65,$X$66,$X$67,$X$68,$X$69,$X$70,$X$71,$X$72,$X$73,$X$74,$X$75,$X$76,$X$77,$X$78,$X$79,$X$80,$X$81,$X$82,$X$83,$X$84,$X$85,$X$86,$X$87,$X$88,$X$89,$X$90,$X$91,$X$92,$X$93)</f>
        <v>0.35378890381091171</v>
      </c>
      <c r="Y96" s="168">
        <f>$Y$57-AVERAGE($Y$58,$Y$59,$Y$60,$Y$61,$Y$62,$Y$63,$Y$64,$Y$65,$Y$66,$Y$67,$Y$68,$Y$69,$Y$70,$Y$71,$Y$72,$Y$73,$Y$74,$Y$75,$Y$76,$Y$77,$Y$78,$Y$79,$Y$80,$Y$81,$Y$82,$Y$83,$Y$84,$Y$85,$Y$86,$Y$87,$Y$88,$Y$89,$Y$90,$Y$91,$Y$92,$Y$93)</f>
        <v>0.35614999280207688</v>
      </c>
      <c r="Z96" s="168">
        <f>$Z$57-AVERAGE($Z$58,$Z$59,$Z$60,$Z$61,$Z$62,$Z$63,$Z$64,$Z$65,$Z$66,$Z$67,$Z$68,$Z$69,$Z$70,$Z$71,$Z$72,$Z$73,$Z$74,$Z$75,$Z$76,$Z$77,$Z$78,$Z$79,$Z$80,$Z$81,$Z$82,$Z$83,$Z$84,$Z$85,$Z$86,$Z$87,$Z$88,$Z$89,$Z$90,$Z$91,$Z$92,$Z$93)</f>
        <v>0.35561110617385971</v>
      </c>
      <c r="AA96" s="168">
        <f>$AA$57-AVERAGE($AA$58,$AA$59,$AA$60,$AA$61,$AA$62,$AA$63,$AA$64,$AA$65,$AA$66,$AA$67,$AA$68,$AA$69,$AA$70,$AA$71,$AA$72,$AA$73,$AA$74,$AA$75,$AA$76,$AA$77,$AA$78,$AA$79,$AA$80,$AA$81,$AA$82,$AA$83,$AA$84,$AA$85,$AA$86,$AA$87,$AA$88,$AA$89,$AA$90,$AA$91,$AA$92,$AA$93)</f>
        <v>0.35552776956723797</v>
      </c>
      <c r="AB96" s="168">
        <f>$AB$57-AVERAGE($AB$58,$AB$59,$AB$60,$AB$61,$AB$62,$AB$63,$AB$64,$AB$65,$AB$66,$AB$67,$AB$68,$AB$69,$AB$70,$AB$71,$AB$72,$AB$73,$AB$74,$AB$75,$AB$76,$AB$77,$AB$78,$AB$79,$AB$80,$AB$81,$AB$82,$AB$83,$AB$84,$AB$85,$AB$86,$AB$87,$AB$88,$AB$89,$AB$90,$AB$91,$AB$92,$AB$93)</f>
        <v>0.35592778896292049</v>
      </c>
      <c r="AC96" s="168">
        <f>$AC$57-AVERAGE($AC$58,$AC$59,$AC$60,$AC$61,$AC$62,$AC$63,$AC$64,$AC$65,$AC$66,$AC$67,$AC$68,$AC$69,$AC$70,$AC$71,$AC$72,$AC$73,$AC$74,$AC$75,$AC$76,$AC$77,$AC$78,$AC$79,$AC$80,$AC$81,$AC$82,$AC$83,$AC$84,$AC$85,$AC$86,$AC$87,$AC$88,$AC$89,$AC$90,$AC$91,$AC$92,$AC$93)</f>
        <v>0.35968055555389988</v>
      </c>
      <c r="AD96" s="168">
        <f>$AD$57-AVERAGE($AD$58,$AD$59,$AD$60,$AD$61,$AD$62,$AD$63,$AD$64,$AD$65,$AD$66,$AD$67,$AD$68,$AD$69,$AD$70,$AD$71,$AD$72,$AD$73,$AD$74,$AD$75,$AD$76,$AD$77,$AD$78,$AD$79,$AD$80,$AD$81,$AD$82,$AD$83,$AD$84,$AD$85,$AD$86,$AD$87,$AD$88,$AD$89,$AD$90,$AD$91,$AD$92,$AD$93)</f>
        <v>0.36390001140534878</v>
      </c>
      <c r="AE96" s="168">
        <f>$AE$57-AVERAGE($AE$58,$AE$59,$AE$60,$AE$61,$AE$62,$AE$63,$AE$64,$AE$65,$AE$66,$AE$67,$AE$68,$AE$69,$AE$70,$AE$71,$AE$72,$AE$73,$AE$74,$AE$75,$AE$76,$AE$77,$AE$78,$AE$79,$AE$80,$AE$81,$AE$82,$AE$83,$AE$84,$AE$85,$AE$86,$AE$87,$AE$88,$AE$89,$AE$90,$AE$91,$AE$92,$AE$93)</f>
        <v>0.37053889305227333</v>
      </c>
      <c r="AF96" s="168">
        <f>$AF$57-AVERAGE($AF$58,$AF$59,$AF$60,$AF$61,$AF$62,$AF$63,$AF$64,$AF$65,$AF$66,$AF$67,$AF$68,$AF$69,$AF$70,$AF$71,$AF$72,$AF$73,$AF$74,$AF$75,$AF$76,$AF$77,$AF$78,$AF$79,$AF$80,$AF$81,$AF$82,$AF$83,$AF$84,$AF$85,$AF$86,$AF$87,$AF$88,$AF$89,$AF$90,$AF$91,$AF$92,$AF$93)</f>
        <v>0.37898890280889141</v>
      </c>
    </row>
    <row r="97" spans="1:32" x14ac:dyDescent="0.2">
      <c r="A97" t="s">
        <v>415</v>
      </c>
      <c r="H97">
        <f>INDEX(LOGEST($B$94:$H$94,$B$54:$H$54,TRUE,TRUE), 3)</f>
        <v>0.88537094805157435</v>
      </c>
      <c r="I97">
        <f>INDEX(LOGEST($B$94:$I$94,$B$54:$I$54,TRUE,TRUE), 3)</f>
        <v>0.91725488455815829</v>
      </c>
      <c r="J97">
        <f>INDEX(LOGEST($B$94:$J$94,$B$54:$J$54,TRUE,TRUE), 3)</f>
        <v>0.93744168753791857</v>
      </c>
      <c r="K97">
        <f>INDEX(LOGEST($B$94:$K$94,$B$54:$K$54,TRUE,TRUE), 3)</f>
        <v>0.95092574974280319</v>
      </c>
      <c r="L97">
        <f>INDEX(LOGEST($B$94:$L$94,$B$54:$L$54,TRUE,TRUE), 3)</f>
        <v>0.96092794042149854</v>
      </c>
      <c r="M97">
        <f>INDEX(LOGEST($B$94:$M$94,$B$54:$M$54,TRUE,TRUE), 3)</f>
        <v>0.9686784103977707</v>
      </c>
      <c r="N97">
        <f>INDEX(LOGEST($B$94:$N$94,$B$54:$N$54,TRUE,TRUE), 3)</f>
        <v>0.97496738649845938</v>
      </c>
      <c r="O97">
        <f>INDEX(LOGEST($B$94:$O$94,$B$54:$O$54,TRUE,TRUE), 3)</f>
        <v>0.97992162669046323</v>
      </c>
      <c r="P97">
        <f>INDEX(LOGEST($B$94:$P$94,$B$54:$P$54,TRUE,TRUE), 3)</f>
        <v>0.98363354070745546</v>
      </c>
      <c r="Q97">
        <f>INDEX(LOGEST($B$94:$Q$94,$B$54:$Q$54,TRUE,TRUE), 3)</f>
        <v>0.98609686036217514</v>
      </c>
      <c r="R97">
        <f>INDEX(LOGEST($B$94:$R$94,$B$54:$R$54,TRUE,TRUE), 3)</f>
        <v>0.98739153833705751</v>
      </c>
      <c r="S97" s="155">
        <f>INDEX(LOGEST($B$94:$S$94,$B$54:$S$54,TRUE,TRUE), 3)</f>
        <v>0.98755449464735301</v>
      </c>
      <c r="T97">
        <f>INDEX(LOGEST($B$94:$T$94,$B$54:$T$54,TRUE,TRUE), 3)</f>
        <v>0.98643706769537964</v>
      </c>
      <c r="U97">
        <f>INDEX(LOGEST($B$94:$U$94,$B$54:$U$54,TRUE,TRUE), 3)</f>
        <v>0.98388122757995045</v>
      </c>
      <c r="V97">
        <f>INDEX(LOGEST($B$94:$V$94,$B$54:$V$54,TRUE,TRUE), 3)</f>
        <v>0.97922554524896799</v>
      </c>
      <c r="W97">
        <f>INDEX(LOGEST($B$94:$W$94,$B$54:$W$54,TRUE,TRUE), 3)</f>
        <v>0.97289396331348332</v>
      </c>
      <c r="X97">
        <f>INDEX(LOGEST($B$94:$X$94,$B$54:$X$54,TRUE,TRUE), 3)</f>
        <v>0.96485080526602507</v>
      </c>
      <c r="Y97">
        <f>INDEX(LOGEST($B$94:$Y$94,$B$54:$Y$54,TRUE,TRUE), 3)</f>
        <v>0.95516572472871142</v>
      </c>
      <c r="Z97">
        <f>INDEX(LOGEST($B$94:$Z$94,$B$54:$Z$54,TRUE,TRUE), 3)</f>
        <v>0.94403568425936635</v>
      </c>
      <c r="AA97">
        <f>INDEX(LOGEST($B$94:$AA$94,$B$54:$AA$54,TRUE,TRUE), 3)</f>
        <v>0.9319639217086555</v>
      </c>
      <c r="AB97">
        <f>INDEX(LOGEST($B$94:$AB$94,$B$54:$AB$54,TRUE,TRUE), 3)</f>
        <v>0.91926144298120727</v>
      </c>
      <c r="AC97">
        <f>INDEX(LOGEST($B$94:$AC$94,$B$54:$AC$54,TRUE,TRUE), 3)</f>
        <v>0.90636433861270627</v>
      </c>
      <c r="AD97">
        <f>INDEX(LOGEST($B$94:$AD$94,$B$54:$AD$54,TRUE,TRUE), 3)</f>
        <v>0.89354634395412902</v>
      </c>
      <c r="AE97">
        <f>INDEX(LOGEST($B$94:$AE$94,$B$54:$AE$54,TRUE,TRUE), 3)</f>
        <v>0.88081570866250736</v>
      </c>
      <c r="AF97">
        <f>INDEX(LOGEST($B$94:$AF$94,$B$54:$AF$54,TRUE,TRUE), 3)</f>
        <v>0.86861944410952074</v>
      </c>
    </row>
    <row r="98" spans="1:32" x14ac:dyDescent="0.2">
      <c r="A98" t="s">
        <v>416</v>
      </c>
      <c r="H98">
        <f>INDEX(LOGEST($B$95:$H$95,$B$54:$H$54,TRUE,TRUE), 3)</f>
        <v>0.9607521770273163</v>
      </c>
      <c r="I98">
        <f>INDEX(LOGEST($B$95:$I$95,$B$54:$I$54,TRUE,TRUE), 3)</f>
        <v>0.96023003043761179</v>
      </c>
      <c r="J98">
        <f>INDEX(LOGEST($B$95:$J$95,$B$54:$J$54,TRUE,TRUE), 3)</f>
        <v>0.9623513011176269</v>
      </c>
      <c r="K98">
        <f>INDEX(LOGEST($B$95:$K$95,$B$54:$K$54,TRUE,TRUE), 3)</f>
        <v>0.96720381581270676</v>
      </c>
      <c r="L98">
        <f>INDEX(LOGEST($B$95:$L$95,$B$54:$L$54,TRUE,TRUE), 3)</f>
        <v>0.97283221203801296</v>
      </c>
      <c r="M98">
        <f>INDEX(LOGEST($B$95:$M$95,$B$54:$M$54,TRUE,TRUE), 3)</f>
        <v>0.97792150754586349</v>
      </c>
      <c r="N98">
        <f>INDEX(LOGEST($B$95:$N$95,$B$54:$N$54,TRUE,TRUE), 3)</f>
        <v>0.98243038418962314</v>
      </c>
      <c r="O98">
        <f>INDEX(LOGEST($B$95:$O$95,$B$54:$O$54,TRUE,TRUE), 3)</f>
        <v>0.98592942691142138</v>
      </c>
      <c r="P98">
        <f>INDEX(LOGEST($B$95:$P$95,$B$54:$P$54,TRUE,TRUE), 3)</f>
        <v>0.98815130799551887</v>
      </c>
      <c r="Q98" s="155">
        <f>INDEX(LOGEST($B$95:$Q$95,$B$54:$Q$54,TRUE,TRUE), 3)</f>
        <v>0.98914510035281911</v>
      </c>
      <c r="R98">
        <f>INDEX(LOGEST($B$95:$R$95,$B$54:$R$54,TRUE,TRUE), 3)</f>
        <v>0.98880998108639662</v>
      </c>
      <c r="S98">
        <f>INDEX(LOGEST($B$95:$S$95,$B$54:$S$54,TRUE,TRUE), 3)</f>
        <v>0.98686501475287336</v>
      </c>
      <c r="T98">
        <f>INDEX(LOGEST($B$95:$T$95,$B$54:$T$54,TRUE,TRUE), 3)</f>
        <v>0.98320471380141206</v>
      </c>
      <c r="U98">
        <f>INDEX(LOGEST($B$95:$U$95,$B$54:$U$54,TRUE,TRUE), 3)</f>
        <v>0.97711344351666041</v>
      </c>
      <c r="V98">
        <f>INDEX(LOGEST($B$95:$V$95,$B$54:$V$54,TRUE,TRUE), 3)</f>
        <v>0.96860955869567278</v>
      </c>
      <c r="W98">
        <f>INDEX(LOGEST($B$95:$W$95,$B$54:$W$54,TRUE,TRUE), 3)</f>
        <v>0.95826173753538946</v>
      </c>
      <c r="X98">
        <f>INDEX(LOGEST($B$95:$X$95,$B$54:$X$54,TRUE,TRUE), 3)</f>
        <v>0.94620121437270854</v>
      </c>
      <c r="Y98">
        <f>INDEX(LOGEST($B$95:$Y$95,$B$54:$Y$54,TRUE,TRUE), 3)</f>
        <v>0.93297055580549926</v>
      </c>
      <c r="Z98">
        <f>INDEX(LOGEST($B$95:$Z$95,$B$54:$Z$54,TRUE,TRUE), 3)</f>
        <v>0.9190016709533203</v>
      </c>
      <c r="AA98">
        <f>INDEX(LOGEST($B$95:$AA$95,$B$54:$AA$54,TRUE,TRUE), 3)</f>
        <v>0.90484414476081898</v>
      </c>
      <c r="AB98">
        <f>INDEX(LOGEST($B$95:$AB$95,$B$54:$AB$54,TRUE,TRUE), 3)</f>
        <v>0.89077244591692417</v>
      </c>
      <c r="AC98">
        <f>INDEX(LOGEST($B$95:$AC$95,$B$54:$AC$54,TRUE,TRUE), 3)</f>
        <v>0.8770964954279733</v>
      </c>
      <c r="AD98">
        <f>INDEX(LOGEST($B$95:$AD$95,$B$54:$AD$54,TRUE,TRUE), 3)</f>
        <v>0.86398434241843647</v>
      </c>
      <c r="AE98">
        <f>INDEX(LOGEST($B$95:$AE$95,$B$54:$AE$54,TRUE,TRUE), 3)</f>
        <v>0.85150523406112488</v>
      </c>
      <c r="AF98">
        <f>INDEX(LOGEST($B$95:$AF$95,$B$54:$AF$54,TRUE,TRUE), 3)</f>
        <v>0.83982333542106125</v>
      </c>
    </row>
    <row r="99" spans="1:32" x14ac:dyDescent="0.2">
      <c r="A99" t="s">
        <v>417</v>
      </c>
      <c r="H99">
        <f>INDEX(LOGEST($B$96:$H$96,$B$54:$H$54,TRUE,TRUE), 3)</f>
        <v>0.87279890987648401</v>
      </c>
      <c r="I99">
        <f>INDEX(LOGEST($B$96:$I$96,$B$54:$I$54,TRUE,TRUE), 3)</f>
        <v>0.88513678240505478</v>
      </c>
      <c r="J99">
        <f>INDEX(LOGEST($B$96:$J$96,$B$54:$J$54,TRUE,TRUE), 3)</f>
        <v>0.88322925447986067</v>
      </c>
      <c r="K99">
        <f>INDEX(LOGEST($B$96:$K$96,$B$54:$K$54,TRUE,TRUE), 3)</f>
        <v>0.88178801460594147</v>
      </c>
      <c r="L99">
        <f>INDEX(LOGEST($B$96:$L$96,$B$54:$L$54,TRUE,TRUE), 3)</f>
        <v>0.88361606580032681</v>
      </c>
      <c r="M99">
        <f>INDEX(LOGEST($B$96:$M$96,$B$54:$M$54,TRUE,TRUE), 3)</f>
        <v>0.89045157011310472</v>
      </c>
      <c r="N99">
        <f>INDEX(LOGEST($B$96:$N$96,$B$54:$N$54,TRUE,TRUE), 3)</f>
        <v>0.90113888991173052</v>
      </c>
      <c r="O99">
        <f>INDEX(LOGEST($B$96:$O$96,$B$54:$O$54,TRUE,TRUE), 3)</f>
        <v>0.91302675595760197</v>
      </c>
      <c r="P99">
        <f>INDEX(LOGEST($B$96:$P$96,$B$54:$P$54,TRUE,TRUE), 3)</f>
        <v>0.92526958257909242</v>
      </c>
      <c r="Q99">
        <f>INDEX(LOGEST($B$96:$Q$96,$B$54:$Q$54,TRUE,TRUE), 3)</f>
        <v>0.93671710112384687</v>
      </c>
      <c r="R99">
        <f>INDEX(LOGEST($B$96:$R$96,$B$54:$R$54,TRUE,TRUE), 3)</f>
        <v>0.94667974093266227</v>
      </c>
      <c r="S99">
        <f>INDEX(LOGEST($B$96:$S$96,$B$54:$S$54,TRUE,TRUE), 3)</f>
        <v>0.95501561986634464</v>
      </c>
      <c r="T99">
        <f>INDEX(LOGEST($B$96:$T$96,$B$54:$T$54,TRUE,TRUE), 3)</f>
        <v>0.96170937792920197</v>
      </c>
      <c r="U99">
        <f>INDEX(LOGEST($B$96:$U$96,$B$54:$U$54,TRUE,TRUE), 3)</f>
        <v>0.96660369912618305</v>
      </c>
      <c r="V99">
        <f>INDEX(LOGEST($B$96:$V$96,$B$54:$V$54,TRUE,TRUE), 3)</f>
        <v>0.96919719069224564</v>
      </c>
      <c r="W99" s="155">
        <f>INDEX(LOGEST($B$96:$W$96,$B$54:$W$54,TRUE,TRUE), 3)</f>
        <v>0.96964650098949867</v>
      </c>
      <c r="X99">
        <f>INDEX(LOGEST($B$96:$X$96,$B$54:$X$54,TRUE,TRUE), 3)</f>
        <v>0.9676652576597764</v>
      </c>
      <c r="Y99">
        <f>INDEX(LOGEST($B$96:$Y$96,$B$54:$Y$54,TRUE,TRUE), 3)</f>
        <v>0.96340981590022223</v>
      </c>
      <c r="Z99">
        <f>INDEX(LOGEST($B$96:$Z$96,$B$54:$Z$54,TRUE,TRUE), 3)</f>
        <v>0.95710937187695533</v>
      </c>
      <c r="AA99">
        <f>INDEX(LOGEST($B$96:$AA$96,$B$54:$AA$54,TRUE,TRUE), 3)</f>
        <v>0.94918569704951894</v>
      </c>
      <c r="AB99">
        <f>INDEX(LOGEST($B$96:$AB$96,$B$54:$AB$54,TRUE,TRUE), 3)</f>
        <v>0.94001397638481454</v>
      </c>
      <c r="AC99">
        <f>INDEX(LOGEST($B$96:$AC$96,$B$54:$AC$54,TRUE,TRUE), 3)</f>
        <v>0.93012294866291156</v>
      </c>
      <c r="AD99">
        <f>INDEX(LOGEST($B$96:$AD$96,$B$54:$AD$54,TRUE,TRUE), 3)</f>
        <v>0.91975232359739534</v>
      </c>
      <c r="AE99">
        <f>INDEX(LOGEST($B$96:$AE$96,$B$54:$AE$54,TRUE,TRUE), 3)</f>
        <v>0.90923741679318459</v>
      </c>
      <c r="AF99">
        <f>INDEX(LOGEST($B$96:$AF$96,$B$54:$AF$54,TRUE,TRUE), 3)</f>
        <v>0.89880660093132492</v>
      </c>
    </row>
    <row r="100" spans="1:32" s="160" customFormat="1" x14ac:dyDescent="0.2">
      <c r="A100" s="160" t="s">
        <v>418</v>
      </c>
      <c r="B100" s="160">
        <f>$K$43*EXP($J$49*$B$54)</f>
        <v>4.0295656753045774E-4</v>
      </c>
      <c r="C100" s="160">
        <f>$K$43*EXP($J$49*$C$54)</f>
        <v>5.9572912417962191E-4</v>
      </c>
      <c r="D100" s="160">
        <f>$K$43*EXP($J$49*$D$54)</f>
        <v>8.8072317959923688E-4</v>
      </c>
      <c r="E100" s="160">
        <f>$K$43*EXP($J$49*$E$54)</f>
        <v>1.3020570719143012E-3</v>
      </c>
      <c r="F100" s="160">
        <f>$K$43*EXP($J$49*$F$54)</f>
        <v>1.9249551479881505E-3</v>
      </c>
      <c r="G100" s="160">
        <f>$K$43*EXP($J$49*$G$54)</f>
        <v>2.8458447803046596E-3</v>
      </c>
      <c r="H100" s="160">
        <f>$K$43*EXP($J$49*$H$54)</f>
        <v>4.2072837499885132E-3</v>
      </c>
      <c r="I100" s="160">
        <f>$K$43*EXP($J$49*$I$54)</f>
        <v>6.2200288207645673E-3</v>
      </c>
      <c r="J100" s="160">
        <f>$K$43*EXP($J$49*$J$54)</f>
        <v>9.1956618165455369E-3</v>
      </c>
      <c r="K100" s="160">
        <f>$K$43*EXP($J$49*$K$54)</f>
        <v>1.3594823863513765E-2</v>
      </c>
      <c r="L100" s="160">
        <f>$K$43*EXP($J$49*$L$54)</f>
        <v>2.0098524670342097E-2</v>
      </c>
      <c r="M100" s="160">
        <f>$K$43*EXP($J$49*$M$54)</f>
        <v>2.9713565837986785E-2</v>
      </c>
      <c r="N100" s="160">
        <f>$K$43*EXP($J$49*$N$54)</f>
        <v>4.3928398192888241E-2</v>
      </c>
      <c r="O100" s="160">
        <f>$K$43*EXP($J$49*$O$54)</f>
        <v>6.494354054692246E-2</v>
      </c>
      <c r="P100" s="160">
        <f>$K$43*EXP($J$49*$P$54)</f>
        <v>9.6012229725521314E-2</v>
      </c>
      <c r="Q100" s="160">
        <f>$K$43*EXP($J$49*$Q$54)</f>
        <v>0.14194403599240057</v>
      </c>
      <c r="R100" s="160">
        <f>$K$43*EXP($J$49*$R$54)</f>
        <v>0.2098494057622774</v>
      </c>
      <c r="S100" s="160">
        <f>$K$43*EXP($J$49*$S$54)</f>
        <v>0.31024039010091681</v>
      </c>
    </row>
    <row r="101" spans="1:32" s="161" customFormat="1" x14ac:dyDescent="0.2">
      <c r="A101" s="161" t="s">
        <v>419</v>
      </c>
      <c r="B101" s="161">
        <f>$Q$43*EXP($P$49*$B$54)</f>
        <v>1.1668847357225564E-3</v>
      </c>
      <c r="C101" s="161">
        <f>$Q$43*EXP($P$49*$C$54)</f>
        <v>1.6714335008228311E-3</v>
      </c>
      <c r="D101" s="161">
        <f>$Q$43*EXP($P$49*$D$54)</f>
        <v>2.394143879123554E-3</v>
      </c>
      <c r="E101" s="161">
        <f>$Q$43*EXP($P$49*$E$54)</f>
        <v>3.4293466722564829E-3</v>
      </c>
      <c r="F101" s="161">
        <f>$Q$43*EXP($P$49*$F$54)</f>
        <v>4.9121603346670446E-3</v>
      </c>
      <c r="G101" s="161">
        <f>$Q$43*EXP($P$49*$G$54)</f>
        <v>7.0361271284362006E-3</v>
      </c>
      <c r="H101" s="161">
        <f>$Q$43*EXP($P$49*$H$54)</f>
        <v>1.0078474967139189E-2</v>
      </c>
      <c r="I101" s="161">
        <f>$Q$43*EXP($P$49*$I$54)</f>
        <v>1.4436302216987759E-2</v>
      </c>
      <c r="J101" s="161">
        <f>$Q$43*EXP($P$49*$J$54)</f>
        <v>2.0678408427834079E-2</v>
      </c>
      <c r="K101" s="161">
        <f>$Q$43*EXP($P$49*$K$54)</f>
        <v>2.9619536130599262E-2</v>
      </c>
      <c r="L101" s="161">
        <f>$Q$43*EXP($P$49*$L$54)</f>
        <v>4.2426714012040075E-2</v>
      </c>
      <c r="M101" s="161">
        <f>$Q$43*EXP($P$49*$M$54)</f>
        <v>6.0771581766936311E-2</v>
      </c>
      <c r="N101" s="161">
        <f>$Q$43*EXP($P$49*$N$54)</f>
        <v>8.7048578624480663E-2</v>
      </c>
      <c r="O101" s="161">
        <f>$Q$43*EXP($P$49*$O$54)</f>
        <v>0.12468747431328195</v>
      </c>
      <c r="P101" s="161">
        <f>$Q$43*EXP($P$49*$P$54)</f>
        <v>0.17860103514950545</v>
      </c>
      <c r="Q101" s="161">
        <f>$Q$43*EXP($P$49*$Q$54)</f>
        <v>0.25582625626315225</v>
      </c>
    </row>
    <row r="102" spans="1:32" s="169" customFormat="1" x14ac:dyDescent="0.2">
      <c r="A102" s="169" t="s">
        <v>420</v>
      </c>
      <c r="B102" s="169">
        <f>$W$43*EXP($V$49*$B$54)</f>
        <v>2.5609863578621985E-3</v>
      </c>
      <c r="C102" s="169">
        <f>$W$43*EXP($V$49*$C$54)</f>
        <v>3.2889202992821835E-3</v>
      </c>
      <c r="D102" s="169">
        <f>$W$43*EXP($V$49*$D$54)</f>
        <v>4.2237619508680123E-3</v>
      </c>
      <c r="E102" s="169">
        <f>$W$43*EXP($V$49*$E$54)</f>
        <v>5.4243226938317807E-3</v>
      </c>
      <c r="F102" s="169">
        <f>$W$43*EXP($V$49*$F$54)</f>
        <v>6.9661304375289853E-3</v>
      </c>
      <c r="G102" s="169">
        <f>$W$43*EXP($V$49*$G$54)</f>
        <v>8.9461811200594269E-3</v>
      </c>
      <c r="H102" s="169">
        <f>$W$43*EXP($V$49*$H$54)</f>
        <v>1.1489040773875796E-2</v>
      </c>
      <c r="I102" s="169">
        <f>$W$43*EXP($V$49*$I$54)</f>
        <v>1.4754682040564775E-2</v>
      </c>
      <c r="J102" s="169">
        <f>$W$43*EXP($V$49*$J$54)</f>
        <v>1.8948548134077529E-2</v>
      </c>
      <c r="K102" s="169">
        <f>$W$43*EXP($V$49*$K$54)</f>
        <v>2.4334477381642662E-2</v>
      </c>
      <c r="L102" s="169">
        <f>$W$43*EXP($V$49*$L$54)</f>
        <v>3.1251301432045422E-2</v>
      </c>
      <c r="M102" s="169">
        <f>$W$43*EXP($V$49*$M$54)</f>
        <v>4.01341613333073E-2</v>
      </c>
      <c r="N102" s="169">
        <f>$W$43*EXP($V$49*$N$54)</f>
        <v>5.1541882485452536E-2</v>
      </c>
      <c r="O102" s="169">
        <f>$W$43*EXP($V$49*$O$54)</f>
        <v>6.619213064107346E-2</v>
      </c>
      <c r="P102" s="169">
        <f>$W$43*EXP($V$49*$P$54)</f>
        <v>8.5006560636227607E-2</v>
      </c>
      <c r="Q102" s="169">
        <f>$W$43*EXP($V$49*$Q$54)</f>
        <v>0.1091687981821317</v>
      </c>
      <c r="R102" s="169">
        <f>$W$43*EXP($V$49*$R$54)</f>
        <v>0.14019890238274069</v>
      </c>
      <c r="S102" s="169">
        <f>$W$43*EXP($V$49*$S$54)</f>
        <v>0.18004899345445402</v>
      </c>
      <c r="T102" s="169">
        <f>$W$43*EXP($V$49*$T$54)</f>
        <v>0.23122606163821724</v>
      </c>
      <c r="U102" s="169">
        <f>$W$43*EXP($V$49*$U$54)</f>
        <v>0.29694968327743304</v>
      </c>
      <c r="V102" s="169">
        <f>$W$43*EXP($V$49*$V$54)</f>
        <v>0.38135456606329787</v>
      </c>
      <c r="W102" s="169">
        <f>$W$43*EXP($V$49*$W$54)</f>
        <v>0.48975066567575093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27569-203C-B047-BACE-A4DC763C8FB1}">
  <sheetPr codeName="Sheet52"/>
  <dimension ref="A42:AF98"/>
  <sheetViews>
    <sheetView workbookViewId="0"/>
  </sheetViews>
  <sheetFormatPr baseColWidth="10" defaultRowHeight="15" x14ac:dyDescent="0.2"/>
  <sheetData>
    <row r="42" spans="9:18" x14ac:dyDescent="0.2">
      <c r="I42" t="s">
        <v>249</v>
      </c>
      <c r="O42" t="s">
        <v>249</v>
      </c>
    </row>
    <row r="43" spans="9:18" x14ac:dyDescent="0.2">
      <c r="I43" t="s">
        <v>250</v>
      </c>
      <c r="J43" s="159">
        <f t="array" ref="J43:K47">LOGEST($B$93:$S$93,$B$54:$S$54,TRUE,TRUE)</f>
        <v>1.0003608559665533</v>
      </c>
      <c r="K43" s="159">
        <v>1.5181280790167034E-3</v>
      </c>
      <c r="L43" t="s">
        <v>255</v>
      </c>
      <c r="O43" t="s">
        <v>250</v>
      </c>
      <c r="P43" s="159">
        <f t="array" ref="P43:Q47">LOGEST($B$94:$R$94,$B$54:$R$54,TRUE,TRUE)</f>
        <v>1.0003333891352642</v>
      </c>
      <c r="Q43" s="159">
        <v>3.5885062988135989E-3</v>
      </c>
      <c r="R43" t="s">
        <v>255</v>
      </c>
    </row>
    <row r="44" spans="9:18" x14ac:dyDescent="0.2">
      <c r="I44" t="s">
        <v>251</v>
      </c>
      <c r="J44" s="159">
        <v>1.2527345584655541E-5</v>
      </c>
      <c r="K44" s="159">
        <v>0.1122878270434373</v>
      </c>
      <c r="L44" t="s">
        <v>256</v>
      </c>
      <c r="O44" t="s">
        <v>251</v>
      </c>
      <c r="P44" s="159">
        <v>1.233993347039402E-5</v>
      </c>
      <c r="Q44" s="159">
        <v>0.10419452904816068</v>
      </c>
      <c r="R44" t="s">
        <v>256</v>
      </c>
    </row>
    <row r="45" spans="9:18" x14ac:dyDescent="0.2">
      <c r="I45" t="s">
        <v>252</v>
      </c>
      <c r="J45" s="159">
        <v>0.98107528501732755</v>
      </c>
      <c r="K45" s="159">
        <v>0.24819710447634205</v>
      </c>
      <c r="L45" t="s">
        <v>257</v>
      </c>
      <c r="O45" t="s">
        <v>252</v>
      </c>
      <c r="P45" s="159">
        <v>0.97985712152064075</v>
      </c>
      <c r="Q45" s="159">
        <v>0.22435391968575169</v>
      </c>
      <c r="R45" t="s">
        <v>257</v>
      </c>
    </row>
    <row r="46" spans="9:18" x14ac:dyDescent="0.2">
      <c r="I46" t="s">
        <v>253</v>
      </c>
      <c r="J46" s="159">
        <v>829.4552691889769</v>
      </c>
      <c r="K46" s="159">
        <v>16</v>
      </c>
      <c r="L46" t="s">
        <v>258</v>
      </c>
      <c r="O46" t="s">
        <v>253</v>
      </c>
      <c r="P46" s="159">
        <v>729.68006225479655</v>
      </c>
      <c r="Q46" s="159">
        <v>15</v>
      </c>
      <c r="R46" t="s">
        <v>258</v>
      </c>
    </row>
    <row r="47" spans="9:18" x14ac:dyDescent="0.2">
      <c r="I47" t="s">
        <v>254</v>
      </c>
      <c r="J47" s="159">
        <v>51.095939816536251</v>
      </c>
      <c r="K47" s="159">
        <v>0.98562884272704399</v>
      </c>
      <c r="L47" t="s">
        <v>259</v>
      </c>
      <c r="O47" t="s">
        <v>254</v>
      </c>
      <c r="P47" s="159">
        <v>36.728213368769595</v>
      </c>
      <c r="Q47" s="159">
        <v>0.75502021917541084</v>
      </c>
      <c r="R47" t="s">
        <v>259</v>
      </c>
    </row>
    <row r="49" spans="1:32" x14ac:dyDescent="0.2">
      <c r="I49" t="s">
        <v>260</v>
      </c>
      <c r="J49">
        <f>LN($J$43)</f>
        <v>3.6079087369799139E-4</v>
      </c>
      <c r="O49" t="s">
        <v>260</v>
      </c>
      <c r="P49">
        <f>LN($P$43)</f>
        <v>3.3333357345518698E-4</v>
      </c>
    </row>
    <row r="50" spans="1:32" x14ac:dyDescent="0.2">
      <c r="I50" t="s">
        <v>261</v>
      </c>
      <c r="J50">
        <f>ROUND(LN(2)/$J$49, 1)</f>
        <v>1921.2</v>
      </c>
      <c r="O50" t="s">
        <v>261</v>
      </c>
      <c r="P50">
        <f>ROUND(LN(2)/$P$49, 1)</f>
        <v>2079.4</v>
      </c>
    </row>
    <row r="51" spans="1:32" x14ac:dyDescent="0.2">
      <c r="I51" t="s">
        <v>204</v>
      </c>
      <c r="J51" s="155">
        <f>ROUND($J$50/60, 1)</f>
        <v>32</v>
      </c>
      <c r="O51" t="s">
        <v>204</v>
      </c>
      <c r="P51" s="155">
        <f>ROUND($P$50/60, 1)</f>
        <v>34.700000000000003</v>
      </c>
    </row>
    <row r="54" spans="1:32" x14ac:dyDescent="0.2">
      <c r="A54" t="s">
        <v>206</v>
      </c>
      <c r="B54" s="166">
        <v>0</v>
      </c>
      <c r="C54" s="166">
        <v>900.1</v>
      </c>
      <c r="D54" s="166">
        <v>1800.2</v>
      </c>
      <c r="E54" s="166">
        <v>2700.3</v>
      </c>
      <c r="F54" s="166">
        <v>3600.4</v>
      </c>
      <c r="G54" s="166">
        <v>4500.5</v>
      </c>
      <c r="H54" s="166">
        <v>5400.6</v>
      </c>
      <c r="I54" s="166">
        <v>6300.7</v>
      </c>
      <c r="J54" s="166">
        <v>7200.8</v>
      </c>
      <c r="K54" s="166">
        <v>8100.9</v>
      </c>
      <c r="L54" s="166">
        <v>9001</v>
      </c>
      <c r="M54" s="166">
        <v>9901.1</v>
      </c>
      <c r="N54" s="166">
        <v>10801.2</v>
      </c>
      <c r="O54" s="166">
        <v>11701.3</v>
      </c>
      <c r="P54" s="166">
        <v>12601.4</v>
      </c>
      <c r="Q54" s="166">
        <v>13501.5</v>
      </c>
      <c r="R54" s="166">
        <v>14401.6</v>
      </c>
      <c r="S54" s="166">
        <v>15301.7</v>
      </c>
      <c r="T54" s="166">
        <v>16201.8</v>
      </c>
      <c r="U54" s="166">
        <v>17101.900000000001</v>
      </c>
      <c r="V54" s="166">
        <v>18002</v>
      </c>
      <c r="W54" s="166">
        <v>18902.099999999999</v>
      </c>
      <c r="X54" s="166">
        <v>19802.2</v>
      </c>
      <c r="Y54" s="166">
        <v>20702.3</v>
      </c>
      <c r="Z54" s="166">
        <v>21602.400000000001</v>
      </c>
      <c r="AA54" s="166">
        <v>22502.5</v>
      </c>
      <c r="AB54" s="166">
        <v>23402.6</v>
      </c>
      <c r="AC54" s="166">
        <v>24302.7</v>
      </c>
      <c r="AD54" s="166">
        <v>25202.799999999999</v>
      </c>
      <c r="AE54" s="166">
        <v>26102.9</v>
      </c>
      <c r="AF54" s="166">
        <v>27003</v>
      </c>
    </row>
    <row r="55" spans="1:32" x14ac:dyDescent="0.2">
      <c r="A55" s="156" t="s">
        <v>421</v>
      </c>
      <c r="B55" s="156">
        <v>0.10949999839067459</v>
      </c>
      <c r="C55" s="156">
        <v>0.10930000245571136</v>
      </c>
      <c r="D55" s="156">
        <v>0.10949999839067459</v>
      </c>
      <c r="E55" s="156">
        <v>0.10999999940395355</v>
      </c>
      <c r="F55" s="156">
        <v>0.11069999635219574</v>
      </c>
      <c r="G55" s="156">
        <v>0.11190000176429749</v>
      </c>
      <c r="H55" s="156">
        <v>0.11389999836683273</v>
      </c>
      <c r="I55" s="156">
        <v>0.11779999732971191</v>
      </c>
      <c r="J55" s="156">
        <v>0.1242000013589859</v>
      </c>
      <c r="K55" s="156">
        <v>0.13420000672340393</v>
      </c>
      <c r="L55" s="156">
        <v>0.14949999749660492</v>
      </c>
      <c r="M55" s="156">
        <v>0.17049999535083771</v>
      </c>
      <c r="N55" s="156">
        <v>0.19869999587535858</v>
      </c>
      <c r="O55" s="156">
        <v>0.23330000042915344</v>
      </c>
      <c r="P55" s="156">
        <v>0.2750999927520752</v>
      </c>
      <c r="Q55" s="156">
        <v>0.32249999046325684</v>
      </c>
      <c r="R55" s="156">
        <v>0.36959999799728394</v>
      </c>
      <c r="S55" s="156">
        <v>0.41659998893737793</v>
      </c>
      <c r="T55" s="156">
        <v>0.45179998874664307</v>
      </c>
      <c r="U55" s="156">
        <v>0.48230001330375671</v>
      </c>
      <c r="V55" s="156">
        <f t="shared" ref="V55:V56" si="0">AVERAGE(U55,W55)</f>
        <v>0.4870000034570694</v>
      </c>
      <c r="W55" s="156">
        <v>0.49169999361038208</v>
      </c>
      <c r="X55" s="156">
        <v>0.49259999394416809</v>
      </c>
      <c r="Y55" s="156">
        <v>0.48629999160766602</v>
      </c>
      <c r="Z55" s="156">
        <v>0.48039999604225159</v>
      </c>
      <c r="AA55" s="156">
        <v>0.48010000586509705</v>
      </c>
      <c r="AB55" s="156">
        <v>0.48019999265670776</v>
      </c>
      <c r="AC55" s="156">
        <v>0.48199999332427979</v>
      </c>
      <c r="AD55" s="156">
        <v>0.4878000020980835</v>
      </c>
      <c r="AE55" s="156">
        <v>0.49959999322891235</v>
      </c>
      <c r="AF55" s="156">
        <v>0.50459998846054077</v>
      </c>
    </row>
    <row r="56" spans="1:32" x14ac:dyDescent="0.2">
      <c r="A56" s="157" t="s">
        <v>422</v>
      </c>
      <c r="B56" s="157">
        <v>0.11249999701976776</v>
      </c>
      <c r="C56" s="157">
        <v>0.1128000020980835</v>
      </c>
      <c r="D56" s="157">
        <v>0.11289999634027481</v>
      </c>
      <c r="E56" s="157">
        <v>0.11370000243186951</v>
      </c>
      <c r="F56" s="157">
        <v>0.11519999802112579</v>
      </c>
      <c r="G56" s="157">
        <v>0.11829999834299088</v>
      </c>
      <c r="H56" s="157">
        <v>0.12370000034570694</v>
      </c>
      <c r="I56" s="157">
        <v>0.13210000097751617</v>
      </c>
      <c r="J56" s="157">
        <v>0.14519999921321869</v>
      </c>
      <c r="K56" s="157">
        <v>0.16410000622272491</v>
      </c>
      <c r="L56" s="157">
        <v>0.19110000133514404</v>
      </c>
      <c r="M56" s="157">
        <v>0.22679999470710754</v>
      </c>
      <c r="N56" s="157">
        <v>0.26570001244544983</v>
      </c>
      <c r="O56" s="157">
        <v>0.31220000982284546</v>
      </c>
      <c r="P56" s="157">
        <v>0.36370000243186951</v>
      </c>
      <c r="Q56" s="157">
        <v>0.41150000691413879</v>
      </c>
      <c r="R56" s="157">
        <v>0.45730000734329224</v>
      </c>
      <c r="S56" s="157">
        <v>0.49919998645782471</v>
      </c>
      <c r="T56" s="157">
        <v>0.52670001983642578</v>
      </c>
      <c r="U56" s="157">
        <v>0.53479999303817749</v>
      </c>
      <c r="V56" s="157">
        <f t="shared" si="0"/>
        <v>0.54734998941421509</v>
      </c>
      <c r="W56" s="157">
        <v>0.55989998579025269</v>
      </c>
      <c r="X56" s="157">
        <v>0.57410001754760742</v>
      </c>
      <c r="Y56" s="157">
        <v>0.57709997892379761</v>
      </c>
      <c r="Z56" s="157">
        <v>0.57929998636245728</v>
      </c>
      <c r="AA56" s="157">
        <v>0.58240002393722534</v>
      </c>
      <c r="AB56" s="157">
        <v>0.58639997243881226</v>
      </c>
      <c r="AC56" s="157">
        <v>0.59030002355575562</v>
      </c>
      <c r="AD56" s="157">
        <v>0.59399998188018799</v>
      </c>
      <c r="AE56" s="157">
        <v>0.60180002450942993</v>
      </c>
      <c r="AF56" s="157">
        <v>0.60439997911453247</v>
      </c>
    </row>
    <row r="57" spans="1:32" x14ac:dyDescent="0.2">
      <c r="A57" s="158" t="s">
        <v>209</v>
      </c>
      <c r="B57" s="158">
        <v>0.10480000078678131</v>
      </c>
      <c r="C57" s="158">
        <v>0.1046999990940094</v>
      </c>
      <c r="D57" s="158">
        <v>0.1046999990940094</v>
      </c>
      <c r="E57" s="158">
        <v>0.10480000078678131</v>
      </c>
      <c r="F57" s="158">
        <v>0.10459999740123749</v>
      </c>
      <c r="G57" s="158">
        <v>0.10450000315904617</v>
      </c>
      <c r="H57" s="158">
        <v>0.10440000146627426</v>
      </c>
      <c r="I57" s="158">
        <v>0.10429999977350235</v>
      </c>
      <c r="J57" s="158">
        <v>0.10419999808073044</v>
      </c>
      <c r="K57" s="158">
        <v>0.10419999808073044</v>
      </c>
      <c r="L57" s="158">
        <v>0.10419999808073044</v>
      </c>
      <c r="M57" s="158">
        <v>0.10409999638795853</v>
      </c>
      <c r="N57" s="158">
        <v>0.10400000214576721</v>
      </c>
      <c r="O57" s="158">
        <v>0.1039000004529953</v>
      </c>
      <c r="P57" s="158">
        <v>0.10379999876022339</v>
      </c>
      <c r="Q57" s="158">
        <v>0.10379999876022339</v>
      </c>
      <c r="R57" s="158">
        <v>0.1039000004529953</v>
      </c>
      <c r="S57" s="158">
        <v>0.10360000282526016</v>
      </c>
      <c r="T57" s="158">
        <v>0.10360000282526016</v>
      </c>
      <c r="U57" s="158">
        <v>0.10379999876022339</v>
      </c>
      <c r="V57" s="158">
        <f>AVERAGE(U57,W57)</f>
        <v>0.10359999909996986</v>
      </c>
      <c r="W57" s="158">
        <v>0.10339999943971634</v>
      </c>
      <c r="X57" s="158">
        <v>0.10329999774694443</v>
      </c>
      <c r="Y57" s="158">
        <v>0.10320000350475311</v>
      </c>
      <c r="Z57" s="158">
        <v>0.10320000350475311</v>
      </c>
      <c r="AA57" s="158">
        <v>0.1031000018119812</v>
      </c>
      <c r="AB57" s="158">
        <v>0.1031000018119812</v>
      </c>
      <c r="AC57" s="158">
        <v>0.10300000011920929</v>
      </c>
      <c r="AD57" s="158">
        <v>0.10300000011920929</v>
      </c>
      <c r="AE57" s="158">
        <v>0.10289999842643738</v>
      </c>
      <c r="AF57" s="158">
        <v>0.10289999842643738</v>
      </c>
    </row>
    <row r="58" spans="1:32" x14ac:dyDescent="0.2">
      <c r="A58" s="158" t="s">
        <v>210</v>
      </c>
      <c r="B58" s="158">
        <v>0.10660000145435333</v>
      </c>
      <c r="C58" s="158">
        <v>0.10649999976158142</v>
      </c>
      <c r="D58" s="158">
        <v>0.10649999976158142</v>
      </c>
      <c r="E58" s="158">
        <v>0.10649999976158142</v>
      </c>
      <c r="F58" s="158">
        <v>0.10639999806880951</v>
      </c>
      <c r="G58" s="158">
        <v>0.1062999963760376</v>
      </c>
      <c r="H58" s="158">
        <v>0.1062999963760376</v>
      </c>
      <c r="I58" s="158">
        <v>0.10610000044107437</v>
      </c>
      <c r="J58" s="158">
        <v>0.10610000044107437</v>
      </c>
      <c r="K58" s="158">
        <v>0.10610000044107437</v>
      </c>
      <c r="L58" s="158">
        <v>0.10610000044107437</v>
      </c>
      <c r="M58" s="158">
        <v>0.10599999874830246</v>
      </c>
      <c r="N58" s="158">
        <v>0.10589999705553055</v>
      </c>
      <c r="O58" s="158">
        <v>0.10589999705553055</v>
      </c>
      <c r="P58" s="158">
        <v>0.10570000112056732</v>
      </c>
      <c r="Q58" s="158">
        <v>0.10570000112056732</v>
      </c>
      <c r="R58" s="158">
        <v>0.10570000112056732</v>
      </c>
      <c r="S58" s="158">
        <v>0.10559999942779541</v>
      </c>
      <c r="T58" s="158">
        <v>0.10559999942779541</v>
      </c>
      <c r="U58" s="158">
        <v>0.10559999942779541</v>
      </c>
      <c r="V58" s="158">
        <f t="shared" ref="V58:V92" si="1">AVERAGE(U58,W58)</f>
        <v>0.1055000014603138</v>
      </c>
      <c r="W58" s="158">
        <v>0.10540000349283218</v>
      </c>
      <c r="X58" s="158">
        <v>0.10540000349283218</v>
      </c>
      <c r="Y58" s="158">
        <v>0.10530000180006027</v>
      </c>
      <c r="Z58" s="158">
        <v>0.10530000180006027</v>
      </c>
      <c r="AA58" s="158">
        <v>0.10520000010728836</v>
      </c>
      <c r="AB58" s="158">
        <v>0.10520000010728836</v>
      </c>
      <c r="AC58" s="158">
        <v>0.10520000010728836</v>
      </c>
      <c r="AD58" s="158">
        <v>0.10509999841451645</v>
      </c>
      <c r="AE58" s="158">
        <v>0.10509999841451645</v>
      </c>
      <c r="AF58" s="158">
        <v>0.10509999841451645</v>
      </c>
    </row>
    <row r="59" spans="1:32" x14ac:dyDescent="0.2">
      <c r="A59" s="158" t="s">
        <v>211</v>
      </c>
      <c r="B59" s="158">
        <v>0.10740000009536743</v>
      </c>
      <c r="C59" s="158">
        <v>0.10740000009536743</v>
      </c>
      <c r="D59" s="158">
        <v>0.10729999840259552</v>
      </c>
      <c r="E59" s="158">
        <v>0.10729999840259552</v>
      </c>
      <c r="F59" s="158">
        <v>0.10719999670982361</v>
      </c>
      <c r="G59" s="158">
        <v>0.10719999670982361</v>
      </c>
      <c r="H59" s="158">
        <v>0.10710000246763229</v>
      </c>
      <c r="I59" s="158">
        <v>0.10689999908208847</v>
      </c>
      <c r="J59" s="158">
        <v>0.10689999908208847</v>
      </c>
      <c r="K59" s="158">
        <v>0.10710000246763229</v>
      </c>
      <c r="L59" s="158">
        <v>0.10679999738931656</v>
      </c>
      <c r="M59" s="158">
        <v>0.10670000314712524</v>
      </c>
      <c r="N59" s="158">
        <v>0.10670000314712524</v>
      </c>
      <c r="O59" s="158">
        <v>0.10660000145435333</v>
      </c>
      <c r="P59" s="158">
        <v>0.10649999976158142</v>
      </c>
      <c r="Q59" s="158">
        <v>0.10649999976158142</v>
      </c>
      <c r="R59" s="158">
        <v>0.10639999806880951</v>
      </c>
      <c r="S59" s="158">
        <v>0.1062999963760376</v>
      </c>
      <c r="T59" s="158">
        <v>0.1062999963760376</v>
      </c>
      <c r="U59" s="158">
        <v>0.1062999963760376</v>
      </c>
      <c r="V59" s="158">
        <f t="shared" si="1"/>
        <v>0.10624999925494194</v>
      </c>
      <c r="W59" s="158">
        <v>0.10620000213384628</v>
      </c>
      <c r="X59" s="158">
        <v>0.10610000044107437</v>
      </c>
      <c r="Y59" s="158">
        <v>0.10610000044107437</v>
      </c>
      <c r="Z59" s="158">
        <v>0.10599999874830246</v>
      </c>
      <c r="AA59" s="158">
        <v>0.10589999705553055</v>
      </c>
      <c r="AB59" s="158">
        <v>0.10589999705553055</v>
      </c>
      <c r="AC59" s="158">
        <v>0.10599999874830246</v>
      </c>
      <c r="AD59" s="158">
        <v>0.10580000281333923</v>
      </c>
      <c r="AE59" s="158">
        <v>0.10580000281333923</v>
      </c>
      <c r="AF59" s="158">
        <v>0.10580000281333923</v>
      </c>
    </row>
    <row r="60" spans="1:32" x14ac:dyDescent="0.2">
      <c r="A60" s="158" t="s">
        <v>212</v>
      </c>
      <c r="B60" s="158">
        <v>0.10700000077486038</v>
      </c>
      <c r="C60" s="158">
        <v>0.10689999908208847</v>
      </c>
      <c r="D60" s="158">
        <v>0.10679999738931656</v>
      </c>
      <c r="E60" s="158">
        <v>0.10689999908208847</v>
      </c>
      <c r="F60" s="158">
        <v>0.10670000314712524</v>
      </c>
      <c r="G60" s="158">
        <v>0.10689999908208847</v>
      </c>
      <c r="H60" s="158">
        <v>0.10660000145435333</v>
      </c>
      <c r="I60" s="158">
        <v>0.10639999806880951</v>
      </c>
      <c r="J60" s="158">
        <v>0.10639999806880951</v>
      </c>
      <c r="K60" s="158">
        <v>0.1062999963760376</v>
      </c>
      <c r="L60" s="158">
        <v>0.1062999963760376</v>
      </c>
      <c r="M60" s="158">
        <v>0.1062999963760376</v>
      </c>
      <c r="N60" s="158">
        <v>0.10620000213384628</v>
      </c>
      <c r="O60" s="158">
        <v>0.10610000044107437</v>
      </c>
      <c r="P60" s="158">
        <v>0.10599999874830246</v>
      </c>
      <c r="Q60" s="158">
        <v>0.10599999874830246</v>
      </c>
      <c r="R60" s="158">
        <v>0.10599999874830246</v>
      </c>
      <c r="S60" s="158">
        <v>0.10580000281333923</v>
      </c>
      <c r="T60" s="158">
        <v>0.10580000281333923</v>
      </c>
      <c r="U60" s="158">
        <v>0.10580000281333923</v>
      </c>
      <c r="V60" s="158">
        <f t="shared" si="1"/>
        <v>0.10575000196695328</v>
      </c>
      <c r="W60" s="158">
        <v>0.10570000112056732</v>
      </c>
      <c r="X60" s="158">
        <v>0.10559999942779541</v>
      </c>
      <c r="Y60" s="158">
        <v>0.10559999942779541</v>
      </c>
      <c r="Z60" s="158">
        <v>0.10559999942779541</v>
      </c>
      <c r="AA60" s="158">
        <v>0.10540000349283218</v>
      </c>
      <c r="AB60" s="158">
        <v>0.10540000349283218</v>
      </c>
      <c r="AC60" s="158">
        <v>0.10540000349283218</v>
      </c>
      <c r="AD60" s="158">
        <v>0.10540000349283218</v>
      </c>
      <c r="AE60" s="158">
        <v>0.10530000180006027</v>
      </c>
      <c r="AF60" s="158">
        <v>0.10530000180006027</v>
      </c>
    </row>
    <row r="61" spans="1:32" x14ac:dyDescent="0.2">
      <c r="A61" s="158" t="s">
        <v>213</v>
      </c>
      <c r="B61" s="158">
        <v>0.10570000112056732</v>
      </c>
      <c r="C61" s="158">
        <v>0.1054999977350235</v>
      </c>
      <c r="D61" s="158">
        <v>0.1054999977350235</v>
      </c>
      <c r="E61" s="158">
        <v>0.1054999977350235</v>
      </c>
      <c r="F61" s="158">
        <v>0.10540000349283218</v>
      </c>
      <c r="G61" s="158">
        <v>0.10530000180006027</v>
      </c>
      <c r="H61" s="158">
        <v>0.10520000010728836</v>
      </c>
      <c r="I61" s="158">
        <v>0.10520000010728836</v>
      </c>
      <c r="J61" s="158">
        <v>0.10499999672174454</v>
      </c>
      <c r="K61" s="158">
        <v>0.10499999672174454</v>
      </c>
      <c r="L61" s="158">
        <v>0.10499999672174454</v>
      </c>
      <c r="M61" s="158">
        <v>0.10490000247955322</v>
      </c>
      <c r="N61" s="158">
        <v>0.10490000247955322</v>
      </c>
      <c r="O61" s="158">
        <v>0.10480000078678131</v>
      </c>
      <c r="P61" s="158">
        <v>0.10459999740123749</v>
      </c>
      <c r="Q61" s="158">
        <v>0.10459999740123749</v>
      </c>
      <c r="R61" s="158">
        <v>0.10459999740123749</v>
      </c>
      <c r="S61" s="158">
        <v>0.10440000146627426</v>
      </c>
      <c r="T61" s="158">
        <v>0.10450000315904617</v>
      </c>
      <c r="U61" s="158">
        <v>0.10450000315904617</v>
      </c>
      <c r="V61" s="158">
        <f t="shared" si="1"/>
        <v>0.10445000231266022</v>
      </c>
      <c r="W61" s="158">
        <v>0.10440000146627426</v>
      </c>
      <c r="X61" s="158">
        <v>0.10440000146627426</v>
      </c>
      <c r="Y61" s="158">
        <v>0.10429999977350235</v>
      </c>
      <c r="Z61" s="158">
        <v>0.10419999808073044</v>
      </c>
      <c r="AA61" s="158">
        <v>0.10419999808073044</v>
      </c>
      <c r="AB61" s="158">
        <v>0.10419999808073044</v>
      </c>
      <c r="AC61" s="158">
        <v>0.10440000146627426</v>
      </c>
      <c r="AD61" s="158">
        <v>0.10409999638795853</v>
      </c>
      <c r="AE61" s="158">
        <v>0.10400000214576721</v>
      </c>
      <c r="AF61" s="158">
        <v>0.10400000214576721</v>
      </c>
    </row>
    <row r="62" spans="1:32" x14ac:dyDescent="0.2">
      <c r="A62" s="158" t="s">
        <v>214</v>
      </c>
      <c r="B62" s="158">
        <v>0.10689999908208847</v>
      </c>
      <c r="C62" s="158">
        <v>0.10679999738931656</v>
      </c>
      <c r="D62" s="158">
        <v>0.10679999738931656</v>
      </c>
      <c r="E62" s="158">
        <v>0.10679999738931656</v>
      </c>
      <c r="F62" s="158">
        <v>0.10670000314712524</v>
      </c>
      <c r="G62" s="158">
        <v>0.10660000145435333</v>
      </c>
      <c r="H62" s="158">
        <v>0.10649999976158142</v>
      </c>
      <c r="I62" s="158">
        <v>0.1062999963760376</v>
      </c>
      <c r="J62" s="158">
        <v>0.1062999963760376</v>
      </c>
      <c r="K62" s="158">
        <v>0.10620000213384628</v>
      </c>
      <c r="L62" s="158">
        <v>0.1062999963760376</v>
      </c>
      <c r="M62" s="158">
        <v>0.10620000213384628</v>
      </c>
      <c r="N62" s="158">
        <v>0.10610000044107437</v>
      </c>
      <c r="O62" s="158">
        <v>0.10610000044107437</v>
      </c>
      <c r="P62" s="158">
        <v>0.10580000281333923</v>
      </c>
      <c r="Q62" s="158">
        <v>0.10589999705553055</v>
      </c>
      <c r="R62" s="158">
        <v>0.10580000281333923</v>
      </c>
      <c r="S62" s="158">
        <v>0.10570000112056732</v>
      </c>
      <c r="T62" s="158">
        <v>0.10570000112056732</v>
      </c>
      <c r="U62" s="158">
        <v>0.10570000112056732</v>
      </c>
      <c r="V62" s="158">
        <f t="shared" si="1"/>
        <v>0.10565000027418137</v>
      </c>
      <c r="W62" s="158">
        <v>0.10559999942779541</v>
      </c>
      <c r="X62" s="158">
        <v>0.1054999977350235</v>
      </c>
      <c r="Y62" s="158">
        <v>0.1054999977350235</v>
      </c>
      <c r="Z62" s="158">
        <v>0.10540000349283218</v>
      </c>
      <c r="AA62" s="158">
        <v>0.10540000349283218</v>
      </c>
      <c r="AB62" s="158">
        <v>0.10540000349283218</v>
      </c>
      <c r="AC62" s="158">
        <v>0.10540000349283218</v>
      </c>
      <c r="AD62" s="158">
        <v>0.10530000180006027</v>
      </c>
      <c r="AE62" s="158">
        <v>0.10520000010728836</v>
      </c>
      <c r="AF62" s="158">
        <v>0.10530000180006027</v>
      </c>
    </row>
    <row r="63" spans="1:32" x14ac:dyDescent="0.2">
      <c r="A63" s="158" t="s">
        <v>215</v>
      </c>
      <c r="B63" s="158">
        <v>0.10819999873638153</v>
      </c>
      <c r="C63" s="158">
        <v>0.10790000110864639</v>
      </c>
      <c r="D63" s="158">
        <v>0.10779999941587448</v>
      </c>
      <c r="E63" s="158">
        <v>0.1080000028014183</v>
      </c>
      <c r="F63" s="158">
        <v>0.10760000348091125</v>
      </c>
      <c r="G63" s="158">
        <v>0.10750000178813934</v>
      </c>
      <c r="H63" s="158">
        <v>0.10740000009536743</v>
      </c>
      <c r="I63" s="158">
        <v>0.10719999670982361</v>
      </c>
      <c r="J63" s="158">
        <v>0.10719999670982361</v>
      </c>
      <c r="K63" s="158">
        <v>0.10710000246763229</v>
      </c>
      <c r="L63" s="158">
        <v>0.10719999670982361</v>
      </c>
      <c r="M63" s="158">
        <v>0.10700000077486038</v>
      </c>
      <c r="N63" s="158">
        <v>0.10700000077486038</v>
      </c>
      <c r="O63" s="158">
        <v>0.10700000077486038</v>
      </c>
      <c r="P63" s="158">
        <v>0.10679999738931656</v>
      </c>
      <c r="Q63" s="158">
        <v>0.10679999738931656</v>
      </c>
      <c r="R63" s="158">
        <v>0.10670000314712524</v>
      </c>
      <c r="S63" s="158">
        <v>0.10660000145435333</v>
      </c>
      <c r="T63" s="158">
        <v>0.10660000145435333</v>
      </c>
      <c r="U63" s="158">
        <v>0.10660000145435333</v>
      </c>
      <c r="V63" s="158">
        <f t="shared" si="1"/>
        <v>0.10655000060796738</v>
      </c>
      <c r="W63" s="158">
        <v>0.10649999976158142</v>
      </c>
      <c r="X63" s="158">
        <v>0.10649999976158142</v>
      </c>
      <c r="Y63" s="158">
        <v>0.1062999963760376</v>
      </c>
      <c r="Z63" s="158">
        <v>0.1062999963760376</v>
      </c>
      <c r="AA63" s="158">
        <v>0.1062999963760376</v>
      </c>
      <c r="AB63" s="158">
        <v>0.1062999963760376</v>
      </c>
      <c r="AC63" s="158">
        <v>0.1062999963760376</v>
      </c>
      <c r="AD63" s="158">
        <v>0.10620000213384628</v>
      </c>
      <c r="AE63" s="158">
        <v>0.10610000044107437</v>
      </c>
      <c r="AF63" s="158">
        <v>0.10610000044107437</v>
      </c>
    </row>
    <row r="64" spans="1:32" x14ac:dyDescent="0.2">
      <c r="A64" s="158" t="s">
        <v>216</v>
      </c>
      <c r="B64" s="158">
        <v>0.10639999806880951</v>
      </c>
      <c r="C64" s="158">
        <v>0.10599999874830246</v>
      </c>
      <c r="D64" s="158">
        <v>0.10589999705553055</v>
      </c>
      <c r="E64" s="158">
        <v>0.10840000212192535</v>
      </c>
      <c r="F64" s="158">
        <v>0.10869999974966049</v>
      </c>
      <c r="G64" s="158">
        <v>0.10819999873638153</v>
      </c>
      <c r="H64" s="158">
        <v>0.10819999873638153</v>
      </c>
      <c r="I64" s="158">
        <v>0.1080000028014183</v>
      </c>
      <c r="J64" s="158">
        <v>0.10779999941587448</v>
      </c>
      <c r="K64" s="158">
        <v>0.1080000028014183</v>
      </c>
      <c r="L64" s="158">
        <v>0.10830000042915344</v>
      </c>
      <c r="M64" s="158">
        <v>0.1080000028014183</v>
      </c>
      <c r="N64" s="158">
        <v>0.10809999704360962</v>
      </c>
      <c r="O64" s="158">
        <v>0.10779999941587448</v>
      </c>
      <c r="P64" s="158">
        <v>0.10740000009536743</v>
      </c>
      <c r="Q64" s="158">
        <v>0.10760000348091125</v>
      </c>
      <c r="R64" s="158">
        <v>0.10760000348091125</v>
      </c>
      <c r="S64" s="158">
        <v>0.1080000028014183</v>
      </c>
      <c r="T64" s="158">
        <v>0.10750000178813934</v>
      </c>
      <c r="U64" s="158">
        <v>0.10750000178813934</v>
      </c>
      <c r="V64" s="158">
        <f t="shared" si="1"/>
        <v>0.1075500026345253</v>
      </c>
      <c r="W64" s="158">
        <v>0.10760000348091125</v>
      </c>
      <c r="X64" s="158">
        <v>0.10779999941587448</v>
      </c>
      <c r="Y64" s="158">
        <v>0.10740000009536743</v>
      </c>
      <c r="Z64" s="158">
        <v>0.10750000178813934</v>
      </c>
      <c r="AA64" s="158">
        <v>0.10920000076293945</v>
      </c>
      <c r="AB64" s="158">
        <v>0.10830000042915344</v>
      </c>
      <c r="AC64" s="158">
        <v>0.10909999907016754</v>
      </c>
      <c r="AD64" s="158">
        <v>0.10819999873638153</v>
      </c>
      <c r="AE64" s="158">
        <v>0.10740000009536743</v>
      </c>
      <c r="AF64" s="158">
        <v>0.10849999636411667</v>
      </c>
    </row>
    <row r="65" spans="1:32" x14ac:dyDescent="0.2">
      <c r="A65" s="158" t="s">
        <v>217</v>
      </c>
      <c r="B65" s="158">
        <v>0.10580000281333923</v>
      </c>
      <c r="C65" s="158">
        <v>0.10570000112056732</v>
      </c>
      <c r="D65" s="158">
        <v>0.10570000112056732</v>
      </c>
      <c r="E65" s="158">
        <v>0.10580000281333923</v>
      </c>
      <c r="F65" s="158">
        <v>0.1054999977350235</v>
      </c>
      <c r="G65" s="158">
        <v>0.10559999942779541</v>
      </c>
      <c r="H65" s="158">
        <v>0.10540000349283218</v>
      </c>
      <c r="I65" s="158">
        <v>0.10530000180006027</v>
      </c>
      <c r="J65" s="158">
        <v>0.10520000010728836</v>
      </c>
      <c r="K65" s="158">
        <v>0.10520000010728836</v>
      </c>
      <c r="L65" s="158">
        <v>0.10520000010728836</v>
      </c>
      <c r="M65" s="158">
        <v>0.10509999841451645</v>
      </c>
      <c r="N65" s="158">
        <v>0.10509999841451645</v>
      </c>
      <c r="O65" s="158">
        <v>0.10499999672174454</v>
      </c>
      <c r="P65" s="158">
        <v>0.10480000078678131</v>
      </c>
      <c r="Q65" s="158">
        <v>0.10480000078678131</v>
      </c>
      <c r="R65" s="158">
        <v>0.10480000078678131</v>
      </c>
      <c r="S65" s="158">
        <v>0.1046999990940094</v>
      </c>
      <c r="T65" s="158">
        <v>0.1046999990940094</v>
      </c>
      <c r="U65" s="158">
        <v>0.1046999990940094</v>
      </c>
      <c r="V65" s="158">
        <f t="shared" si="1"/>
        <v>0.10464999824762344</v>
      </c>
      <c r="W65" s="158">
        <v>0.10459999740123749</v>
      </c>
      <c r="X65" s="158">
        <v>0.10459999740123749</v>
      </c>
      <c r="Y65" s="158">
        <v>0.10450000315904617</v>
      </c>
      <c r="Z65" s="158">
        <v>0.10450000315904617</v>
      </c>
      <c r="AA65" s="158">
        <v>0.10429999977350235</v>
      </c>
      <c r="AB65" s="158">
        <v>0.10429999977350235</v>
      </c>
      <c r="AC65" s="158">
        <v>0.10429999977350235</v>
      </c>
      <c r="AD65" s="158">
        <v>0.10429999977350235</v>
      </c>
      <c r="AE65" s="158">
        <v>0.10419999808073044</v>
      </c>
      <c r="AF65" s="158">
        <v>0.10419999808073044</v>
      </c>
    </row>
    <row r="66" spans="1:32" x14ac:dyDescent="0.2">
      <c r="A66" s="158" t="s">
        <v>218</v>
      </c>
      <c r="B66" s="158">
        <v>0.10999999940395355</v>
      </c>
      <c r="C66" s="158">
        <v>0.10859999805688858</v>
      </c>
      <c r="D66" s="158">
        <v>0.1088000014424324</v>
      </c>
      <c r="E66" s="158">
        <v>0.10869999974966049</v>
      </c>
      <c r="F66" s="158">
        <v>0.10859999805688858</v>
      </c>
      <c r="G66" s="158">
        <v>0.10890000313520432</v>
      </c>
      <c r="H66" s="158">
        <v>0.10849999636411667</v>
      </c>
      <c r="I66" s="158">
        <v>0.10830000042915344</v>
      </c>
      <c r="J66" s="158">
        <v>0.10840000212192535</v>
      </c>
      <c r="K66" s="158">
        <v>0.10809999704360962</v>
      </c>
      <c r="L66" s="158">
        <v>0.10869999974966049</v>
      </c>
      <c r="M66" s="158">
        <v>0.10849999636411667</v>
      </c>
      <c r="N66" s="158">
        <v>0.10859999805688858</v>
      </c>
      <c r="O66" s="158">
        <v>0.10849999636411667</v>
      </c>
      <c r="P66" s="158">
        <v>0.1080000028014183</v>
      </c>
      <c r="Q66" s="158">
        <v>0.10769999772310257</v>
      </c>
      <c r="R66" s="158">
        <v>0.10769999772310257</v>
      </c>
      <c r="S66" s="158">
        <v>0.1080000028014183</v>
      </c>
      <c r="T66" s="158">
        <v>0.10769999772310257</v>
      </c>
      <c r="U66" s="158">
        <v>0.10809999704360962</v>
      </c>
      <c r="V66" s="158">
        <f t="shared" si="1"/>
        <v>0.10794999822974205</v>
      </c>
      <c r="W66" s="158">
        <v>0.10779999941587448</v>
      </c>
      <c r="X66" s="158">
        <v>0.10740000009536743</v>
      </c>
      <c r="Y66" s="158">
        <v>0.10750000178813934</v>
      </c>
      <c r="Z66" s="158">
        <v>0.10750000178813934</v>
      </c>
      <c r="AA66" s="158">
        <v>0.10620000213384628</v>
      </c>
      <c r="AB66" s="158">
        <v>0.10670000314712524</v>
      </c>
      <c r="AC66" s="158">
        <v>0.10620000213384628</v>
      </c>
      <c r="AD66" s="158">
        <v>0.10700000077486038</v>
      </c>
      <c r="AE66" s="158">
        <v>0.10679999738931656</v>
      </c>
      <c r="AF66" s="158">
        <v>0.10639999806880951</v>
      </c>
    </row>
    <row r="67" spans="1:32" x14ac:dyDescent="0.2">
      <c r="A67" s="158" t="s">
        <v>219</v>
      </c>
      <c r="B67" s="158">
        <v>0.10649999976158142</v>
      </c>
      <c r="C67" s="158">
        <v>0.10620000213384628</v>
      </c>
      <c r="D67" s="158">
        <v>0.10610000044107437</v>
      </c>
      <c r="E67" s="158">
        <v>0.10639999806880951</v>
      </c>
      <c r="F67" s="158">
        <v>0.10620000213384628</v>
      </c>
      <c r="G67" s="158">
        <v>0.10620000213384628</v>
      </c>
      <c r="H67" s="158">
        <v>0.10610000044107437</v>
      </c>
      <c r="I67" s="158">
        <v>0.10589999705553055</v>
      </c>
      <c r="J67" s="158">
        <v>0.10610000044107437</v>
      </c>
      <c r="K67" s="158">
        <v>0.10589999705553055</v>
      </c>
      <c r="L67" s="158">
        <v>0.10589999705553055</v>
      </c>
      <c r="M67" s="158">
        <v>0.10570000112056732</v>
      </c>
      <c r="N67" s="158">
        <v>0.10570000112056732</v>
      </c>
      <c r="O67" s="158">
        <v>0.10559999942779541</v>
      </c>
      <c r="P67" s="158">
        <v>0.10540000349283218</v>
      </c>
      <c r="Q67" s="158">
        <v>0.10540000349283218</v>
      </c>
      <c r="R67" s="158">
        <v>0.10540000349283218</v>
      </c>
      <c r="S67" s="158">
        <v>0.10530000180006027</v>
      </c>
      <c r="T67" s="158">
        <v>0.10530000180006027</v>
      </c>
      <c r="U67" s="158">
        <v>0.10530000180006027</v>
      </c>
      <c r="V67" s="158">
        <f t="shared" si="1"/>
        <v>0.10525000095367432</v>
      </c>
      <c r="W67" s="158">
        <v>0.10520000010728836</v>
      </c>
      <c r="X67" s="158">
        <v>0.10509999841451645</v>
      </c>
      <c r="Y67" s="158">
        <v>0.10499999672174454</v>
      </c>
      <c r="Z67" s="158">
        <v>0.10520000010728836</v>
      </c>
      <c r="AA67" s="158">
        <v>0.10490000247955322</v>
      </c>
      <c r="AB67" s="158">
        <v>0.10490000247955322</v>
      </c>
      <c r="AC67" s="158">
        <v>0.10490000247955322</v>
      </c>
      <c r="AD67" s="158">
        <v>0.10480000078678131</v>
      </c>
      <c r="AE67" s="158">
        <v>0.10499999672174454</v>
      </c>
      <c r="AF67" s="158">
        <v>0.10480000078678131</v>
      </c>
    </row>
    <row r="68" spans="1:32" x14ac:dyDescent="0.2">
      <c r="A68" s="158" t="s">
        <v>220</v>
      </c>
      <c r="B68" s="158">
        <v>0.10679999738931656</v>
      </c>
      <c r="C68" s="158">
        <v>0.10660000145435333</v>
      </c>
      <c r="D68" s="158">
        <v>0.10649999976158142</v>
      </c>
      <c r="E68" s="158">
        <v>0.10649999976158142</v>
      </c>
      <c r="F68" s="158">
        <v>0.1062999963760376</v>
      </c>
      <c r="G68" s="158">
        <v>0.10620000213384628</v>
      </c>
      <c r="H68" s="158">
        <v>0.10610000044107437</v>
      </c>
      <c r="I68" s="158">
        <v>0.10599999874830246</v>
      </c>
      <c r="J68" s="158">
        <v>0.10589999705553055</v>
      </c>
      <c r="K68" s="158">
        <v>0.10589999705553055</v>
      </c>
      <c r="L68" s="158">
        <v>0.10589999705553055</v>
      </c>
      <c r="M68" s="158">
        <v>0.10580000281333923</v>
      </c>
      <c r="N68" s="158">
        <v>0.10570000112056732</v>
      </c>
      <c r="O68" s="158">
        <v>0.10559999942779541</v>
      </c>
      <c r="P68" s="158">
        <v>0.10540000349283218</v>
      </c>
      <c r="Q68" s="158">
        <v>0.10540000349283218</v>
      </c>
      <c r="R68" s="158">
        <v>0.10530000180006027</v>
      </c>
      <c r="S68" s="158">
        <v>0.10520000010728836</v>
      </c>
      <c r="T68" s="158">
        <v>0.10520000010728836</v>
      </c>
      <c r="U68" s="158">
        <v>0.10520000010728836</v>
      </c>
      <c r="V68" s="158">
        <f t="shared" si="1"/>
        <v>0.10509999841451645</v>
      </c>
      <c r="W68" s="158">
        <v>0.10499999672174454</v>
      </c>
      <c r="X68" s="158">
        <v>0.10499999672174454</v>
      </c>
      <c r="Y68" s="158">
        <v>0.10480000078678131</v>
      </c>
      <c r="Z68" s="158">
        <v>0.10480000078678131</v>
      </c>
      <c r="AA68" s="158">
        <v>0.10459999740123749</v>
      </c>
      <c r="AB68" s="158">
        <v>0.10459999740123749</v>
      </c>
      <c r="AC68" s="158">
        <v>0.10459999740123749</v>
      </c>
      <c r="AD68" s="158">
        <v>0.10450000315904617</v>
      </c>
      <c r="AE68" s="158">
        <v>0.10440000146627426</v>
      </c>
      <c r="AF68" s="158">
        <v>0.10440000146627426</v>
      </c>
    </row>
    <row r="69" spans="1:32" x14ac:dyDescent="0.2">
      <c r="A69" s="158" t="s">
        <v>221</v>
      </c>
      <c r="B69" s="158">
        <v>0.10620000213384628</v>
      </c>
      <c r="C69" s="158">
        <v>0.10610000044107437</v>
      </c>
      <c r="D69" s="158">
        <v>0.10599999874830246</v>
      </c>
      <c r="E69" s="158">
        <v>0.10610000044107437</v>
      </c>
      <c r="F69" s="158">
        <v>0.10589999705553055</v>
      </c>
      <c r="G69" s="158">
        <v>0.10599999874830246</v>
      </c>
      <c r="H69" s="158">
        <v>0.10589999705553055</v>
      </c>
      <c r="I69" s="158">
        <v>0.10580000281333923</v>
      </c>
      <c r="J69" s="158">
        <v>0.10570000112056732</v>
      </c>
      <c r="K69" s="158">
        <v>0.10570000112056732</v>
      </c>
      <c r="L69" s="158">
        <v>0.10580000281333923</v>
      </c>
      <c r="M69" s="158">
        <v>0.10570000112056732</v>
      </c>
      <c r="N69" s="158">
        <v>0.10559999942779541</v>
      </c>
      <c r="O69" s="158">
        <v>0.10540000349283218</v>
      </c>
      <c r="P69" s="158">
        <v>0.10530000180006027</v>
      </c>
      <c r="Q69" s="158">
        <v>0.10530000180006027</v>
      </c>
      <c r="R69" s="158">
        <v>0.10520000010728836</v>
      </c>
      <c r="S69" s="158">
        <v>0.10530000180006027</v>
      </c>
      <c r="T69" s="158">
        <v>0.10530000180006027</v>
      </c>
      <c r="U69" s="158">
        <v>0.10540000349283218</v>
      </c>
      <c r="V69" s="158">
        <f t="shared" si="1"/>
        <v>0.10530000180006027</v>
      </c>
      <c r="W69" s="158">
        <v>0.10520000010728836</v>
      </c>
      <c r="X69" s="158">
        <v>0.10520000010728836</v>
      </c>
      <c r="Y69" s="158">
        <v>0.10499999672174454</v>
      </c>
      <c r="Z69" s="158">
        <v>0.10490000247955322</v>
      </c>
      <c r="AA69" s="158">
        <v>0.10490000247955322</v>
      </c>
      <c r="AB69" s="158">
        <v>0.10480000078678131</v>
      </c>
      <c r="AC69" s="158">
        <v>0.1046999990940094</v>
      </c>
      <c r="AD69" s="158">
        <v>0.10480000078678131</v>
      </c>
      <c r="AE69" s="158">
        <v>0.1046999990940094</v>
      </c>
      <c r="AF69" s="158">
        <v>0.10480000078678131</v>
      </c>
    </row>
    <row r="70" spans="1:32" x14ac:dyDescent="0.2">
      <c r="A70" s="158" t="s">
        <v>222</v>
      </c>
      <c r="B70" s="158">
        <v>0.10649999976158142</v>
      </c>
      <c r="C70" s="158">
        <v>0.10610000044107437</v>
      </c>
      <c r="D70" s="158">
        <v>0.10599999874830246</v>
      </c>
      <c r="E70" s="158">
        <v>0.10610000044107437</v>
      </c>
      <c r="F70" s="158">
        <v>0.10589999705553055</v>
      </c>
      <c r="G70" s="158">
        <v>0.10580000281333923</v>
      </c>
      <c r="H70" s="158">
        <v>0.10570000112056732</v>
      </c>
      <c r="I70" s="158">
        <v>0.10559999942779541</v>
      </c>
      <c r="J70" s="158">
        <v>0.1054999977350235</v>
      </c>
      <c r="K70" s="158">
        <v>0.1054999977350235</v>
      </c>
      <c r="L70" s="158">
        <v>0.1054999977350235</v>
      </c>
      <c r="M70" s="158">
        <v>0.10540000349283218</v>
      </c>
      <c r="N70" s="158">
        <v>0.10540000349283218</v>
      </c>
      <c r="O70" s="158">
        <v>0.10530000180006027</v>
      </c>
      <c r="P70" s="158">
        <v>0.10499999672174454</v>
      </c>
      <c r="Q70" s="158">
        <v>0.10499999672174454</v>
      </c>
      <c r="R70" s="158">
        <v>0.10499999672174454</v>
      </c>
      <c r="S70" s="158">
        <v>0.10490000247955322</v>
      </c>
      <c r="T70" s="158">
        <v>0.10490000247955322</v>
      </c>
      <c r="U70" s="158">
        <v>0.10490000247955322</v>
      </c>
      <c r="V70" s="158">
        <f t="shared" si="1"/>
        <v>0.10485000163316727</v>
      </c>
      <c r="W70" s="158">
        <v>0.10480000078678131</v>
      </c>
      <c r="X70" s="158">
        <v>0.10480000078678131</v>
      </c>
      <c r="Y70" s="158">
        <v>0.1046999990940094</v>
      </c>
      <c r="Z70" s="158">
        <v>0.10450000315904617</v>
      </c>
      <c r="AA70" s="158">
        <v>0.10450000315904617</v>
      </c>
      <c r="AB70" s="158">
        <v>0.10450000315904617</v>
      </c>
      <c r="AC70" s="158">
        <v>0.10440000146627426</v>
      </c>
      <c r="AD70" s="158">
        <v>0.10440000146627426</v>
      </c>
      <c r="AE70" s="158">
        <v>0.10440000146627426</v>
      </c>
      <c r="AF70" s="158">
        <v>0.10429999977350235</v>
      </c>
    </row>
    <row r="71" spans="1:32" x14ac:dyDescent="0.2">
      <c r="A71" s="158" t="s">
        <v>223</v>
      </c>
      <c r="B71" s="158">
        <v>0.10710000246763229</v>
      </c>
      <c r="C71" s="158">
        <v>0.10689999908208847</v>
      </c>
      <c r="D71" s="158">
        <v>0.10679999738931656</v>
      </c>
      <c r="E71" s="158">
        <v>0.10679999738931656</v>
      </c>
      <c r="F71" s="158">
        <v>0.10689999908208847</v>
      </c>
      <c r="G71" s="158">
        <v>0.10670000314712524</v>
      </c>
      <c r="H71" s="158">
        <v>0.10670000314712524</v>
      </c>
      <c r="I71" s="158">
        <v>0.10649999976158142</v>
      </c>
      <c r="J71" s="158">
        <v>0.10649999976158142</v>
      </c>
      <c r="K71" s="158">
        <v>0.10639999806880951</v>
      </c>
      <c r="L71" s="158">
        <v>0.10649999976158142</v>
      </c>
      <c r="M71" s="158">
        <v>0.10639999806880951</v>
      </c>
      <c r="N71" s="158">
        <v>0.1062999963760376</v>
      </c>
      <c r="O71" s="158">
        <v>0.10620000213384628</v>
      </c>
      <c r="P71" s="158">
        <v>0.10610000044107437</v>
      </c>
      <c r="Q71" s="158">
        <v>0.10599999874830246</v>
      </c>
      <c r="R71" s="158">
        <v>0.10599999874830246</v>
      </c>
      <c r="S71" s="158">
        <v>0.10610000044107437</v>
      </c>
      <c r="T71" s="158">
        <v>0.10610000044107437</v>
      </c>
      <c r="U71" s="158">
        <v>0.10610000044107437</v>
      </c>
      <c r="V71" s="158">
        <f t="shared" si="1"/>
        <v>0.10610000044107437</v>
      </c>
      <c r="W71" s="158">
        <v>0.10610000044107437</v>
      </c>
      <c r="X71" s="158">
        <v>0.10599999874830246</v>
      </c>
      <c r="Y71" s="158">
        <v>0.10589999705553055</v>
      </c>
      <c r="Z71" s="158">
        <v>0.10580000281333923</v>
      </c>
      <c r="AA71" s="158">
        <v>0.10589999705553055</v>
      </c>
      <c r="AB71" s="158">
        <v>0.10559999942779541</v>
      </c>
      <c r="AC71" s="158">
        <v>0.10559999942779541</v>
      </c>
      <c r="AD71" s="158">
        <v>0.10559999942779541</v>
      </c>
      <c r="AE71" s="158">
        <v>0.10559999942779541</v>
      </c>
      <c r="AF71" s="158">
        <v>0.10589999705553055</v>
      </c>
    </row>
    <row r="72" spans="1:32" x14ac:dyDescent="0.2">
      <c r="A72" s="158" t="s">
        <v>224</v>
      </c>
      <c r="B72" s="158">
        <v>0.10710000246763229</v>
      </c>
      <c r="C72" s="158">
        <v>0.10679999738931656</v>
      </c>
      <c r="D72" s="158">
        <v>0.10670000314712524</v>
      </c>
      <c r="E72" s="158">
        <v>0.10670000314712524</v>
      </c>
      <c r="F72" s="158">
        <v>0.10660000145435333</v>
      </c>
      <c r="G72" s="158">
        <v>0.10660000145435333</v>
      </c>
      <c r="H72" s="158">
        <v>0.10639999806880951</v>
      </c>
      <c r="I72" s="158">
        <v>0.1062999963760376</v>
      </c>
      <c r="J72" s="158">
        <v>0.10620000213384628</v>
      </c>
      <c r="K72" s="158">
        <v>0.10620000213384628</v>
      </c>
      <c r="L72" s="158">
        <v>0.10620000213384628</v>
      </c>
      <c r="M72" s="158">
        <v>0.10599999874830246</v>
      </c>
      <c r="N72" s="158">
        <v>0.10589999705553055</v>
      </c>
      <c r="O72" s="158">
        <v>0.10570000112056732</v>
      </c>
      <c r="P72" s="158">
        <v>0.1054999977350235</v>
      </c>
      <c r="Q72" s="158">
        <v>0.1054999977350235</v>
      </c>
      <c r="R72" s="158">
        <v>0.1054999977350235</v>
      </c>
      <c r="S72" s="158">
        <v>0.1054999977350235</v>
      </c>
      <c r="T72" s="158">
        <v>0.10559999942779541</v>
      </c>
      <c r="U72" s="158">
        <v>0.10570000112056732</v>
      </c>
      <c r="V72" s="158">
        <f t="shared" si="1"/>
        <v>0.10559999942779541</v>
      </c>
      <c r="W72" s="158">
        <v>0.1054999977350235</v>
      </c>
      <c r="X72" s="158">
        <v>0.10540000349283218</v>
      </c>
      <c r="Y72" s="158">
        <v>0.10520000010728836</v>
      </c>
      <c r="Z72" s="158">
        <v>0.10509999841451645</v>
      </c>
      <c r="AA72" s="158">
        <v>0.10490000247955322</v>
      </c>
      <c r="AB72" s="158">
        <v>0.10480000078678131</v>
      </c>
      <c r="AC72" s="158">
        <v>0.10480000078678131</v>
      </c>
      <c r="AD72" s="158">
        <v>0.10480000078678131</v>
      </c>
      <c r="AE72" s="158">
        <v>0.1046999990940094</v>
      </c>
      <c r="AF72" s="158">
        <v>0.10490000247955322</v>
      </c>
    </row>
    <row r="73" spans="1:32" x14ac:dyDescent="0.2">
      <c r="A73" s="158" t="s">
        <v>225</v>
      </c>
      <c r="B73" s="158">
        <v>0.10719999670982361</v>
      </c>
      <c r="C73" s="158">
        <v>0.10719999670982361</v>
      </c>
      <c r="D73" s="158">
        <v>0.10719999670982361</v>
      </c>
      <c r="E73" s="158">
        <v>0.10729999840259552</v>
      </c>
      <c r="F73" s="158">
        <v>0.10729999840259552</v>
      </c>
      <c r="G73" s="158">
        <v>0.10740000009536743</v>
      </c>
      <c r="H73" s="158">
        <v>0.10729999840259552</v>
      </c>
      <c r="I73" s="158">
        <v>0.10729999840259552</v>
      </c>
      <c r="J73" s="158">
        <v>0.10719999670982361</v>
      </c>
      <c r="K73" s="158">
        <v>0.10719999670982361</v>
      </c>
      <c r="L73" s="158">
        <v>0.10719999670982361</v>
      </c>
      <c r="M73" s="158">
        <v>0.10729999840259552</v>
      </c>
      <c r="N73" s="158">
        <v>0.10689999908208847</v>
      </c>
      <c r="O73" s="158">
        <v>0.10679999738931656</v>
      </c>
      <c r="P73" s="158">
        <v>0.10660000145435333</v>
      </c>
      <c r="Q73" s="158">
        <v>0.10660000145435333</v>
      </c>
      <c r="R73" s="158">
        <v>0.10660000145435333</v>
      </c>
      <c r="S73" s="158">
        <v>0.10670000314712524</v>
      </c>
      <c r="T73" s="158">
        <v>0.10679999738931656</v>
      </c>
      <c r="U73" s="158">
        <v>0.10689999908208847</v>
      </c>
      <c r="V73" s="158">
        <f t="shared" si="1"/>
        <v>0.10684999823570251</v>
      </c>
      <c r="W73" s="158">
        <v>0.10679999738931656</v>
      </c>
      <c r="X73" s="158">
        <v>0.10679999738931656</v>
      </c>
      <c r="Y73" s="158">
        <v>0.10649999976158142</v>
      </c>
      <c r="Z73" s="158">
        <v>0.1062999963760376</v>
      </c>
      <c r="AA73" s="158">
        <v>0.10620000213384628</v>
      </c>
      <c r="AB73" s="158">
        <v>0.10610000044107437</v>
      </c>
      <c r="AC73" s="158">
        <v>0.10610000044107437</v>
      </c>
      <c r="AD73" s="158">
        <v>0.10610000044107437</v>
      </c>
      <c r="AE73" s="158">
        <v>0.10610000044107437</v>
      </c>
      <c r="AF73" s="158">
        <v>0.10620000213384628</v>
      </c>
    </row>
    <row r="74" spans="1:32" x14ac:dyDescent="0.2">
      <c r="A74" s="158" t="s">
        <v>226</v>
      </c>
      <c r="B74" s="158">
        <v>0.10740000009536743</v>
      </c>
      <c r="C74" s="158">
        <v>0.10710000246763229</v>
      </c>
      <c r="D74" s="158">
        <v>0.10710000246763229</v>
      </c>
      <c r="E74" s="158">
        <v>0.10700000077486038</v>
      </c>
      <c r="F74" s="158">
        <v>0.10689999908208847</v>
      </c>
      <c r="G74" s="158">
        <v>0.10719999670982361</v>
      </c>
      <c r="H74" s="158">
        <v>0.10679999738931656</v>
      </c>
      <c r="I74" s="158">
        <v>0.10670000314712524</v>
      </c>
      <c r="J74" s="158">
        <v>0.10670000314712524</v>
      </c>
      <c r="K74" s="158">
        <v>0.10670000314712524</v>
      </c>
      <c r="L74" s="158">
        <v>0.10670000314712524</v>
      </c>
      <c r="M74" s="158">
        <v>0.10649999976158142</v>
      </c>
      <c r="N74" s="158">
        <v>0.10639999806880951</v>
      </c>
      <c r="O74" s="158">
        <v>0.10620000213384628</v>
      </c>
      <c r="P74" s="158">
        <v>0.10599999874830246</v>
      </c>
      <c r="Q74" s="158">
        <v>0.10599999874830246</v>
      </c>
      <c r="R74" s="158">
        <v>0.10599999874830246</v>
      </c>
      <c r="S74" s="158">
        <v>0.10599999874830246</v>
      </c>
      <c r="T74" s="158">
        <v>0.10610000044107437</v>
      </c>
      <c r="U74" s="158">
        <v>0.10620000213384628</v>
      </c>
      <c r="V74" s="158">
        <f t="shared" si="1"/>
        <v>0.10615000128746033</v>
      </c>
      <c r="W74" s="158">
        <v>0.10610000044107437</v>
      </c>
      <c r="X74" s="158">
        <v>0.10599999874830246</v>
      </c>
      <c r="Y74" s="158">
        <v>0.10570000112056732</v>
      </c>
      <c r="Z74" s="158">
        <v>0.1054999977350235</v>
      </c>
      <c r="AA74" s="158">
        <v>0.10540000349283218</v>
      </c>
      <c r="AB74" s="158">
        <v>0.10540000349283218</v>
      </c>
      <c r="AC74" s="158">
        <v>0.10530000180006027</v>
      </c>
      <c r="AD74" s="158">
        <v>0.10540000349283218</v>
      </c>
      <c r="AE74" s="158">
        <v>0.10530000180006027</v>
      </c>
      <c r="AF74" s="158">
        <v>0.1054999977350235</v>
      </c>
    </row>
    <row r="75" spans="1:32" x14ac:dyDescent="0.2">
      <c r="A75" s="158" t="s">
        <v>227</v>
      </c>
      <c r="B75" s="158">
        <v>0.10859999805688858</v>
      </c>
      <c r="C75" s="158">
        <v>0.10819999873638153</v>
      </c>
      <c r="D75" s="158">
        <v>0.10809999704360962</v>
      </c>
      <c r="E75" s="158">
        <v>0.10819999873638153</v>
      </c>
      <c r="F75" s="158">
        <v>0.10809999704360962</v>
      </c>
      <c r="G75" s="158">
        <v>0.10819999873638153</v>
      </c>
      <c r="H75" s="158">
        <v>0.10809999704360962</v>
      </c>
      <c r="I75" s="158">
        <v>0.1080000028014183</v>
      </c>
      <c r="J75" s="158">
        <v>0.1080000028014183</v>
      </c>
      <c r="K75" s="158">
        <v>0.1080000028014183</v>
      </c>
      <c r="L75" s="158">
        <v>0.1080000028014183</v>
      </c>
      <c r="M75" s="158">
        <v>0.10779999941587448</v>
      </c>
      <c r="N75" s="158">
        <v>0.10769999772310257</v>
      </c>
      <c r="O75" s="158">
        <v>0.10750000178813934</v>
      </c>
      <c r="P75" s="158">
        <v>0.10729999840259552</v>
      </c>
      <c r="Q75" s="158">
        <v>0.10760000348091125</v>
      </c>
      <c r="R75" s="158">
        <v>0.10729999840259552</v>
      </c>
      <c r="S75" s="158">
        <v>0.10760000348091125</v>
      </c>
      <c r="T75" s="158">
        <v>0.10760000348091125</v>
      </c>
      <c r="U75" s="158">
        <v>0.10769999772310257</v>
      </c>
      <c r="V75" s="158">
        <f t="shared" si="1"/>
        <v>0.10799999907612801</v>
      </c>
      <c r="W75" s="158">
        <v>0.10830000042915344</v>
      </c>
      <c r="X75" s="158">
        <v>0.10819999873638153</v>
      </c>
      <c r="Y75" s="158">
        <v>0.10939999669790268</v>
      </c>
      <c r="Z75" s="158">
        <v>0.10899999737739563</v>
      </c>
      <c r="AA75" s="158">
        <v>0.10920000076293945</v>
      </c>
      <c r="AB75" s="158">
        <v>0.10930000245571136</v>
      </c>
      <c r="AC75" s="158">
        <v>0.10890000313520432</v>
      </c>
      <c r="AD75" s="158">
        <v>0.10890000313520432</v>
      </c>
      <c r="AE75" s="158">
        <v>0.1088000014424324</v>
      </c>
      <c r="AF75" s="158">
        <v>0.10830000042915344</v>
      </c>
    </row>
    <row r="76" spans="1:32" x14ac:dyDescent="0.2">
      <c r="A76" s="158" t="s">
        <v>228</v>
      </c>
      <c r="B76" s="158">
        <v>0.10719999670982361</v>
      </c>
      <c r="C76" s="158">
        <v>0.10660000145435333</v>
      </c>
      <c r="D76" s="158">
        <v>0.10660000145435333</v>
      </c>
      <c r="E76" s="158">
        <v>0.10660000145435333</v>
      </c>
      <c r="F76" s="158">
        <v>0.10639999806880951</v>
      </c>
      <c r="G76" s="158">
        <v>0.10649999976158142</v>
      </c>
      <c r="H76" s="158">
        <v>0.10660000145435333</v>
      </c>
      <c r="I76" s="158">
        <v>0.10620000213384628</v>
      </c>
      <c r="J76" s="158">
        <v>0.10620000213384628</v>
      </c>
      <c r="K76" s="158">
        <v>0.10620000213384628</v>
      </c>
      <c r="L76" s="158">
        <v>0.10610000044107437</v>
      </c>
      <c r="M76" s="158">
        <v>0.10589999705553055</v>
      </c>
      <c r="N76" s="158">
        <v>0.10580000281333923</v>
      </c>
      <c r="O76" s="158">
        <v>0.1054999977350235</v>
      </c>
      <c r="P76" s="158">
        <v>0.10530000180006027</v>
      </c>
      <c r="Q76" s="158">
        <v>0.10530000180006027</v>
      </c>
      <c r="R76" s="158">
        <v>0.10530000180006027</v>
      </c>
      <c r="S76" s="158">
        <v>0.10540000349283218</v>
      </c>
      <c r="T76" s="158">
        <v>0.10570000112056732</v>
      </c>
      <c r="U76" s="158">
        <v>0.10570000112056732</v>
      </c>
      <c r="V76" s="158">
        <f t="shared" si="1"/>
        <v>0.10610000044107437</v>
      </c>
      <c r="W76" s="158">
        <v>0.10649999976158142</v>
      </c>
      <c r="X76" s="158">
        <v>0.10639999806880951</v>
      </c>
      <c r="Y76" s="158">
        <v>0.10620000213384628</v>
      </c>
      <c r="Z76" s="158">
        <v>0.10580000281333923</v>
      </c>
      <c r="AA76" s="158">
        <v>0.10570000112056732</v>
      </c>
      <c r="AB76" s="158">
        <v>0.10559999942779541</v>
      </c>
      <c r="AC76" s="158">
        <v>0.10540000349283218</v>
      </c>
      <c r="AD76" s="158">
        <v>0.1054999977350235</v>
      </c>
      <c r="AE76" s="158">
        <v>0.1054999977350235</v>
      </c>
      <c r="AF76" s="158">
        <v>0.10580000281333923</v>
      </c>
    </row>
    <row r="77" spans="1:32" x14ac:dyDescent="0.2">
      <c r="A77" s="158" t="s">
        <v>229</v>
      </c>
      <c r="B77" s="158">
        <v>0.10790000110864639</v>
      </c>
      <c r="C77" s="158">
        <v>0.10760000348091125</v>
      </c>
      <c r="D77" s="158">
        <v>0.10750000178813934</v>
      </c>
      <c r="E77" s="158">
        <v>0.10750000178813934</v>
      </c>
      <c r="F77" s="158">
        <v>0.10750000178813934</v>
      </c>
      <c r="G77" s="158">
        <v>0.10760000348091125</v>
      </c>
      <c r="H77" s="158">
        <v>0.10750000178813934</v>
      </c>
      <c r="I77" s="158">
        <v>0.10750000178813934</v>
      </c>
      <c r="J77" s="158">
        <v>0.10740000009536743</v>
      </c>
      <c r="K77" s="158">
        <v>0.10740000009536743</v>
      </c>
      <c r="L77" s="158">
        <v>0.10740000009536743</v>
      </c>
      <c r="M77" s="158">
        <v>0.10719999670982361</v>
      </c>
      <c r="N77" s="158">
        <v>0.10700000077486038</v>
      </c>
      <c r="O77" s="158">
        <v>0.10670000314712524</v>
      </c>
      <c r="P77" s="158">
        <v>0.10679999738931656</v>
      </c>
      <c r="Q77" s="158">
        <v>0.10649999976158142</v>
      </c>
      <c r="R77" s="158">
        <v>0.10660000145435333</v>
      </c>
      <c r="S77" s="158">
        <v>0.10679999738931656</v>
      </c>
      <c r="T77" s="158">
        <v>0.10700000077486038</v>
      </c>
      <c r="U77" s="158">
        <v>0.10710000246763229</v>
      </c>
      <c r="V77" s="158">
        <f t="shared" si="1"/>
        <v>0.10710000246763229</v>
      </c>
      <c r="W77" s="158">
        <v>0.10710000246763229</v>
      </c>
      <c r="X77" s="158">
        <v>0.10679999738931656</v>
      </c>
      <c r="Y77" s="158">
        <v>0.10660000145435333</v>
      </c>
      <c r="Z77" s="158">
        <v>0.1062999963760376</v>
      </c>
      <c r="AA77" s="158">
        <v>0.10620000213384628</v>
      </c>
      <c r="AB77" s="158">
        <v>0.10599999874830246</v>
      </c>
      <c r="AC77" s="158">
        <v>0.10589999705553055</v>
      </c>
      <c r="AD77" s="158">
        <v>0.10599999874830246</v>
      </c>
      <c r="AE77" s="158">
        <v>0.10599999874830246</v>
      </c>
      <c r="AF77" s="158">
        <v>0.10610000044107437</v>
      </c>
    </row>
    <row r="78" spans="1:32" x14ac:dyDescent="0.2">
      <c r="A78" s="158" t="s">
        <v>230</v>
      </c>
      <c r="B78" s="158">
        <v>0.10639999806880951</v>
      </c>
      <c r="C78" s="158">
        <v>0.10589999705553055</v>
      </c>
      <c r="D78" s="158">
        <v>0.10570000112056732</v>
      </c>
      <c r="E78" s="158">
        <v>0.10570000112056732</v>
      </c>
      <c r="F78" s="158">
        <v>0.1054999977350235</v>
      </c>
      <c r="G78" s="158">
        <v>0.10559999942779541</v>
      </c>
      <c r="H78" s="158">
        <v>0.10540000349283218</v>
      </c>
      <c r="I78" s="158">
        <v>0.10530000180006027</v>
      </c>
      <c r="J78" s="158">
        <v>0.10509999841451645</v>
      </c>
      <c r="K78" s="158">
        <v>0.10520000010728836</v>
      </c>
      <c r="L78" s="158">
        <v>0.10520000010728836</v>
      </c>
      <c r="M78" s="158">
        <v>0.10499999672174454</v>
      </c>
      <c r="N78" s="158">
        <v>0.10480000078678131</v>
      </c>
      <c r="O78" s="158">
        <v>0.10450000315904617</v>
      </c>
      <c r="P78" s="158">
        <v>0.10429999977350235</v>
      </c>
      <c r="Q78" s="158">
        <v>0.10429999977350235</v>
      </c>
      <c r="R78" s="158">
        <v>0.10429999977350235</v>
      </c>
      <c r="S78" s="158">
        <v>0.10440000146627426</v>
      </c>
      <c r="T78" s="158">
        <v>0.10459999740123749</v>
      </c>
      <c r="U78" s="158">
        <v>0.1046999990940094</v>
      </c>
      <c r="V78" s="158">
        <f t="shared" si="1"/>
        <v>0.10520000010728836</v>
      </c>
      <c r="W78" s="158">
        <v>0.10570000112056732</v>
      </c>
      <c r="X78" s="158">
        <v>0.10540000349283218</v>
      </c>
      <c r="Y78" s="158">
        <v>0.10509999841451645</v>
      </c>
      <c r="Z78" s="158">
        <v>0.10499999672174454</v>
      </c>
      <c r="AA78" s="158">
        <v>0.10480000078678131</v>
      </c>
      <c r="AB78" s="158">
        <v>0.1046999990940094</v>
      </c>
      <c r="AC78" s="158">
        <v>0.10459999740123749</v>
      </c>
      <c r="AD78" s="158">
        <v>0.10459999740123749</v>
      </c>
      <c r="AE78" s="158">
        <v>0.1046999990940094</v>
      </c>
      <c r="AF78" s="158">
        <v>0.10400000214576721</v>
      </c>
    </row>
    <row r="79" spans="1:32" x14ac:dyDescent="0.2">
      <c r="A79" s="158" t="s">
        <v>231</v>
      </c>
      <c r="B79" s="158">
        <v>0.10719999670982361</v>
      </c>
      <c r="C79" s="158">
        <v>0.10679999738931656</v>
      </c>
      <c r="D79" s="158">
        <v>0.10670000314712524</v>
      </c>
      <c r="E79" s="158">
        <v>0.10660000145435333</v>
      </c>
      <c r="F79" s="158">
        <v>0.10660000145435333</v>
      </c>
      <c r="G79" s="158">
        <v>0.10679999738931656</v>
      </c>
      <c r="H79" s="158">
        <v>0.10670000314712524</v>
      </c>
      <c r="I79" s="158">
        <v>0.10670000314712524</v>
      </c>
      <c r="J79" s="158">
        <v>0.10660000145435333</v>
      </c>
      <c r="K79" s="158">
        <v>0.10679999738931656</v>
      </c>
      <c r="L79" s="158">
        <v>0.10660000145435333</v>
      </c>
      <c r="M79" s="158">
        <v>0.10639999806880951</v>
      </c>
      <c r="N79" s="158">
        <v>0.10620000213384628</v>
      </c>
      <c r="O79" s="158">
        <v>0.10599999874830246</v>
      </c>
      <c r="P79" s="158">
        <v>0.10580000281333923</v>
      </c>
      <c r="Q79" s="158">
        <v>0.10580000281333923</v>
      </c>
      <c r="R79" s="158">
        <v>0.10580000281333923</v>
      </c>
      <c r="S79" s="158">
        <v>0.10599999874830246</v>
      </c>
      <c r="T79" s="158">
        <v>0.10620000213384628</v>
      </c>
      <c r="U79" s="158">
        <v>0.1062999963760376</v>
      </c>
      <c r="V79" s="158">
        <f t="shared" si="1"/>
        <v>0.1062999963760376</v>
      </c>
      <c r="W79" s="158">
        <v>0.1062999963760376</v>
      </c>
      <c r="X79" s="158">
        <v>0.10610000044107437</v>
      </c>
      <c r="Y79" s="158">
        <v>0.10580000281333923</v>
      </c>
      <c r="Z79" s="158">
        <v>0.10559999942779541</v>
      </c>
      <c r="AA79" s="158">
        <v>0.10540000349283218</v>
      </c>
      <c r="AB79" s="158">
        <v>0.10530000180006027</v>
      </c>
      <c r="AC79" s="158">
        <v>0.10520000010728836</v>
      </c>
      <c r="AD79" s="158">
        <v>0.10520000010728836</v>
      </c>
      <c r="AE79" s="158">
        <v>0.10530000180006027</v>
      </c>
      <c r="AF79" s="158">
        <v>0.10530000180006027</v>
      </c>
    </row>
    <row r="80" spans="1:32" x14ac:dyDescent="0.2">
      <c r="A80" s="158" t="s">
        <v>232</v>
      </c>
      <c r="B80" s="158">
        <v>0.10719999670982361</v>
      </c>
      <c r="C80" s="158">
        <v>0.10660000145435333</v>
      </c>
      <c r="D80" s="158">
        <v>0.1062999963760376</v>
      </c>
      <c r="E80" s="158">
        <v>0.1062999963760376</v>
      </c>
      <c r="F80" s="158">
        <v>0.10620000213384628</v>
      </c>
      <c r="G80" s="158">
        <v>0.1062999963760376</v>
      </c>
      <c r="H80" s="158">
        <v>0.10620000213384628</v>
      </c>
      <c r="I80" s="158">
        <v>0.10610000044107437</v>
      </c>
      <c r="J80" s="158">
        <v>0.10599999874830246</v>
      </c>
      <c r="K80" s="158">
        <v>0.10599999874830246</v>
      </c>
      <c r="L80" s="158">
        <v>0.10599999874830246</v>
      </c>
      <c r="M80" s="158">
        <v>0.10570000112056732</v>
      </c>
      <c r="N80" s="158">
        <v>0.1054999977350235</v>
      </c>
      <c r="O80" s="158">
        <v>0.10520000010728836</v>
      </c>
      <c r="P80" s="158">
        <v>0.10499999672174454</v>
      </c>
      <c r="Q80" s="158">
        <v>0.10499999672174454</v>
      </c>
      <c r="R80" s="158">
        <v>0.10499999672174454</v>
      </c>
      <c r="S80" s="158">
        <v>0.10520000010728836</v>
      </c>
      <c r="T80" s="158">
        <v>0.10540000349283218</v>
      </c>
      <c r="U80" s="158">
        <v>0.1054999977350235</v>
      </c>
      <c r="V80" s="158">
        <f t="shared" si="1"/>
        <v>0.10545000061392784</v>
      </c>
      <c r="W80" s="158">
        <v>0.10540000349283218</v>
      </c>
      <c r="X80" s="158">
        <v>0.10520000010728836</v>
      </c>
      <c r="Y80" s="158">
        <v>0.10490000247955322</v>
      </c>
      <c r="Z80" s="158">
        <v>0.10459999740123749</v>
      </c>
      <c r="AA80" s="158">
        <v>0.10440000146627426</v>
      </c>
      <c r="AB80" s="158">
        <v>0.10429999977350235</v>
      </c>
      <c r="AC80" s="158">
        <v>0.10419999808073044</v>
      </c>
      <c r="AD80" s="158">
        <v>0.10419999808073044</v>
      </c>
      <c r="AE80" s="158">
        <v>0.10419999808073044</v>
      </c>
      <c r="AF80" s="158">
        <v>0.10440000146627426</v>
      </c>
    </row>
    <row r="81" spans="1:32" x14ac:dyDescent="0.2">
      <c r="A81" s="158" t="s">
        <v>233</v>
      </c>
      <c r="B81" s="158">
        <v>0.10769999772310257</v>
      </c>
      <c r="C81" s="158">
        <v>0.10729999840259552</v>
      </c>
      <c r="D81" s="158">
        <v>0.10689999908208847</v>
      </c>
      <c r="E81" s="158">
        <v>0.10689999908208847</v>
      </c>
      <c r="F81" s="158">
        <v>0.10689999908208847</v>
      </c>
      <c r="G81" s="158">
        <v>0.10719999670982361</v>
      </c>
      <c r="H81" s="158">
        <v>0.10710000246763229</v>
      </c>
      <c r="I81" s="158">
        <v>0.10710000246763229</v>
      </c>
      <c r="J81" s="158">
        <v>0.10700000077486038</v>
      </c>
      <c r="K81" s="158">
        <v>0.10700000077486038</v>
      </c>
      <c r="L81" s="158">
        <v>0.10689999908208847</v>
      </c>
      <c r="M81" s="158">
        <v>0.10670000314712524</v>
      </c>
      <c r="N81" s="158">
        <v>0.10639999806880951</v>
      </c>
      <c r="O81" s="158">
        <v>0.10620000213384628</v>
      </c>
      <c r="P81" s="158">
        <v>0.10599999874830246</v>
      </c>
      <c r="Q81" s="158">
        <v>0.10589999705553055</v>
      </c>
      <c r="R81" s="158">
        <v>0.10599999874830246</v>
      </c>
      <c r="S81" s="158">
        <v>0.10620000213384628</v>
      </c>
      <c r="T81" s="158">
        <v>0.10670000314712524</v>
      </c>
      <c r="U81" s="158">
        <v>0.10660000145435333</v>
      </c>
      <c r="V81" s="158">
        <f t="shared" si="1"/>
        <v>0.10660000145435333</v>
      </c>
      <c r="W81" s="158">
        <v>0.10660000145435333</v>
      </c>
      <c r="X81" s="158">
        <v>0.1062999963760376</v>
      </c>
      <c r="Y81" s="158">
        <v>0.10620000213384628</v>
      </c>
      <c r="Z81" s="158">
        <v>0.10559999942779541</v>
      </c>
      <c r="AA81" s="158">
        <v>0.1054999977350235</v>
      </c>
      <c r="AB81" s="158">
        <v>0.10530000180006027</v>
      </c>
      <c r="AC81" s="158">
        <v>0.10509999841451645</v>
      </c>
      <c r="AD81" s="158">
        <v>0.10509999841451645</v>
      </c>
      <c r="AE81" s="158">
        <v>0.10520000010728836</v>
      </c>
      <c r="AF81" s="158">
        <v>0.10530000180006027</v>
      </c>
    </row>
    <row r="82" spans="1:32" x14ac:dyDescent="0.2">
      <c r="A82" s="158" t="s">
        <v>234</v>
      </c>
      <c r="B82" s="158">
        <v>0.10710000246763229</v>
      </c>
      <c r="C82" s="158">
        <v>0.10679999738931656</v>
      </c>
      <c r="D82" s="158">
        <v>0.10639999806880951</v>
      </c>
      <c r="E82" s="158">
        <v>0.10639999806880951</v>
      </c>
      <c r="F82" s="158">
        <v>0.1062999963760376</v>
      </c>
      <c r="G82" s="158">
        <v>0.10649999976158142</v>
      </c>
      <c r="H82" s="158">
        <v>0.10639999806880951</v>
      </c>
      <c r="I82" s="158">
        <v>0.1062999963760376</v>
      </c>
      <c r="J82" s="158">
        <v>0.10639999806880951</v>
      </c>
      <c r="K82" s="158">
        <v>0.10620000213384628</v>
      </c>
      <c r="L82" s="158">
        <v>0.10620000213384628</v>
      </c>
      <c r="M82" s="158">
        <v>0.10599999874830246</v>
      </c>
      <c r="N82" s="158">
        <v>0.10580000281333923</v>
      </c>
      <c r="O82" s="158">
        <v>0.1054999977350235</v>
      </c>
      <c r="P82" s="158">
        <v>0.10530000180006027</v>
      </c>
      <c r="Q82" s="158">
        <v>0.10530000180006027</v>
      </c>
      <c r="R82" s="158">
        <v>0.10540000349283218</v>
      </c>
      <c r="S82" s="158">
        <v>0.10559999942779541</v>
      </c>
      <c r="T82" s="158">
        <v>0.10580000281333923</v>
      </c>
      <c r="U82" s="158">
        <v>0.10589999705553055</v>
      </c>
      <c r="V82" s="158">
        <f t="shared" si="1"/>
        <v>0.10589999705553055</v>
      </c>
      <c r="W82" s="158">
        <v>0.10589999705553055</v>
      </c>
      <c r="X82" s="158">
        <v>0.10570000112056732</v>
      </c>
      <c r="Y82" s="158">
        <v>0.10530000180006027</v>
      </c>
      <c r="Z82" s="158">
        <v>0.10509999841451645</v>
      </c>
      <c r="AA82" s="158">
        <v>0.10520000010728836</v>
      </c>
      <c r="AB82" s="158">
        <v>0.10480000078678131</v>
      </c>
      <c r="AC82" s="158">
        <v>0.10459999740123749</v>
      </c>
      <c r="AD82" s="158">
        <v>0.1046999990940094</v>
      </c>
      <c r="AE82" s="158">
        <v>0.1046999990940094</v>
      </c>
      <c r="AF82" s="158">
        <v>0.10509999841451645</v>
      </c>
    </row>
    <row r="83" spans="1:32" x14ac:dyDescent="0.2">
      <c r="A83" s="158" t="s">
        <v>235</v>
      </c>
      <c r="B83" s="158">
        <v>0.10719999670982361</v>
      </c>
      <c r="C83" s="158">
        <v>0.10679999738931656</v>
      </c>
      <c r="D83" s="158">
        <v>0.10670000314712524</v>
      </c>
      <c r="E83" s="158">
        <v>0.10649999976158142</v>
      </c>
      <c r="F83" s="158">
        <v>0.10639999806880951</v>
      </c>
      <c r="G83" s="158">
        <v>0.10670000314712524</v>
      </c>
      <c r="H83" s="158">
        <v>0.10660000145435333</v>
      </c>
      <c r="I83" s="158">
        <v>0.10639999806880951</v>
      </c>
      <c r="J83" s="158">
        <v>0.10639999806880951</v>
      </c>
      <c r="K83" s="158">
        <v>0.10639999806880951</v>
      </c>
      <c r="L83" s="158">
        <v>0.10639999806880951</v>
      </c>
      <c r="M83" s="158">
        <v>0.10610000044107437</v>
      </c>
      <c r="N83" s="158">
        <v>0.10580000281333923</v>
      </c>
      <c r="O83" s="158">
        <v>0.10559999942779541</v>
      </c>
      <c r="P83" s="158">
        <v>0.10540000349283218</v>
      </c>
      <c r="Q83" s="158">
        <v>0.10540000349283218</v>
      </c>
      <c r="R83" s="158">
        <v>0.1054999977350235</v>
      </c>
      <c r="S83" s="158">
        <v>0.10559999942779541</v>
      </c>
      <c r="T83" s="158">
        <v>0.10589999705553055</v>
      </c>
      <c r="U83" s="158">
        <v>0.10599999874830246</v>
      </c>
      <c r="V83" s="158">
        <f t="shared" si="1"/>
        <v>0.10604999959468842</v>
      </c>
      <c r="W83" s="158">
        <v>0.10610000044107437</v>
      </c>
      <c r="X83" s="158">
        <v>0.10580000281333923</v>
      </c>
      <c r="Y83" s="158">
        <v>0.1054999977350235</v>
      </c>
      <c r="Z83" s="158">
        <v>0.10520000010728836</v>
      </c>
      <c r="AA83" s="158">
        <v>0.10499999672174454</v>
      </c>
      <c r="AB83" s="158">
        <v>0.10490000247955322</v>
      </c>
      <c r="AC83" s="158">
        <v>0.1046999990940094</v>
      </c>
      <c r="AD83" s="158">
        <v>0.10480000078678131</v>
      </c>
      <c r="AE83" s="158">
        <v>0.10480000078678131</v>
      </c>
      <c r="AF83" s="158">
        <v>0.10499999672174454</v>
      </c>
    </row>
    <row r="84" spans="1:32" x14ac:dyDescent="0.2">
      <c r="A84" s="158" t="s">
        <v>236</v>
      </c>
      <c r="B84" s="158">
        <v>0.10639999806880951</v>
      </c>
      <c r="C84" s="158">
        <v>0.10599999874830246</v>
      </c>
      <c r="D84" s="158">
        <v>0.10580000281333923</v>
      </c>
      <c r="E84" s="158">
        <v>0.10580000281333923</v>
      </c>
      <c r="F84" s="158">
        <v>0.10610000044107437</v>
      </c>
      <c r="G84" s="158">
        <v>0.10620000213384628</v>
      </c>
      <c r="H84" s="158">
        <v>0.10610000044107437</v>
      </c>
      <c r="I84" s="158">
        <v>0.10599999874830246</v>
      </c>
      <c r="J84" s="158">
        <v>0.10580000281333923</v>
      </c>
      <c r="K84" s="158">
        <v>0.10580000281333923</v>
      </c>
      <c r="L84" s="158">
        <v>0.10580000281333923</v>
      </c>
      <c r="M84" s="158">
        <v>0.10559999942779541</v>
      </c>
      <c r="N84" s="158">
        <v>0.10530000180006027</v>
      </c>
      <c r="O84" s="158">
        <v>0.10490000247955322</v>
      </c>
      <c r="P84" s="158">
        <v>0.10490000247955322</v>
      </c>
      <c r="Q84" s="158">
        <v>0.10480000078678131</v>
      </c>
      <c r="R84" s="158">
        <v>0.10480000078678131</v>
      </c>
      <c r="S84" s="158">
        <v>0.10509999841451645</v>
      </c>
      <c r="T84" s="158">
        <v>0.10530000180006027</v>
      </c>
      <c r="U84" s="158">
        <v>0.10559999942779541</v>
      </c>
      <c r="V84" s="158">
        <f t="shared" si="1"/>
        <v>0.10619999840855598</v>
      </c>
      <c r="W84" s="158">
        <v>0.10679999738931656</v>
      </c>
      <c r="X84" s="158">
        <v>0.1062999963760376</v>
      </c>
      <c r="Y84" s="158">
        <v>0.10589999705553055</v>
      </c>
      <c r="Z84" s="158">
        <v>0.10580000281333923</v>
      </c>
      <c r="AA84" s="158">
        <v>0.10570000112056732</v>
      </c>
      <c r="AB84" s="158">
        <v>0.10540000349283218</v>
      </c>
      <c r="AC84" s="158">
        <v>0.1054999977350235</v>
      </c>
      <c r="AD84" s="158">
        <v>0.10520000010728836</v>
      </c>
      <c r="AE84" s="158">
        <v>0.10540000349283218</v>
      </c>
      <c r="AF84" s="158">
        <v>0.10480000078678131</v>
      </c>
    </row>
    <row r="85" spans="1:32" x14ac:dyDescent="0.2">
      <c r="A85" s="158" t="s">
        <v>237</v>
      </c>
      <c r="B85" s="158">
        <v>0.10670000314712524</v>
      </c>
      <c r="C85" s="158">
        <v>0.1062999963760376</v>
      </c>
      <c r="D85" s="158">
        <v>0.10620000213384628</v>
      </c>
      <c r="E85" s="158">
        <v>0.10610000044107437</v>
      </c>
      <c r="F85" s="158">
        <v>0.10599999874830246</v>
      </c>
      <c r="G85" s="158">
        <v>0.1062999963760376</v>
      </c>
      <c r="H85" s="158">
        <v>0.10620000213384628</v>
      </c>
      <c r="I85" s="158">
        <v>0.10610000044107437</v>
      </c>
      <c r="J85" s="158">
        <v>0.10649999976158142</v>
      </c>
      <c r="K85" s="158">
        <v>0.10599999874830246</v>
      </c>
      <c r="L85" s="158">
        <v>0.10610000044107437</v>
      </c>
      <c r="M85" s="158">
        <v>0.10589999705553055</v>
      </c>
      <c r="N85" s="158">
        <v>0.1054999977350235</v>
      </c>
      <c r="O85" s="158">
        <v>0.10520000010728836</v>
      </c>
      <c r="P85" s="158">
        <v>0.10499999672174454</v>
      </c>
      <c r="Q85" s="158">
        <v>0.10499999672174454</v>
      </c>
      <c r="R85" s="158">
        <v>0.10509999841451645</v>
      </c>
      <c r="S85" s="158">
        <v>0.10520000010728836</v>
      </c>
      <c r="T85" s="158">
        <v>0.1054999977350235</v>
      </c>
      <c r="U85" s="158">
        <v>0.10559999942779541</v>
      </c>
      <c r="V85" s="158">
        <f t="shared" si="1"/>
        <v>0.10559999942779541</v>
      </c>
      <c r="W85" s="158">
        <v>0.10559999942779541</v>
      </c>
      <c r="X85" s="158">
        <v>0.10540000349283218</v>
      </c>
      <c r="Y85" s="158">
        <v>0.10509999841451645</v>
      </c>
      <c r="Z85" s="158">
        <v>0.10480000078678131</v>
      </c>
      <c r="AA85" s="158">
        <v>0.10459999740123749</v>
      </c>
      <c r="AB85" s="158">
        <v>0.10440000146627426</v>
      </c>
      <c r="AC85" s="158">
        <v>0.10429999977350235</v>
      </c>
      <c r="AD85" s="158">
        <v>0.10429999977350235</v>
      </c>
      <c r="AE85" s="158">
        <v>0.10440000146627426</v>
      </c>
      <c r="AF85" s="158">
        <v>0.10459999740123749</v>
      </c>
    </row>
    <row r="86" spans="1:32" x14ac:dyDescent="0.2">
      <c r="A86" s="158" t="s">
        <v>238</v>
      </c>
      <c r="B86" s="158">
        <v>0.10679999738931656</v>
      </c>
      <c r="C86" s="158">
        <v>0.10649999976158142</v>
      </c>
      <c r="D86" s="158">
        <v>0.10639999806880951</v>
      </c>
      <c r="E86" s="158">
        <v>0.1062999963760376</v>
      </c>
      <c r="F86" s="158">
        <v>0.10620000213384628</v>
      </c>
      <c r="G86" s="158">
        <v>0.10639999806880951</v>
      </c>
      <c r="H86" s="158">
        <v>0.1062999963760376</v>
      </c>
      <c r="I86" s="158">
        <v>0.10620000213384628</v>
      </c>
      <c r="J86" s="158">
        <v>0.10610000044107437</v>
      </c>
      <c r="K86" s="158">
        <v>0.10610000044107437</v>
      </c>
      <c r="L86" s="158">
        <v>0.10610000044107437</v>
      </c>
      <c r="M86" s="158">
        <v>0.10580000281333923</v>
      </c>
      <c r="N86" s="158">
        <v>0.10559999942779541</v>
      </c>
      <c r="O86" s="158">
        <v>0.1054999977350235</v>
      </c>
      <c r="P86" s="158">
        <v>0.10509999841451645</v>
      </c>
      <c r="Q86" s="158">
        <v>0.10509999841451645</v>
      </c>
      <c r="R86" s="158">
        <v>0.10520000010728836</v>
      </c>
      <c r="S86" s="158">
        <v>0.10530000180006027</v>
      </c>
      <c r="T86" s="158">
        <v>0.10559999942779541</v>
      </c>
      <c r="U86" s="158">
        <v>0.10559999942779541</v>
      </c>
      <c r="V86" s="158">
        <f t="shared" si="1"/>
        <v>0.10565000027418137</v>
      </c>
      <c r="W86" s="158">
        <v>0.10570000112056732</v>
      </c>
      <c r="X86" s="158">
        <v>0.10540000349283218</v>
      </c>
      <c r="Y86" s="158">
        <v>0.10509999841451645</v>
      </c>
      <c r="Z86" s="158">
        <v>0.10490000247955322</v>
      </c>
      <c r="AA86" s="158">
        <v>0.10459999740123749</v>
      </c>
      <c r="AB86" s="158">
        <v>0.10450000315904617</v>
      </c>
      <c r="AC86" s="158">
        <v>0.10440000146627426</v>
      </c>
      <c r="AD86" s="158">
        <v>0.10440000146627426</v>
      </c>
      <c r="AE86" s="158">
        <v>0.10440000146627426</v>
      </c>
      <c r="AF86" s="158">
        <v>0.10459999740123749</v>
      </c>
    </row>
    <row r="87" spans="1:32" x14ac:dyDescent="0.2">
      <c r="A87" s="158" t="s">
        <v>239</v>
      </c>
      <c r="B87" s="158">
        <v>0.10679999738931656</v>
      </c>
      <c r="C87" s="158">
        <v>0.1062999963760376</v>
      </c>
      <c r="D87" s="158">
        <v>0.10620000213384628</v>
      </c>
      <c r="E87" s="158">
        <v>0.10610000044107437</v>
      </c>
      <c r="F87" s="158">
        <v>0.10610000044107437</v>
      </c>
      <c r="G87" s="158">
        <v>0.10620000213384628</v>
      </c>
      <c r="H87" s="158">
        <v>0.10620000213384628</v>
      </c>
      <c r="I87" s="158">
        <v>0.10599999874830246</v>
      </c>
      <c r="J87" s="158">
        <v>0.10589999705553055</v>
      </c>
      <c r="K87" s="158">
        <v>0.10589999705553055</v>
      </c>
      <c r="L87" s="158">
        <v>0.10589999705553055</v>
      </c>
      <c r="M87" s="158">
        <v>0.10570000112056732</v>
      </c>
      <c r="N87" s="158">
        <v>0.10540000349283218</v>
      </c>
      <c r="O87" s="158">
        <v>0.10520000010728836</v>
      </c>
      <c r="P87" s="158">
        <v>0.10490000247955322</v>
      </c>
      <c r="Q87" s="158">
        <v>0.10499999672174454</v>
      </c>
      <c r="R87" s="158">
        <v>0.10499999672174454</v>
      </c>
      <c r="S87" s="158">
        <v>0.10520000010728836</v>
      </c>
      <c r="T87" s="158">
        <v>0.1054999977350235</v>
      </c>
      <c r="U87" s="158">
        <v>0.1054999977350235</v>
      </c>
      <c r="V87" s="158">
        <f t="shared" si="1"/>
        <v>0.1054999977350235</v>
      </c>
      <c r="W87" s="158">
        <v>0.1054999977350235</v>
      </c>
      <c r="X87" s="158">
        <v>0.10520000010728836</v>
      </c>
      <c r="Y87" s="158">
        <v>0.10499999672174454</v>
      </c>
      <c r="Z87" s="158">
        <v>0.1046999990940094</v>
      </c>
      <c r="AA87" s="158">
        <v>0.10450000315904617</v>
      </c>
      <c r="AB87" s="158">
        <v>0.10440000146627426</v>
      </c>
      <c r="AC87" s="158">
        <v>0.10429999977350235</v>
      </c>
      <c r="AD87" s="158">
        <v>0.10419999808073044</v>
      </c>
      <c r="AE87" s="158">
        <v>0.10429999977350235</v>
      </c>
      <c r="AF87" s="158">
        <v>0.10450000315904617</v>
      </c>
    </row>
    <row r="88" spans="1:32" x14ac:dyDescent="0.2">
      <c r="A88" s="158" t="s">
        <v>240</v>
      </c>
      <c r="B88" s="158">
        <v>0.10649999976158142</v>
      </c>
      <c r="C88" s="158">
        <v>0.10610000044107437</v>
      </c>
      <c r="D88" s="158">
        <v>0.10589999705553055</v>
      </c>
      <c r="E88" s="158">
        <v>0.10589999705553055</v>
      </c>
      <c r="F88" s="158">
        <v>0.10589999705553055</v>
      </c>
      <c r="G88" s="158">
        <v>0.10599999874830246</v>
      </c>
      <c r="H88" s="158">
        <v>0.10620000213384628</v>
      </c>
      <c r="I88" s="158">
        <v>0.10570000112056732</v>
      </c>
      <c r="J88" s="158">
        <v>0.10570000112056732</v>
      </c>
      <c r="K88" s="158">
        <v>0.10559999942779541</v>
      </c>
      <c r="L88" s="158">
        <v>0.10570000112056732</v>
      </c>
      <c r="M88" s="158">
        <v>0.10540000349283218</v>
      </c>
      <c r="N88" s="158">
        <v>0.10520000010728836</v>
      </c>
      <c r="O88" s="158">
        <v>0.10490000247955322</v>
      </c>
      <c r="P88" s="158">
        <v>0.1046999990940094</v>
      </c>
      <c r="Q88" s="158">
        <v>0.1046999990940094</v>
      </c>
      <c r="R88" s="158">
        <v>0.1046999990940094</v>
      </c>
      <c r="S88" s="158">
        <v>0.10509999841451645</v>
      </c>
      <c r="T88" s="158">
        <v>0.10520000010728836</v>
      </c>
      <c r="U88" s="158">
        <v>0.10530000180006027</v>
      </c>
      <c r="V88" s="158">
        <f t="shared" si="1"/>
        <v>0.10530000180006027</v>
      </c>
      <c r="W88" s="158">
        <v>0.10530000180006027</v>
      </c>
      <c r="X88" s="158">
        <v>0.10499999672174454</v>
      </c>
      <c r="Y88" s="158">
        <v>0.10480000078678131</v>
      </c>
      <c r="Z88" s="158">
        <v>0.10450000315904617</v>
      </c>
      <c r="AA88" s="158">
        <v>0.10419999808073044</v>
      </c>
      <c r="AB88" s="158">
        <v>0.10409999638795853</v>
      </c>
      <c r="AC88" s="158">
        <v>0.10400000214576721</v>
      </c>
      <c r="AD88" s="158">
        <v>0.10400000214576721</v>
      </c>
      <c r="AE88" s="158">
        <v>0.10409999638795853</v>
      </c>
      <c r="AF88" s="158">
        <v>0.10419999808073044</v>
      </c>
    </row>
    <row r="89" spans="1:32" x14ac:dyDescent="0.2">
      <c r="A89" s="158" t="s">
        <v>241</v>
      </c>
      <c r="B89" s="158">
        <v>0.10740000009536743</v>
      </c>
      <c r="C89" s="158">
        <v>0.10700000077486038</v>
      </c>
      <c r="D89" s="158">
        <v>0.10700000077486038</v>
      </c>
      <c r="E89" s="158">
        <v>0.10670000314712524</v>
      </c>
      <c r="F89" s="158">
        <v>0.10660000145435333</v>
      </c>
      <c r="G89" s="158">
        <v>0.10689999908208847</v>
      </c>
      <c r="H89" s="158">
        <v>0.10670000314712524</v>
      </c>
      <c r="I89" s="158">
        <v>0.10660000145435333</v>
      </c>
      <c r="J89" s="158">
        <v>0.10649999976158142</v>
      </c>
      <c r="K89" s="158">
        <v>0.10649999976158142</v>
      </c>
      <c r="L89" s="158">
        <v>0.10679999738931656</v>
      </c>
      <c r="M89" s="158">
        <v>0.1062999963760376</v>
      </c>
      <c r="N89" s="158">
        <v>0.10599999874830246</v>
      </c>
      <c r="O89" s="158">
        <v>0.10580000281333923</v>
      </c>
      <c r="P89" s="158">
        <v>0.1054999977350235</v>
      </c>
      <c r="Q89" s="158">
        <v>0.1054999977350235</v>
      </c>
      <c r="R89" s="158">
        <v>0.10559999942779541</v>
      </c>
      <c r="S89" s="158">
        <v>0.10570000112056732</v>
      </c>
      <c r="T89" s="158">
        <v>0.10599999874830246</v>
      </c>
      <c r="U89" s="158">
        <v>0.10610000044107437</v>
      </c>
      <c r="V89" s="158">
        <f t="shared" si="1"/>
        <v>0.10610000044107437</v>
      </c>
      <c r="W89" s="158">
        <v>0.10610000044107437</v>
      </c>
      <c r="X89" s="158">
        <v>0.10580000281333923</v>
      </c>
      <c r="Y89" s="158">
        <v>0.1054999977350235</v>
      </c>
      <c r="Z89" s="158">
        <v>0.10530000180006027</v>
      </c>
      <c r="AA89" s="158">
        <v>0.10499999672174454</v>
      </c>
      <c r="AB89" s="158">
        <v>0.10490000247955322</v>
      </c>
      <c r="AC89" s="158">
        <v>0.10480000078678131</v>
      </c>
      <c r="AD89" s="158">
        <v>0.10490000247955322</v>
      </c>
      <c r="AE89" s="158">
        <v>0.10480000078678131</v>
      </c>
      <c r="AF89" s="158">
        <v>0.10499999672174454</v>
      </c>
    </row>
    <row r="90" spans="1:32" x14ac:dyDescent="0.2">
      <c r="A90" s="158" t="s">
        <v>242</v>
      </c>
      <c r="B90" s="158">
        <v>0.10719999670982361</v>
      </c>
      <c r="C90" s="158">
        <v>0.10660000145435333</v>
      </c>
      <c r="D90" s="158">
        <v>0.10639999806880951</v>
      </c>
      <c r="E90" s="158">
        <v>0.10639999806880951</v>
      </c>
      <c r="F90" s="158">
        <v>0.10620000213384628</v>
      </c>
      <c r="G90" s="158">
        <v>0.10639999806880951</v>
      </c>
      <c r="H90" s="158">
        <v>0.10620000213384628</v>
      </c>
      <c r="I90" s="158">
        <v>0.10610000044107437</v>
      </c>
      <c r="J90" s="158">
        <v>0.10599999874830246</v>
      </c>
      <c r="K90" s="158">
        <v>0.10610000044107437</v>
      </c>
      <c r="L90" s="158">
        <v>0.10599999874830246</v>
      </c>
      <c r="M90" s="158">
        <v>0.10580000281333923</v>
      </c>
      <c r="N90" s="158">
        <v>0.1054999977350235</v>
      </c>
      <c r="O90" s="158">
        <v>0.10540000349283218</v>
      </c>
      <c r="P90" s="158">
        <v>0.10499999672174454</v>
      </c>
      <c r="Q90" s="158">
        <v>0.10509999841451645</v>
      </c>
      <c r="R90" s="158">
        <v>0.10509999841451645</v>
      </c>
      <c r="S90" s="158">
        <v>0.10520000010728836</v>
      </c>
      <c r="T90" s="158">
        <v>0.1054999977350235</v>
      </c>
      <c r="U90" s="158">
        <v>0.10559999942779541</v>
      </c>
      <c r="V90" s="158">
        <f t="shared" si="1"/>
        <v>0.10559999942779541</v>
      </c>
      <c r="W90" s="158">
        <v>0.10559999942779541</v>
      </c>
      <c r="X90" s="158">
        <v>0.10540000349283218</v>
      </c>
      <c r="Y90" s="158">
        <v>0.10509999841451645</v>
      </c>
      <c r="Z90" s="158">
        <v>0.10490000247955322</v>
      </c>
      <c r="AA90" s="158">
        <v>0.10459999740123749</v>
      </c>
      <c r="AB90" s="158">
        <v>0.10440000146627426</v>
      </c>
      <c r="AC90" s="158">
        <v>0.10440000146627426</v>
      </c>
      <c r="AD90" s="158">
        <v>0.10440000146627426</v>
      </c>
      <c r="AE90" s="158">
        <v>0.10440000146627426</v>
      </c>
      <c r="AF90" s="158">
        <v>0.10459999740123749</v>
      </c>
    </row>
    <row r="91" spans="1:32" x14ac:dyDescent="0.2">
      <c r="A91" s="158" t="s">
        <v>243</v>
      </c>
      <c r="B91" s="158">
        <v>0.10740000009536743</v>
      </c>
      <c r="C91" s="158">
        <v>0.10679999738931656</v>
      </c>
      <c r="D91" s="158">
        <v>0.10660000145435333</v>
      </c>
      <c r="E91" s="158">
        <v>0.10639999806880951</v>
      </c>
      <c r="F91" s="158">
        <v>0.1062999963760376</v>
      </c>
      <c r="G91" s="158">
        <v>0.10649999976158142</v>
      </c>
      <c r="H91" s="158">
        <v>0.1062999963760376</v>
      </c>
      <c r="I91" s="158">
        <v>0.10620000213384628</v>
      </c>
      <c r="J91" s="158">
        <v>0.10610000044107437</v>
      </c>
      <c r="K91" s="158">
        <v>0.10610000044107437</v>
      </c>
      <c r="L91" s="158">
        <v>0.10599999874830246</v>
      </c>
      <c r="M91" s="158">
        <v>0.10580000281333923</v>
      </c>
      <c r="N91" s="158">
        <v>0.1054999977350235</v>
      </c>
      <c r="O91" s="158">
        <v>0.10530000180006027</v>
      </c>
      <c r="P91" s="158">
        <v>0.10499999672174454</v>
      </c>
      <c r="Q91" s="158">
        <v>0.10499999672174454</v>
      </c>
      <c r="R91" s="158">
        <v>0.10509999841451645</v>
      </c>
      <c r="S91" s="158">
        <v>0.10520000010728836</v>
      </c>
      <c r="T91" s="158">
        <v>0.1054999977350235</v>
      </c>
      <c r="U91" s="158">
        <v>0.10559999942779541</v>
      </c>
      <c r="V91" s="158">
        <f t="shared" si="1"/>
        <v>0.10559999942779541</v>
      </c>
      <c r="W91" s="158">
        <v>0.10559999942779541</v>
      </c>
      <c r="X91" s="158">
        <v>0.10530000180006027</v>
      </c>
      <c r="Y91" s="158">
        <v>0.10509999841451645</v>
      </c>
      <c r="Z91" s="158">
        <v>0.10480000078678131</v>
      </c>
      <c r="AA91" s="158">
        <v>0.10450000315904617</v>
      </c>
      <c r="AB91" s="158">
        <v>0.10440000146627426</v>
      </c>
      <c r="AC91" s="158">
        <v>0.10429999977350235</v>
      </c>
      <c r="AD91" s="158">
        <v>0.10429999977350235</v>
      </c>
      <c r="AE91" s="158">
        <v>0.10429999977350235</v>
      </c>
      <c r="AF91" s="158">
        <v>0.10450000315904617</v>
      </c>
    </row>
    <row r="92" spans="1:32" x14ac:dyDescent="0.2">
      <c r="A92" s="158" t="s">
        <v>244</v>
      </c>
      <c r="B92" s="158">
        <v>0.10750000178813934</v>
      </c>
      <c r="C92" s="158">
        <v>0.10639999806880951</v>
      </c>
      <c r="D92" s="158">
        <v>0.10639999806880951</v>
      </c>
      <c r="E92" s="158">
        <v>0.10670000314712524</v>
      </c>
      <c r="F92" s="158">
        <v>0.10639999806880951</v>
      </c>
      <c r="G92" s="158">
        <v>0.10660000145435333</v>
      </c>
      <c r="H92" s="158">
        <v>0.1062999963760376</v>
      </c>
      <c r="I92" s="158">
        <v>0.10620000213384628</v>
      </c>
      <c r="J92" s="158">
        <v>0.10599999874830246</v>
      </c>
      <c r="K92" s="158">
        <v>0.10599999874830246</v>
      </c>
      <c r="L92" s="158">
        <v>0.10599999874830246</v>
      </c>
      <c r="M92" s="158">
        <v>0.10570000112056732</v>
      </c>
      <c r="N92" s="158">
        <v>0.1054999977350235</v>
      </c>
      <c r="O92" s="158">
        <v>0.10530000180006027</v>
      </c>
      <c r="P92" s="158">
        <v>0.10490000247955322</v>
      </c>
      <c r="Q92" s="158">
        <v>0.10490000247955322</v>
      </c>
      <c r="R92" s="158">
        <v>0.10499999672174454</v>
      </c>
      <c r="S92" s="158">
        <v>0.10509999841451645</v>
      </c>
      <c r="T92" s="158">
        <v>0.10530000180006027</v>
      </c>
      <c r="U92" s="158">
        <v>0.10530000180006027</v>
      </c>
      <c r="V92" s="158">
        <f t="shared" si="1"/>
        <v>0.10530000180006027</v>
      </c>
      <c r="W92" s="158">
        <v>0.10530000180006027</v>
      </c>
      <c r="X92" s="158">
        <v>0.10499999672174454</v>
      </c>
      <c r="Y92" s="158">
        <v>0.1046999990940094</v>
      </c>
      <c r="Z92" s="158">
        <v>0.10450000315904617</v>
      </c>
      <c r="AA92" s="158">
        <v>0.10419999808073044</v>
      </c>
      <c r="AB92" s="158">
        <v>0.10400000214576721</v>
      </c>
      <c r="AC92" s="158">
        <v>0.10400000214576721</v>
      </c>
      <c r="AD92" s="158">
        <v>0.10409999638795853</v>
      </c>
      <c r="AE92" s="158">
        <v>0.1039000004529953</v>
      </c>
      <c r="AF92" s="158">
        <v>0.10350000113248825</v>
      </c>
    </row>
    <row r="93" spans="1:32" x14ac:dyDescent="0.2">
      <c r="A93" s="156" t="s">
        <v>423</v>
      </c>
      <c r="B93" s="156">
        <f>$B$55-AVERAGE($B$57,$B$58,$B$59,$B$60,$B$61,$B$62,$B$63,$B$64,$B$65,$B$67,$B$68,$B$69,$B$70,$B$71,$B$72,$B$73,$B$74,$B$75,$B$76,$B$77,$B$78,$B$79,$B$80,$B$81,$B$82,$B$83,$B$84,$B$85,$B$86,$B$87,$B$88,$B$89,$B$90,$B$91,$B$92)</f>
        <v>2.5628560355731439E-3</v>
      </c>
      <c r="C93" s="156">
        <f>$C$55-AVERAGE($C$57,$C$58,$C$59,$C$60,$C$61,$C$62,$C$63,$C$64,$C$65,$C$67,$C$68,$C$69,$C$70,$C$71,$C$72,$C$73,$C$74,$C$75,$C$76,$C$77,$C$78,$C$79,$C$80,$C$81,$C$82,$C$83,$C$84,$C$85,$C$86,$C$87,$C$88,$C$89,$C$90,$C$91,$C$92)</f>
        <v>2.7000031300953437E-3</v>
      </c>
      <c r="D93" s="156">
        <f>$D$55-AVERAGE($D$57,$D$58,$D$59,$D$60,$D$61,$D$62,$D$63,$D$64,$D$65,$D$67,$D$68,$D$69,$D$70,$D$71,$D$72,$D$73,$D$74,$D$75,$D$76,$D$77,$D$78,$D$79,$D$80,$D$81,$D$82,$D$83,$D$84,$D$85,$D$86,$D$87,$D$88,$D$89,$D$90,$D$91,$D$92)</f>
        <v>3.0085702027593392E-3</v>
      </c>
      <c r="E93" s="156">
        <f>$E$55-AVERAGE($E$57,$E$58,$E$59,$E$60,$E$61,$E$62,$E$63,$E$64,$E$65,$E$67,$E$68,$E$69,$E$70,$E$71,$E$72,$E$73,$E$74,$E$75,$E$76,$E$77,$E$78,$E$79,$E$80,$E$81,$E$82,$E$83,$E$84,$E$85,$E$86,$E$87,$E$88,$E$89,$E$90,$E$91,$E$92)</f>
        <v>3.4285709261894226E-3</v>
      </c>
      <c r="F93" s="156">
        <f>$F$55-AVERAGE($F$57,$F$58,$F$59,$F$60,$F$61,$F$62,$F$63,$F$64,$F$65,$F$67,$F$68,$F$69,$F$70,$F$71,$F$72,$F$73,$F$74,$F$75,$F$76,$F$77,$F$78,$F$79,$F$80,$F$81,$F$82,$F$83,$F$84,$F$85,$F$86,$F$87,$F$88,$F$89,$F$90,$F$91,$F$92)</f>
        <v>4.2285682899611404E-3</v>
      </c>
      <c r="G93" s="156">
        <f>$G$55-AVERAGE($G$57,$G$58,$G$59,$G$60,$G$61,$G$62,$G$63,$G$64,$G$65,$G$67,$G$68,$G$69,$G$70,$G$71,$G$72,$G$73,$G$74,$G$75,$G$76,$G$77,$G$78,$G$79,$G$80,$G$81,$G$82,$G$83,$G$84,$G$85,$G$86,$G$87,$G$88,$G$89,$G$90,$G$91,$G$92)</f>
        <v>5.3542875817843838E-3</v>
      </c>
      <c r="H93" s="156">
        <f>$H$55-AVERAGE($H$57,$H$58,$H$59,$H$60,$H$61,$H$62,$H$63,$H$64,$H$65,$H$67,$H$68,$H$69,$H$70,$H$71,$H$72,$H$73,$H$74,$H$75,$H$76,$H$77,$H$78,$H$79,$H$80,$H$81,$H$82,$H$83,$H$84,$H$85,$H$86,$H$87,$H$88,$H$89,$H$90,$H$91,$H$92)</f>
        <v>7.4657123003687154E-3</v>
      </c>
      <c r="I93" s="156">
        <f>$I$55-AVERAGE($I$57,$I$58,$I$59,$I$60,$I$61,$I$62,$I$63,$I$64,$I$65,$I$67,$I$68,$I$69,$I$70,$I$71,$I$72,$I$73,$I$74,$I$75,$I$76,$I$77,$I$78,$I$79,$I$80,$I$81,$I$82,$I$83,$I$84,$I$85,$I$86,$I$87,$I$88,$I$89,$I$90,$I$91,$I$92)</f>
        <v>1.1499997121947159E-2</v>
      </c>
      <c r="J93" s="156">
        <f>$J$55-AVERAGE($J$57,$J$58,$J$59,$J$60,$J$61,$J$62,$J$63,$J$64,$J$65,$J$67,$J$68,$J$69,$J$70,$J$71,$J$72,$J$73,$J$74,$J$75,$J$76,$J$77,$J$78,$J$79,$J$80,$J$81,$J$82,$J$83,$J$84,$J$85,$J$86,$J$87,$J$88,$J$89,$J$90,$J$91,$J$92)</f>
        <v>1.7954287571566446E-2</v>
      </c>
      <c r="K93" s="156">
        <f>$K$55-AVERAGE($K$57,$K$58,$K$59,$K$60,$K$61,$K$62,$K$63,$K$64,$K$65,$K$67,$K$68,$K$69,$K$70,$K$71,$K$72,$K$73,$K$74,$K$75,$K$76,$K$77,$K$78,$K$79,$K$80,$K$81,$K$82,$K$83,$K$84,$K$85,$K$86,$K$87,$K$88,$K$89,$K$90,$K$91,$K$92)</f>
        <v>2.7971435444695603E-2</v>
      </c>
      <c r="L93" s="156">
        <f>$L$55-AVERAGE($L$57,$L$58,$L$59,$L$60,$L$61,$L$62,$L$63,$L$64,$L$65,$L$67,$L$68,$L$69,$L$70,$L$71,$L$72,$L$73,$L$74,$L$75,$L$76,$L$77,$L$78,$L$79,$L$80,$L$81,$L$82,$L$83,$L$84,$L$85,$L$86,$L$87,$L$88,$L$89,$L$90,$L$91,$L$92)</f>
        <v>4.3262855282851634E-2</v>
      </c>
      <c r="M93" s="156">
        <f>$M$55-AVERAGE($M$57,$M$58,$M$59,$M$60,$M$61,$M$62,$M$63,$M$64,$M$65,$M$67,$M$68,$M$69,$M$70,$M$71,$M$72,$M$73,$M$74,$M$75,$M$76,$M$77,$M$78,$M$79,$M$80,$M$81,$M$82,$M$83,$M$84,$M$85,$M$86,$M$87,$M$88,$M$89,$M$90,$M$91,$M$92)</f>
        <v>6.4445709543568749E-2</v>
      </c>
      <c r="N93" s="156">
        <f>$N$55-AVERAGE($N$57,$N$58,$N$59,$N$60,$N$61,$N$62,$N$63,$N$64,$N$65,$N$67,$N$68,$N$69,$N$70,$N$71,$N$72,$N$73,$N$74,$N$75,$N$76,$N$77,$N$78,$N$79,$N$80,$N$81,$N$82,$N$83,$N$84,$N$85,$N$86,$N$87,$N$88,$N$89,$N$90,$N$91,$N$92)</f>
        <v>9.2802853030817853E-2</v>
      </c>
      <c r="O93" s="156">
        <f>$O$55-AVERAGE($O$57,$O$58,$O$59,$O$60,$O$61,$O$62,$O$63,$O$64,$O$65,$O$67,$O$68,$O$69,$O$70,$O$71,$O$72,$O$73,$O$74,$O$75,$O$76,$O$77,$O$78,$O$79,$O$80,$O$81,$O$82,$O$83,$O$84,$O$85,$O$86,$O$87,$O$88,$O$89,$O$90,$O$91,$O$92)</f>
        <v>0.12757999982152668</v>
      </c>
      <c r="P93" s="156">
        <f>$P$55-AVERAGE($P$57,$P$58,$P$59,$P$60,$P$61,$P$62,$P$63,$P$64,$P$65,$P$67,$P$68,$P$69,$P$70,$P$71,$P$72,$P$73,$P$74,$P$75,$P$76,$P$77,$P$78,$P$79,$P$80,$P$81,$P$82,$P$83,$P$84,$P$85,$P$86,$P$87,$P$88,$P$89,$P$90,$P$91,$P$92)</f>
        <v>0.1695885643362999</v>
      </c>
      <c r="Q93" s="156">
        <f>$Q$55-AVERAGE($Q$57,$Q$58,$Q$59,$Q$60,$Q$61,$Q$62,$Q$63,$Q$64,$Q$65,$Q$67,$Q$68,$Q$69,$Q$70,$Q$71,$Q$72,$Q$73,$Q$74,$Q$75,$Q$76,$Q$77,$Q$78,$Q$79,$Q$80,$Q$81,$Q$82,$Q$83,$Q$84,$Q$85,$Q$86,$Q$87,$Q$88,$Q$89,$Q$90,$Q$91,$Q$92)</f>
        <v>0.21698284787791117</v>
      </c>
      <c r="R93" s="156">
        <f>$R$55-AVERAGE($R$57,$R$58,$R$59,$R$60,$R$61,$R$62,$R$63,$R$64,$R$65,$R$67,$R$68,$R$69,$R$70,$R$71,$R$72,$R$73,$R$74,$R$75,$R$76,$R$77,$R$78,$R$79,$R$80,$R$81,$R$82,$R$83,$R$84,$R$85,$R$86,$R$87,$R$88,$R$89,$R$90,$R$91,$R$92)</f>
        <v>0.26407714102949414</v>
      </c>
      <c r="S93" s="156">
        <f>$S$55-AVERAGE($S$57,$S$58,$S$59,$S$60,$S$61,$S$62,$S$63,$S$64,$S$65,$S$67,$S$68,$S$69,$S$70,$S$71,$S$72,$S$73,$S$74,$S$75,$S$76,$S$77,$S$78,$S$79,$S$80,$S$81,$S$82,$S$83,$S$84,$S$85,$S$86,$S$87,$S$88,$S$89,$S$90,$S$91,$S$92)</f>
        <v>0.31101141699722834</v>
      </c>
      <c r="T93" s="156">
        <f>$T$55-AVERAGE($T$57,$T$58,$T$59,$T$60,$T$61,$T$62,$T$63,$T$64,$T$65,$T$67,$T$68,$T$69,$T$70,$T$71,$T$72,$T$73,$T$74,$T$75,$T$76,$T$77,$T$78,$T$79,$T$80,$T$81,$T$82,$T$83,$T$84,$T$85,$T$86,$T$87,$T$88,$T$89,$T$90,$T$91,$T$92)</f>
        <v>0.34608855971268243</v>
      </c>
      <c r="U93" s="156">
        <f>$U$55-AVERAGE($U$57,$U$58,$U$59,$U$60,$U$61,$U$62,$U$63,$U$64,$U$65,$U$67,$U$68,$U$69,$U$70,$U$71,$U$72,$U$73,$U$74,$U$75,$U$76,$U$77,$U$78,$U$79,$U$80,$U$81,$U$82,$U$83,$U$84,$U$85,$U$86,$U$87,$U$88,$U$89,$U$90,$U$91,$U$92)</f>
        <v>0.37653144172259739</v>
      </c>
      <c r="V93" s="156">
        <f>$V$55-AVERAGE($V$57,$V$58,$V$59,$V$60,$V$61,$V$62,$V$63,$V$64,$V$65,$V$67,$V$68,$V$69,$V$70,$V$71,$V$72,$V$73,$V$74,$V$75,$V$76,$V$77,$V$78,$V$79,$V$80,$V$81,$V$82,$V$83,$V$84,$V$85,$V$86,$V$87,$V$88,$V$89,$V$90,$V$91,$V$92)</f>
        <v>0.38120857477188108</v>
      </c>
      <c r="W93" s="156">
        <f>$W$55-AVERAGE($W$57,$W$58,$W$59,$W$60,$W$61,$W$62,$W$63,$W$64,$W$65,$W$67,$W$68,$W$69,$W$70,$W$71,$W$72,$W$73,$W$74,$W$75,$W$76,$W$77,$W$78,$W$79,$W$80,$W$81,$W$82,$W$83,$W$84,$W$85,$W$86,$W$87,$W$88,$W$89,$W$90,$W$91,$W$92)</f>
        <v>0.38588570782116483</v>
      </c>
      <c r="X93" s="156">
        <f>$X$55-AVERAGE($X$57,$X$58,$X$59,$X$60,$X$61,$X$62,$X$63,$X$64,$X$65,$X$67,$X$68,$X$69,$X$70,$X$71,$X$72,$X$73,$X$74,$X$75,$X$76,$X$77,$X$78,$X$79,$X$80,$X$81,$X$82,$X$83,$X$84,$X$85,$X$86,$X$87,$X$88,$X$89,$X$90,$X$91,$X$92)</f>
        <v>0.38693713694810866</v>
      </c>
      <c r="Y93" s="156">
        <f>$Y$55-AVERAGE($Y$57,$Y$58,$Y$59,$Y$60,$Y$61,$Y$62,$Y$63,$Y$64,$Y$65,$Y$67,$Y$68,$Y$69,$Y$70,$Y$71,$Y$72,$Y$73,$Y$74,$Y$75,$Y$76,$Y$77,$Y$78,$Y$79,$Y$80,$Y$81,$Y$82,$Y$83,$Y$84,$Y$85,$Y$86,$Y$87,$Y$88,$Y$89,$Y$90,$Y$91,$Y$92)</f>
        <v>0.38080570633922306</v>
      </c>
      <c r="Z93" s="156">
        <f>$Z$55-AVERAGE($Z$57,$Z$58,$Z$59,$Z$60,$Z$61,$Z$62,$Z$63,$Z$64,$Z$65,$Z$67,$Z$68,$Z$69,$Z$70,$Z$71,$Z$72,$Z$73,$Z$74,$Z$75,$Z$76,$Z$77,$Z$78,$Z$79,$Z$80,$Z$81,$Z$82,$Z$83,$Z$84,$Z$85,$Z$86,$Z$87,$Z$88,$Z$89,$Z$90,$Z$91,$Z$92)</f>
        <v>0.37507142424583434</v>
      </c>
      <c r="AA93" s="156">
        <f>$AA$55-AVERAGE($AA$57,$AA$58,$AA$59,$AA$60,$AA$61,$AA$62,$AA$63,$AA$64,$AA$65,$AA$67,$AA$68,$AA$69,$AA$70,$AA$71,$AA$72,$AA$73,$AA$74,$AA$75,$AA$76,$AA$77,$AA$78,$AA$79,$AA$80,$AA$81,$AA$82,$AA$83,$AA$84,$AA$85,$AA$86,$AA$87,$AA$88,$AA$89,$AA$90,$AA$91,$AA$92)</f>
        <v>0.37485429133687698</v>
      </c>
      <c r="AB93" s="156">
        <f>$AB$55-AVERAGE($AB$57,$AB$58,$AB$59,$AB$60,$AB$61,$AB$62,$AB$63,$AB$64,$AB$65,$AB$67,$AB$68,$AB$69,$AB$70,$AB$71,$AB$72,$AB$73,$AB$74,$AB$75,$AB$76,$AB$77,$AB$78,$AB$79,$AB$80,$AB$81,$AB$82,$AB$83,$AB$84,$AB$85,$AB$86,$AB$87,$AB$88,$AB$89,$AB$90,$AB$91,$AB$92)</f>
        <v>0.37507142041410718</v>
      </c>
      <c r="AC93" s="156">
        <f>$AC$55-AVERAGE($AC$57,$AC$58,$AC$59,$AC$60,$AC$61,$AC$62,$AC$63,$AC$64,$AC$65,$AC$67,$AC$68,$AC$69,$AC$70,$AC$71,$AC$72,$AC$73,$AC$74,$AC$75,$AC$76,$AC$77,$AC$78,$AC$79,$AC$80,$AC$81,$AC$82,$AC$83,$AC$84,$AC$85,$AC$86,$AC$87,$AC$88,$AC$89,$AC$90,$AC$91,$AC$92)</f>
        <v>0.376911421758788</v>
      </c>
      <c r="AD93" s="156">
        <f>$AD$55-AVERAGE($AD$57,$AD$58,$AD$59,$AD$60,$AD$61,$AD$62,$AD$63,$AD$64,$AD$65,$AD$67,$AD$68,$AD$69,$AD$70,$AD$71,$AD$72,$AD$73,$AD$74,$AD$75,$AD$76,$AD$77,$AD$78,$AD$79,$AD$80,$AD$81,$AD$82,$AD$83,$AD$84,$AD$85,$AD$86,$AD$87,$AD$88,$AD$89,$AD$90,$AD$91,$AD$92)</f>
        <v>0.38275428754942759</v>
      </c>
      <c r="AE93" s="156">
        <f>$AE$55-AVERAGE($AE$57,$AE$58,$AE$59,$AE$60,$AE$61,$AE$62,$AE$63,$AE$64,$AE$65,$AE$67,$AE$68,$AE$69,$AE$70,$AE$71,$AE$72,$AE$73,$AE$74,$AE$75,$AE$76,$AE$77,$AE$78,$AE$79,$AE$80,$AE$81,$AE$82,$AE$83,$AE$84,$AE$85,$AE$86,$AE$87,$AE$88,$AE$89,$AE$90,$AE$91,$AE$92)</f>
        <v>0.39458856454917363</v>
      </c>
      <c r="AF93" s="156">
        <f>$AF$55-AVERAGE($AF$57,$AF$58,$AF$59,$AF$60,$AF$61,$AF$62,$AF$63,$AF$64,$AF$65,$AF$67,$AF$68,$AF$69,$AF$70,$AF$71,$AF$72,$AF$73,$AF$74,$AF$75,$AF$76,$AF$77,$AF$78,$AF$79,$AF$80,$AF$81,$AF$82,$AF$83,$AF$84,$AF$85,$AF$86,$AF$87,$AF$88,$AF$89,$AF$90,$AF$91,$AF$92)</f>
        <v>0.39952570263828552</v>
      </c>
    </row>
    <row r="94" spans="1:32" x14ac:dyDescent="0.2">
      <c r="A94" s="157" t="s">
        <v>424</v>
      </c>
      <c r="B94" s="157">
        <f>$B$56-AVERAGE($B$57,$B$58,$B$59,$B$60,$B$61,$B$62,$B$63,$B$64,$B$65,$B$66,$B$67,$B$68,$B$69,$B$70,$B$71,$B$72,$B$73,$B$74,$B$75,$B$76,$B$77,$B$78,$B$79,$B$80,$B$81,$B$82,$B$83,$B$84,$B$85,$B$86,$B$87,$B$88,$B$89,$B$90,$B$91,$B$92)</f>
        <v>5.4777753021982012E-3</v>
      </c>
      <c r="C94" s="157">
        <f>$C$56-AVERAGE($C$57,$C$58,$C$59,$C$60,$C$61,$C$62,$C$63,$C$64,$C$65,$C$66,$C$67,$C$68,$C$69,$C$70,$C$71,$C$72,$C$73,$C$74,$C$75,$C$76,$C$77,$C$78,$C$79,$C$80,$C$81,$C$82,$C$83,$C$84,$C$85,$C$86,$C$87,$C$88,$C$89,$C$90,$C$91,$C$92)</f>
        <v>6.1444472521543503E-3</v>
      </c>
      <c r="D94" s="157">
        <f>$D$56-AVERAGE($D$57,$D$58,$D$59,$D$60,$D$61,$D$62,$D$63,$D$64,$D$65,$D$66,$D$67,$D$68,$D$69,$D$70,$D$71,$D$72,$D$73,$D$74,$D$75,$D$76,$D$77,$D$78,$D$79,$D$80,$D$81,$D$82,$D$83,$D$84,$D$85,$D$86,$D$87,$D$88,$D$89,$D$90,$D$91,$D$92)</f>
        <v>6.3444411175118537E-3</v>
      </c>
      <c r="E94" s="157">
        <f>$E$56-AVERAGE($E$57,$E$58,$E$59,$E$60,$E$61,$E$62,$E$63,$E$64,$E$65,$E$66,$E$67,$E$68,$E$69,$E$70,$E$71,$E$72,$E$73,$E$74,$E$75,$E$76,$E$77,$E$78,$E$79,$E$80,$E$81,$E$82,$E$83,$E$84,$E$85,$E$86,$E$87,$E$88,$E$89,$E$90,$E$91,$E$92)</f>
        <v>7.0694469743304844E-3</v>
      </c>
      <c r="F94" s="157">
        <f>$F$56-AVERAGE($F$57,$F$58,$F$59,$F$60,$F$61,$F$62,$F$63,$F$64,$F$65,$F$66,$F$67,$F$68,$F$69,$F$70,$F$71,$F$72,$F$73,$F$74,$F$75,$F$76,$F$77,$F$78,$F$79,$F$80,$F$81,$F$82,$F$83,$F$84,$F$85,$F$86,$F$87,$F$88,$F$89,$F$90,$F$91,$F$92)</f>
        <v>8.6694430145952406E-3</v>
      </c>
      <c r="G94" s="157">
        <f>$G$56-AVERAGE($G$57,$G$58,$G$59,$G$60,$G$61,$G$62,$G$63,$G$64,$G$65,$G$66,$G$67,$G$68,$G$69,$G$70,$G$71,$G$72,$G$73,$G$74,$G$75,$G$76,$G$77,$G$78,$G$79,$G$80,$G$81,$G$82,$G$83,$G$84,$G$85,$G$86,$G$87,$G$88,$G$89,$G$90,$G$91,$G$92)</f>
        <v>1.1688887245125235E-2</v>
      </c>
      <c r="H94" s="157">
        <f>$H$56-AVERAGE($H$57,$H$58,$H$59,$H$60,$H$61,$H$62,$H$63,$H$64,$H$65,$H$66,$H$67,$H$68,$H$69,$H$70,$H$71,$H$72,$H$73,$H$74,$H$75,$H$76,$H$77,$H$78,$H$79,$H$80,$H$81,$H$82,$H$83,$H$84,$H$85,$H$86,$H$87,$H$88,$H$89,$H$90,$H$91,$H$92)</f>
        <v>1.7208333437641457E-2</v>
      </c>
      <c r="I94" s="157">
        <f>$I$56-AVERAGE($I$57,$I$58,$I$59,$I$60,$I$61,$I$62,$I$63,$I$64,$I$65,$I$66,$I$67,$I$68,$I$69,$I$70,$I$71,$I$72,$I$73,$I$74,$I$75,$I$76,$I$77,$I$78,$I$79,$I$80,$I$81,$I$82,$I$83,$I$84,$I$85,$I$86,$I$87,$I$88,$I$89,$I$90,$I$91,$I$92)</f>
        <v>2.5744445208046168E-2</v>
      </c>
      <c r="J94" s="157">
        <f>$J$56-AVERAGE($J$57,$J$58,$J$59,$J$60,$J$61,$J$62,$J$63,$J$64,$J$65,$J$66,$J$67,$J$68,$J$69,$J$70,$J$71,$J$72,$J$73,$J$74,$J$75,$J$76,$J$77,$J$78,$J$79,$J$80,$J$81,$J$82,$J$83,$J$84,$J$85,$J$86,$J$87,$J$88,$J$89,$J$90,$J$91,$J$92)</f>
        <v>3.8894444083174065E-2</v>
      </c>
      <c r="K94" s="157">
        <f>$K$56-AVERAGE($K$57,$K$58,$K$59,$K$60,$K$61,$K$62,$K$63,$K$64,$K$65,$K$66,$K$67,$K$68,$K$69,$K$70,$K$71,$K$72,$K$73,$K$74,$K$75,$K$76,$K$77,$K$78,$K$79,$K$80,$K$81,$K$82,$K$83,$K$84,$K$85,$K$86,$K$87,$K$88,$K$89,$K$90,$K$91,$K$92)</f>
        <v>5.7819450894991561E-2</v>
      </c>
      <c r="L94" s="157">
        <f>$L$56-AVERAGE($L$57,$L$58,$L$59,$L$60,$L$61,$L$62,$L$63,$L$64,$L$65,$L$66,$L$67,$L$68,$L$69,$L$70,$L$71,$L$72,$L$73,$L$74,$L$75,$L$76,$L$77,$L$78,$L$79,$L$80,$L$81,$L$82,$L$83,$L$84,$L$85,$L$86,$L$87,$L$88,$L$89,$L$90,$L$91,$L$92)</f>
        <v>8.4794446412059993E-2</v>
      </c>
      <c r="M94" s="157">
        <f>$M$56-AVERAGE($M$57,$M$58,$M$59,$M$60,$M$61,$M$62,$M$63,$M$64,$M$65,$M$66,$M$67,$M$68,$M$69,$M$70,$M$71,$M$72,$M$73,$M$74,$M$75,$M$76,$M$77,$M$78,$M$79,$M$80,$M$81,$M$82,$M$83,$M$84,$M$85,$M$86,$M$87,$M$88,$M$89,$M$90,$M$91,$M$92)</f>
        <v>0.1206777724954817</v>
      </c>
      <c r="N94" s="157">
        <f>$N$56-AVERAGE($N$57,$N$58,$N$59,$N$60,$N$61,$N$62,$N$63,$N$64,$N$65,$N$66,$N$67,$N$68,$N$69,$N$70,$N$71,$N$72,$N$73,$N$74,$N$75,$N$76,$N$77,$N$78,$N$79,$N$80,$N$81,$N$82,$N$83,$N$84,$N$85,$N$86,$N$87,$N$88,$N$89,$N$90,$N$91,$N$92)</f>
        <v>0.159727790289455</v>
      </c>
      <c r="O94" s="157">
        <f>$O$56-AVERAGE($O$57,$O$58,$O$59,$O$60,$O$61,$O$62,$O$63,$O$64,$O$65,$O$66,$O$67,$O$68,$O$69,$O$70,$O$71,$O$72,$O$73,$O$74,$O$75,$O$76,$O$77,$O$78,$O$79,$O$80,$O$81,$O$82,$O$83,$O$84,$O$85,$O$86,$O$87,$O$88,$O$89,$O$90,$O$91,$O$92)</f>
        <v>0.20640278711087173</v>
      </c>
      <c r="P94" s="157">
        <f>$P$56-AVERAGE($P$57,$P$58,$P$59,$P$60,$P$61,$P$62,$P$63,$P$64,$P$65,$P$66,$P$67,$P$68,$P$69,$P$70,$P$71,$P$72,$P$73,$P$74,$P$75,$P$76,$P$77,$P$78,$P$79,$P$80,$P$81,$P$82,$P$83,$P$84,$P$85,$P$86,$P$87,$P$88,$P$89,$P$90,$P$91,$P$92)</f>
        <v>0.25811944694982636</v>
      </c>
      <c r="Q94" s="157">
        <f>$Q$56-AVERAGE($Q$57,$Q$58,$Q$59,$Q$60,$Q$61,$Q$62,$Q$63,$Q$64,$Q$65,$Q$66,$Q$67,$Q$68,$Q$69,$Q$70,$Q$71,$Q$72,$Q$73,$Q$74,$Q$75,$Q$76,$Q$77,$Q$78,$Q$79,$Q$80,$Q$81,$Q$82,$Q$83,$Q$84,$Q$85,$Q$86,$Q$87,$Q$88,$Q$89,$Q$90,$Q$91,$Q$92)</f>
        <v>0.30592222946385544</v>
      </c>
      <c r="R94" s="157">
        <f>$R$56-AVERAGE($R$57,$R$58,$R$59,$R$60,$R$61,$R$62,$R$63,$R$64,$R$65,$R$66,$R$67,$R$68,$R$69,$R$70,$R$71,$R$72,$R$73,$R$74,$R$75,$R$76,$R$77,$R$78,$R$79,$R$80,$R$81,$R$82,$R$83,$R$84,$R$85,$R$86,$R$87,$R$88,$R$89,$R$90,$R$91,$R$92)</f>
        <v>0.35171667424341041</v>
      </c>
      <c r="S94" s="157">
        <f>$S$56-AVERAGE($S$57,$S$58,$S$59,$S$60,$S$61,$S$62,$S$63,$S$64,$S$65,$S$66,$S$67,$S$68,$S$69,$S$70,$S$71,$S$72,$S$73,$S$74,$S$75,$S$76,$S$77,$S$78,$S$79,$S$80,$S$81,$S$82,$S$83,$S$84,$S$85,$S$86,$S$87,$S$88,$S$89,$S$90,$S$91,$S$92)</f>
        <v>0.3935444303270843</v>
      </c>
      <c r="T94" s="157">
        <f>$T$56-AVERAGE($T$57,$T$58,$T$59,$T$60,$T$61,$T$62,$T$63,$T$64,$T$65,$T$66,$T$67,$T$68,$T$69,$T$70,$T$71,$T$72,$T$73,$T$74,$T$75,$T$76,$T$77,$T$78,$T$79,$T$80,$T$81,$T$82,$T$83,$T$84,$T$85,$T$86,$T$87,$T$88,$T$89,$T$90,$T$91,$T$92)</f>
        <v>0.42093335278332233</v>
      </c>
      <c r="U94" s="157">
        <f>$U$56-AVERAGE($U$57,$U$58,$U$59,$U$60,$U$61,$U$62,$U$63,$U$64,$U$65,$U$66,$U$67,$U$68,$U$69,$U$70,$U$71,$U$72,$U$73,$U$74,$U$75,$U$76,$U$77,$U$78,$U$79,$U$80,$U$81,$U$82,$U$83,$U$84,$U$85,$U$86,$U$87,$U$88,$U$89,$U$90,$U$91,$U$92)</f>
        <v>0.4289666596386168</v>
      </c>
      <c r="V94" s="157">
        <f>$V$56-AVERAGE($V$57,$V$58,$V$59,$V$60,$V$61,$V$62,$V$63,$V$64,$V$65,$V$66,$V$67,$V$68,$V$69,$V$70,$V$71,$V$72,$V$73,$V$74,$V$75,$V$76,$V$77,$V$78,$V$79,$V$80,$V$81,$V$82,$V$83,$V$84,$V$85,$V$86,$V$87,$V$88,$V$89,$V$90,$V$91,$V$92)</f>
        <v>0.44149860046390033</v>
      </c>
      <c r="W94" s="157">
        <f>$W$56-AVERAGE($W$57,$W$58,$W$59,$W$60,$W$61,$W$62,$W$63,$W$64,$W$65,$W$66,$W$67,$W$68,$W$69,$W$70,$W$71,$W$72,$W$73,$W$74,$W$75,$W$76,$W$77,$W$78,$W$79,$W$80,$W$81,$W$82,$W$83,$W$84,$W$85,$W$86,$W$87,$W$88,$W$89,$W$90,$W$91,$W$92)</f>
        <v>0.45403054128918385</v>
      </c>
      <c r="X94" s="157">
        <f>$X$56-AVERAGE($X$57,$X$58,$X$59,$X$60,$X$61,$X$62,$X$63,$X$64,$X$65,$X$66,$X$67,$X$68,$X$69,$X$70,$X$71,$X$72,$X$73,$X$74,$X$75,$X$76,$X$77,$X$78,$X$79,$X$80,$X$81,$X$82,$X$83,$X$84,$X$85,$X$86,$X$87,$X$88,$X$89,$X$90,$X$91,$X$92)</f>
        <v>0.46838890657656723</v>
      </c>
      <c r="Y94" s="157">
        <f>$Y$56-AVERAGE($Y$57,$Y$58,$Y$59,$Y$60,$Y$61,$Y$62,$Y$63,$Y$64,$Y$65,$Y$66,$Y$67,$Y$68,$Y$69,$Y$70,$Y$71,$Y$72,$Y$73,$Y$74,$Y$75,$Y$76,$Y$77,$Y$78,$Y$79,$Y$80,$Y$81,$Y$82,$Y$83,$Y$84,$Y$85,$Y$86,$Y$87,$Y$88,$Y$89,$Y$90,$Y$91,$Y$92)</f>
        <v>0.4715499793075853</v>
      </c>
      <c r="Z94" s="157">
        <f>$Z$56-AVERAGE($Z$57,$Z$58,$Z$59,$Z$60,$Z$61,$Z$62,$Z$63,$Z$64,$Z$65,$Z$66,$Z$67,$Z$68,$Z$69,$Z$70,$Z$71,$Z$72,$Z$73,$Z$74,$Z$75,$Z$76,$Z$77,$Z$78,$Z$79,$Z$80,$Z$81,$Z$82,$Z$83,$Z$84,$Z$85,$Z$86,$Z$87,$Z$88,$Z$89,$Z$90,$Z$91,$Z$92)</f>
        <v>0.47391109706626999</v>
      </c>
      <c r="AA94" s="157">
        <f>$AA$56-AVERAGE($AA$57,$AA$58,$AA$59,$AA$60,$AA$61,$AA$62,$AA$63,$AA$64,$AA$65,$AA$66,$AA$67,$AA$68,$AA$69,$AA$70,$AA$71,$AA$72,$AA$73,$AA$74,$AA$75,$AA$76,$AA$77,$AA$78,$AA$79,$AA$80,$AA$81,$AA$82,$AA$83,$AA$84,$AA$85,$AA$86,$AA$87,$AA$88,$AA$89,$AA$90,$AA$91,$AA$92)</f>
        <v>0.47712780141996014</v>
      </c>
      <c r="AB94" s="157">
        <f>$AB$56-AVERAGE($AB$57,$AB$58,$AB$59,$AB$60,$AB$61,$AB$62,$AB$63,$AB$64,$AB$65,$AB$66,$AB$67,$AB$68,$AB$69,$AB$70,$AB$71,$AB$72,$AB$73,$AB$74,$AB$75,$AB$76,$AB$77,$AB$78,$AB$79,$AB$80,$AB$81,$AB$82,$AB$83,$AB$84,$AB$85,$AB$86,$AB$87,$AB$88,$AB$89,$AB$90,$AB$91,$AB$92)</f>
        <v>0.48122774933775264</v>
      </c>
      <c r="AC94" s="157">
        <f>$AC$56-AVERAGE($AC$57,$AC$58,$AC$59,$AC$60,$AC$61,$AC$62,$AC$63,$AC$64,$AC$65,$AC$66,$AC$67,$AC$68,$AC$69,$AC$70,$AC$71,$AC$72,$AC$73,$AC$74,$AC$75,$AC$76,$AC$77,$AC$78,$AC$79,$AC$80,$AC$81,$AC$82,$AC$83,$AC$84,$AC$85,$AC$86,$AC$87,$AC$88,$AC$89,$AC$90,$AC$91,$AC$92)</f>
        <v>0.48518057891892064</v>
      </c>
      <c r="AD94" s="157">
        <f>$AD$56-AVERAGE($AD$57,$AD$58,$AD$59,$AD$60,$AD$61,$AD$62,$AD$63,$AD$64,$AD$65,$AD$66,$AD$67,$AD$68,$AD$69,$AD$70,$AD$71,$AD$72,$AD$73,$AD$74,$AD$75,$AD$76,$AD$77,$AD$78,$AD$79,$AD$80,$AD$81,$AD$82,$AD$83,$AD$84,$AD$85,$AD$86,$AD$87,$AD$88,$AD$89,$AD$90,$AD$91,$AD$92)</f>
        <v>0.48889998160302639</v>
      </c>
      <c r="AE94" s="157">
        <f>$AE$56-AVERAGE($AE$57,$AE$58,$AE$59,$AE$60,$AE$61,$AE$62,$AE$63,$AE$64,$AE$65,$AE$66,$AE$67,$AE$68,$AE$69,$AE$70,$AE$71,$AE$72,$AE$73,$AE$74,$AE$75,$AE$76,$AE$77,$AE$78,$AE$79,$AE$80,$AE$81,$AE$82,$AE$83,$AE$84,$AE$85,$AE$86,$AE$87,$AE$88,$AE$89,$AE$90,$AE$91,$AE$92)</f>
        <v>0.49673891336553627</v>
      </c>
      <c r="AF94" s="157">
        <f>$AF$56-AVERAGE($AF$57,$AF$58,$AF$59,$AF$60,$AF$61,$AF$62,$AF$63,$AF$64,$AF$65,$AF$66,$AF$67,$AF$68,$AF$69,$AF$70,$AF$71,$AF$72,$AF$73,$AF$74,$AF$75,$AF$76,$AF$77,$AF$78,$AF$79,$AF$80,$AF$81,$AF$82,$AF$83,$AF$84,$AF$85,$AF$86,$AF$87,$AF$88,$AF$89,$AF$90,$AF$91,$AF$92)</f>
        <v>0.49928886795209515</v>
      </c>
    </row>
    <row r="95" spans="1:32" x14ac:dyDescent="0.2">
      <c r="A95" t="s">
        <v>425</v>
      </c>
      <c r="H95">
        <f>INDEX(LOGEST($B$93:$H$93,$B$54:$H$54,TRUE,TRUE), 3)</f>
        <v>0.93691744429027513</v>
      </c>
      <c r="I95">
        <f>INDEX(LOGEST($B$93:$I$93,$B$54:$I$54,TRUE,TRUE), 3)</f>
        <v>0.92413165563114097</v>
      </c>
      <c r="J95">
        <f>INDEX(LOGEST($B$93:$J$93,$B$54:$J$54,TRUE,TRUE), 3)</f>
        <v>0.92334896503569841</v>
      </c>
      <c r="K95">
        <f>INDEX(LOGEST($B$93:$K$93,$B$54:$K$54,TRUE,TRUE), 3)</f>
        <v>0.92932485395527697</v>
      </c>
      <c r="L95">
        <f>INDEX(LOGEST($B$93:$L$93,$B$54:$L$54,TRUE,TRUE), 3)</f>
        <v>0.93760908989203717</v>
      </c>
      <c r="M95">
        <f>INDEX(LOGEST($B$93:$M$93,$B$54:$M$54,TRUE,TRUE), 3)</f>
        <v>0.94693700144027493</v>
      </c>
      <c r="N95">
        <f>INDEX(LOGEST($B$93:$N$93,$B$54:$N$54,TRUE,TRUE), 3)</f>
        <v>0.955897621421259</v>
      </c>
      <c r="O95">
        <f>INDEX(LOGEST($B$93:$O$93,$B$54:$O$54,TRUE,TRUE), 3)</f>
        <v>0.96393557525628892</v>
      </c>
      <c r="P95">
        <f>INDEX(LOGEST($B$93:$P$93,$B$54:$P$54,TRUE,TRUE), 3)</f>
        <v>0.97059435827669449</v>
      </c>
      <c r="Q95">
        <f>INDEX(LOGEST($B$93:$Q$93,$B$54:$Q$54,TRUE,TRUE), 3)</f>
        <v>0.97574562784688712</v>
      </c>
      <c r="R95">
        <f>INDEX(LOGEST($B$93:$R$93,$B$54:$R$54,TRUE,TRUE), 3)</f>
        <v>0.97925723507283002</v>
      </c>
      <c r="S95" s="155">
        <f>INDEX(LOGEST($B$93:$S$93,$B$54:$S$54,TRUE,TRUE), 3)</f>
        <v>0.98107528501732755</v>
      </c>
      <c r="T95">
        <f>INDEX(LOGEST($B$93:$T$93,$B$54:$T$54,TRUE,TRUE), 3)</f>
        <v>0.98087441368162342</v>
      </c>
      <c r="U95">
        <f>INDEX(LOGEST($B$93:$U$93,$B$54:$U$54,TRUE,TRUE), 3)</f>
        <v>0.97873617213720865</v>
      </c>
      <c r="V95">
        <f>INDEX(LOGEST($B$93:$V$93,$B$54:$V$54,TRUE,TRUE), 3)</f>
        <v>0.97381729253284344</v>
      </c>
      <c r="W95">
        <f>INDEX(LOGEST($B$93:$W$93,$B$54:$W$54,TRUE,TRUE), 3)</f>
        <v>0.96663378994668903</v>
      </c>
      <c r="X95">
        <f>INDEX(LOGEST($B$93:$X$93,$B$54:$X$54,TRUE,TRUE), 3)</f>
        <v>0.95747218789896038</v>
      </c>
      <c r="Y95">
        <f>INDEX(LOGEST($B$93:$Y$93,$B$54:$Y$54,TRUE,TRUE), 3)</f>
        <v>0.94632344919562073</v>
      </c>
      <c r="Z95">
        <f>INDEX(LOGEST($B$93:$Z$93,$B$54:$Z$54,TRUE,TRUE), 3)</f>
        <v>0.93364099396843792</v>
      </c>
      <c r="AA95">
        <f>INDEX(LOGEST($B$93:$AA$93,$B$54:$AA$54,TRUE,TRUE), 3)</f>
        <v>0.92018532697187128</v>
      </c>
      <c r="AB95">
        <f>INDEX(LOGEST($B$93:$AB$93,$B$54:$AB$54,TRUE,TRUE), 3)</f>
        <v>0.90623477697742505</v>
      </c>
      <c r="AC95">
        <f>INDEX(LOGEST($B$93:$AC$93,$B$54:$AC$54,TRUE,TRUE), 3)</f>
        <v>0.89210170119638765</v>
      </c>
      <c r="AD95">
        <f>INDEX(LOGEST($B$93:$AD$93,$B$54:$AD$54,TRUE,TRUE), 3)</f>
        <v>0.87821465780331442</v>
      </c>
      <c r="AE95">
        <f>INDEX(LOGEST($B$93:$AE$93,$B$54:$AE$54,TRUE,TRUE), 3)</f>
        <v>0.86505341363574673</v>
      </c>
      <c r="AF95">
        <f>INDEX(LOGEST($B$93:$AF$93,$B$54:$AF$54,TRUE,TRUE), 3)</f>
        <v>0.85210885838229855</v>
      </c>
    </row>
    <row r="96" spans="1:32" x14ac:dyDescent="0.2">
      <c r="A96" t="s">
        <v>426</v>
      </c>
      <c r="H96">
        <f>INDEX(LOGEST($B$94:$H$94,$B$54:$H$54,TRUE,TRUE), 3)</f>
        <v>0.89405188025594839</v>
      </c>
      <c r="I96">
        <f>INDEX(LOGEST($B$94:$I$94,$B$54:$I$54,TRUE,TRUE), 3)</f>
        <v>0.90249559610496199</v>
      </c>
      <c r="J96">
        <f>INDEX(LOGEST($B$94:$J$94,$B$54:$J$54,TRUE,TRUE), 3)</f>
        <v>0.91536933947512655</v>
      </c>
      <c r="K96">
        <f>INDEX(LOGEST($B$94:$K$94,$B$54:$K$54,TRUE,TRUE), 3)</f>
        <v>0.92910575079221347</v>
      </c>
      <c r="L96">
        <f>INDEX(LOGEST($B$94:$L$94,$B$54:$L$54,TRUE,TRUE), 3)</f>
        <v>0.94148551914767942</v>
      </c>
      <c r="M96">
        <f>INDEX(LOGEST($B$94:$M$94,$B$54:$M$54,TRUE,TRUE), 3)</f>
        <v>0.95233936823203702</v>
      </c>
      <c r="N96">
        <f>INDEX(LOGEST($B$94:$N$94,$B$54:$N$54,TRUE,TRUE), 3)</f>
        <v>0.96196112962212565</v>
      </c>
      <c r="O96">
        <f>INDEX(LOGEST($B$94:$O$94,$B$54:$O$54,TRUE,TRUE), 3)</f>
        <v>0.96954750555998781</v>
      </c>
      <c r="P96">
        <f>INDEX(LOGEST($B$94:$P$94,$B$54:$P$54,TRUE,TRUE), 3)</f>
        <v>0.97510327651262185</v>
      </c>
      <c r="Q96">
        <f>INDEX(LOGEST($B$94:$Q$94,$B$54:$Q$54,TRUE,TRUE), 3)</f>
        <v>0.97853110175316871</v>
      </c>
      <c r="R96" s="155">
        <f>INDEX(LOGEST($B$94:$R$94,$B$54:$R$54,TRUE,TRUE), 3)</f>
        <v>0.97985712152064075</v>
      </c>
      <c r="S96">
        <f>INDEX(LOGEST($B$94:$S$94,$B$54:$S$54,TRUE,TRUE), 3)</f>
        <v>0.9791777917294241</v>
      </c>
      <c r="T96">
        <f>INDEX(LOGEST($B$94:$T$94,$B$54:$T$54,TRUE,TRUE), 3)</f>
        <v>0.97617800021498746</v>
      </c>
      <c r="U96">
        <f>INDEX(LOGEST($B$94:$U$94,$B$54:$U$54,TRUE,TRUE), 3)</f>
        <v>0.97032628872397442</v>
      </c>
      <c r="V96">
        <f>INDEX(LOGEST($B$94:$V$94,$B$54:$V$54,TRUE,TRUE), 3)</f>
        <v>0.96253944257249213</v>
      </c>
      <c r="W96">
        <f>INDEX(LOGEST($B$94:$W$94,$B$54:$W$54,TRUE,TRUE), 3)</f>
        <v>0.95334864374057615</v>
      </c>
      <c r="X96">
        <f>INDEX(LOGEST($B$94:$X$94,$B$54:$X$54,TRUE,TRUE), 3)</f>
        <v>0.9432981185946967</v>
      </c>
      <c r="Y96">
        <f>INDEX(LOGEST($B$94:$Y$94,$B$54:$Y$54,TRUE,TRUE), 3)</f>
        <v>0.93199264816410499</v>
      </c>
      <c r="Z96">
        <f>INDEX(LOGEST($B$94:$Z$94,$B$54:$Z$54,TRUE,TRUE), 3)</f>
        <v>0.9197457423034584</v>
      </c>
      <c r="AA96">
        <f>INDEX(LOGEST($B$94:$AA$94,$B$54:$AA$54,TRUE,TRUE), 3)</f>
        <v>0.90691156882867396</v>
      </c>
      <c r="AB96">
        <f>INDEX(LOGEST($B$94:$AB$94,$B$54:$AB$54,TRUE,TRUE), 3)</f>
        <v>0.89377393436154318</v>
      </c>
      <c r="AC96">
        <f>INDEX(LOGEST($B$94:$AC$94,$B$54:$AC$54,TRUE,TRUE), 3)</f>
        <v>0.88048892677429214</v>
      </c>
      <c r="AD96">
        <f>INDEX(LOGEST($B$94:$AD$94,$B$54:$AD$54,TRUE,TRUE), 3)</f>
        <v>0.86717038177174621</v>
      </c>
      <c r="AE96">
        <f>INDEX(LOGEST($B$94:$AE$94,$B$54:$AE$54,TRUE,TRUE), 3)</f>
        <v>0.85418550886453015</v>
      </c>
      <c r="AF96">
        <f>INDEX(LOGEST($B$94:$AF$94,$B$54:$AF$54,TRUE,TRUE), 3)</f>
        <v>0.84123410307193092</v>
      </c>
    </row>
    <row r="97" spans="1:19" s="160" customFormat="1" x14ac:dyDescent="0.2">
      <c r="A97" s="160" t="s">
        <v>427</v>
      </c>
      <c r="B97" s="160">
        <f>$K$43*EXP($J$49*$B$54)</f>
        <v>1.5181280790167034E-3</v>
      </c>
      <c r="C97" s="160">
        <f>$K$43*EXP($J$49*$C$54)</f>
        <v>2.1006060836657142E-3</v>
      </c>
      <c r="D97" s="160">
        <f>$K$43*EXP($J$49*$D$54)</f>
        <v>2.9065702556476201E-3</v>
      </c>
      <c r="E97" s="160">
        <f>$K$43*EXP($J$49*$E$54)</f>
        <v>4.0217681538238809E-3</v>
      </c>
      <c r="F97" s="160">
        <f>$K$43*EXP($J$49*$F$54)</f>
        <v>5.5648471086098134E-3</v>
      </c>
      <c r="G97" s="160">
        <f>$K$43*EXP($J$49*$G$54)</f>
        <v>7.6999772631744581E-3</v>
      </c>
      <c r="H97" s="160">
        <f>$K$43*EXP($J$49*$H$54)</f>
        <v>1.0654317844900346E-2</v>
      </c>
      <c r="I97" s="160">
        <f>$K$43*EXP($J$49*$I$54)</f>
        <v>1.474218492605827E-2</v>
      </c>
      <c r="J97" s="160">
        <f>$K$43*EXP($J$49*$J$54)</f>
        <v>2.0398491912659151E-2</v>
      </c>
      <c r="K97" s="160">
        <f>$K$43*EXP($J$49*$K$54)</f>
        <v>2.8225020537852932E-2</v>
      </c>
      <c r="L97" s="160">
        <f>$K$43*EXP($J$49*$L$54)</f>
        <v>3.9054445190030158E-2</v>
      </c>
      <c r="M97" s="160">
        <f>$K$43*EXP($J$49*$M$54)</f>
        <v>5.4038922205762015E-2</v>
      </c>
      <c r="N97" s="160">
        <f>$K$43*EXP($J$49*$N$54)</f>
        <v>7.4772669255736099E-2</v>
      </c>
      <c r="O97" s="160">
        <f>$K$43*EXP($J$49*$O$54)</f>
        <v>0.10346157620130243</v>
      </c>
      <c r="P97" s="160">
        <f>$K$43*EXP($J$49*$P$54)</f>
        <v>0.14315789253754294</v>
      </c>
      <c r="Q97" s="160">
        <f>$K$43*EXP($J$49*$Q$54)</f>
        <v>0.1980849601200326</v>
      </c>
      <c r="R97" s="160">
        <f>$K$43*EXP($J$49*$R$54)</f>
        <v>0.27408653990533471</v>
      </c>
      <c r="S97" s="160">
        <f>$K$43*EXP($J$49*$S$54)</f>
        <v>0.37924853715171764</v>
      </c>
    </row>
    <row r="98" spans="1:19" s="161" customFormat="1" x14ac:dyDescent="0.2">
      <c r="A98" s="161" t="s">
        <v>428</v>
      </c>
      <c r="B98" s="161">
        <f>$Q$43*EXP($P$49*$B$54)</f>
        <v>3.5885062988135989E-3</v>
      </c>
      <c r="C98" s="161">
        <f>$Q$43*EXP($P$49*$C$54)</f>
        <v>4.844139349062632E-3</v>
      </c>
      <c r="D98" s="161">
        <f>$Q$43*EXP($P$49*$D$54)</f>
        <v>6.5391235458873136E-3</v>
      </c>
      <c r="E98" s="161">
        <f>$Q$43*EXP($P$49*$E$54)</f>
        <v>8.8271896547840213E-3</v>
      </c>
      <c r="F98" s="161">
        <f>$Q$43*EXP($P$49*$F$54)</f>
        <v>1.1915859465682103E-2</v>
      </c>
      <c r="G98" s="161">
        <f>$Q$43*EXP($P$49*$G$54)</f>
        <v>1.6085267492687606E-2</v>
      </c>
      <c r="H98" s="161">
        <f>$Q$43*EXP($P$49*$H$54)</f>
        <v>2.1713568463649364E-2</v>
      </c>
      <c r="I98" s="161">
        <f>$Q$43*EXP($P$49*$I$54)</f>
        <v>2.931123499437752E-2</v>
      </c>
      <c r="J98" s="161">
        <f>$Q$43*EXP($P$49*$J$54)</f>
        <v>3.9567356159533162E-2</v>
      </c>
      <c r="K98" s="161">
        <f>$Q$43*EXP($P$49*$K$54)</f>
        <v>5.3412136123082321E-2</v>
      </c>
      <c r="L98" s="161">
        <f>$Q$43*EXP($P$49*$L$54)</f>
        <v>7.2101261295501595E-2</v>
      </c>
      <c r="M98" s="161">
        <f>$Q$43*EXP($P$49*$M$54)</f>
        <v>9.732978790480544E-2</v>
      </c>
      <c r="N98" s="161">
        <f>$Q$43*EXP($P$49*$N$54)</f>
        <v>0.13138587929508849</v>
      </c>
      <c r="O98" s="161">
        <f>$Q$43*EXP($P$49*$O$54)</f>
        <v>0.17735833653544078</v>
      </c>
      <c r="P98" s="161">
        <f>$Q$43*EXP($P$49*$P$54)</f>
        <v>0.23941674483883882</v>
      </c>
      <c r="Q98" s="161">
        <f>$Q$43*EXP($P$49*$Q$54)</f>
        <v>0.32318964436031217</v>
      </c>
      <c r="R98" s="161">
        <f>$Q$43*EXP($P$49*$R$54)</f>
        <v>0.43627502450614164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AA66-6539-0B4D-9CAA-F404F8F139DC}">
  <sheetPr codeName="Sheet53"/>
  <dimension ref="A42:AF102"/>
  <sheetViews>
    <sheetView workbookViewId="0"/>
  </sheetViews>
  <sheetFormatPr baseColWidth="10" defaultRowHeight="15" x14ac:dyDescent="0.2"/>
  <sheetData>
    <row r="42" spans="9:24" x14ac:dyDescent="0.2">
      <c r="I42" t="s">
        <v>249</v>
      </c>
      <c r="O42" t="s">
        <v>249</v>
      </c>
      <c r="U42" t="s">
        <v>249</v>
      </c>
    </row>
    <row r="43" spans="9:24" x14ac:dyDescent="0.2">
      <c r="I43" t="s">
        <v>250</v>
      </c>
      <c r="J43" s="159">
        <f t="array" ref="J43:K47">LOGEST($B$94:$S$94,$B$54:$S$54,TRUE,TRUE)</f>
        <v>1.0003614538414147</v>
      </c>
      <c r="K43" s="159">
        <v>1.3775306780314698E-3</v>
      </c>
      <c r="L43" t="s">
        <v>255</v>
      </c>
      <c r="O43" t="s">
        <v>250</v>
      </c>
      <c r="P43" s="159">
        <f t="array" ref="P43:Q47">LOGEST($B$95:$R$95,$B$54:$R$54,TRUE,TRUE)</f>
        <v>1.0003767333485052</v>
      </c>
      <c r="Q43" s="159">
        <v>1.1955209875586367E-3</v>
      </c>
      <c r="R43" t="s">
        <v>255</v>
      </c>
      <c r="U43" t="s">
        <v>250</v>
      </c>
      <c r="V43" s="159">
        <f t="array" ref="V43:W47">LOGEST($B$96:$Q$96,$B$54:$Q$54,TRUE,TRUE)</f>
        <v>1.0004063339135787</v>
      </c>
      <c r="W43" s="159">
        <v>9.8994682890361048E-4</v>
      </c>
      <c r="X43" t="s">
        <v>255</v>
      </c>
    </row>
    <row r="44" spans="9:24" x14ac:dyDescent="0.2">
      <c r="I44" t="s">
        <v>251</v>
      </c>
      <c r="J44" s="159">
        <v>9.6746827114218863E-6</v>
      </c>
      <c r="K44" s="159">
        <v>8.6718219087922196E-2</v>
      </c>
      <c r="L44" t="s">
        <v>256</v>
      </c>
      <c r="O44" t="s">
        <v>251</v>
      </c>
      <c r="P44" s="159">
        <v>8.2599924160551284E-6</v>
      </c>
      <c r="Q44" s="159">
        <v>6.9744786047437418E-2</v>
      </c>
      <c r="R44" t="s">
        <v>256</v>
      </c>
      <c r="U44" t="s">
        <v>251</v>
      </c>
      <c r="V44" s="159">
        <v>9.24444441092203E-6</v>
      </c>
      <c r="W44" s="159">
        <v>7.3252496140887677E-2</v>
      </c>
      <c r="X44" t="s">
        <v>256</v>
      </c>
    </row>
    <row r="45" spans="9:24" x14ac:dyDescent="0.2">
      <c r="I45" t="s">
        <v>252</v>
      </c>
      <c r="J45" s="159">
        <v>0.98866313307774822</v>
      </c>
      <c r="K45" s="159">
        <v>0.19167893305693168</v>
      </c>
      <c r="L45" t="s">
        <v>257</v>
      </c>
      <c r="O45" t="s">
        <v>252</v>
      </c>
      <c r="P45" s="159">
        <v>0.99283816230961353</v>
      </c>
      <c r="Q45" s="159">
        <v>0.15017598592104711</v>
      </c>
      <c r="R45" t="s">
        <v>257</v>
      </c>
      <c r="U45" t="s">
        <v>252</v>
      </c>
      <c r="V45" s="159">
        <v>0.99280281012112526</v>
      </c>
      <c r="W45" s="159">
        <v>0.15343026512628904</v>
      </c>
      <c r="X45" t="s">
        <v>257</v>
      </c>
    </row>
    <row r="46" spans="9:24" x14ac:dyDescent="0.2">
      <c r="I46" t="s">
        <v>253</v>
      </c>
      <c r="J46" s="159">
        <v>1395.3246728331499</v>
      </c>
      <c r="K46" s="159">
        <v>16</v>
      </c>
      <c r="L46" t="s">
        <v>258</v>
      </c>
      <c r="O46" t="s">
        <v>253</v>
      </c>
      <c r="P46" s="159">
        <v>2079.4345080781645</v>
      </c>
      <c r="Q46" s="159">
        <v>15</v>
      </c>
      <c r="R46" t="s">
        <v>258</v>
      </c>
      <c r="U46" t="s">
        <v>253</v>
      </c>
      <c r="V46" s="159">
        <v>1931.2036469251559</v>
      </c>
      <c r="W46" s="159">
        <v>14</v>
      </c>
      <c r="X46" t="s">
        <v>258</v>
      </c>
    </row>
    <row r="47" spans="9:24" x14ac:dyDescent="0.2">
      <c r="I47" t="s">
        <v>254</v>
      </c>
      <c r="J47" s="159">
        <v>51.265363406063571</v>
      </c>
      <c r="K47" s="159">
        <v>0.58785301404549917</v>
      </c>
      <c r="L47" t="s">
        <v>259</v>
      </c>
      <c r="O47" t="s">
        <v>254</v>
      </c>
      <c r="P47" s="159">
        <v>46.897126193165569</v>
      </c>
      <c r="Q47" s="159">
        <v>0.33829240121037807</v>
      </c>
      <c r="R47" t="s">
        <v>259</v>
      </c>
      <c r="U47" t="s">
        <v>254</v>
      </c>
      <c r="V47" s="159">
        <v>45.462168142688526</v>
      </c>
      <c r="W47" s="159">
        <v>0.32957184759412683</v>
      </c>
      <c r="X47" t="s">
        <v>259</v>
      </c>
    </row>
    <row r="49" spans="1:32" x14ac:dyDescent="0.2">
      <c r="I49" t="s">
        <v>260</v>
      </c>
      <c r="J49">
        <f>LN($J$43)</f>
        <v>3.6138853271190424E-4</v>
      </c>
      <c r="O49" t="s">
        <v>260</v>
      </c>
      <c r="P49">
        <f>LN($P$43)</f>
        <v>3.7666240231522036E-4</v>
      </c>
      <c r="U49" t="s">
        <v>260</v>
      </c>
      <c r="V49">
        <f>LN($V$43)</f>
        <v>4.0625138231011027E-4</v>
      </c>
    </row>
    <row r="50" spans="1:32" x14ac:dyDescent="0.2">
      <c r="I50" t="s">
        <v>261</v>
      </c>
      <c r="J50">
        <f>ROUND(LN(2)/$J$49, 1)</f>
        <v>1918</v>
      </c>
      <c r="O50" t="s">
        <v>261</v>
      </c>
      <c r="P50">
        <f>ROUND(LN(2)/$P$49, 1)</f>
        <v>1840.2</v>
      </c>
      <c r="U50" t="s">
        <v>261</v>
      </c>
      <c r="V50">
        <f>ROUND(LN(2)/$V$49, 1)</f>
        <v>1706.2</v>
      </c>
    </row>
    <row r="51" spans="1:32" x14ac:dyDescent="0.2">
      <c r="I51" t="s">
        <v>204</v>
      </c>
      <c r="J51" s="155">
        <f>ROUND($J$50/60, 1)</f>
        <v>32</v>
      </c>
      <c r="O51" t="s">
        <v>204</v>
      </c>
      <c r="P51" s="155">
        <f>ROUND($P$50/60, 1)</f>
        <v>30.7</v>
      </c>
      <c r="U51" t="s">
        <v>204</v>
      </c>
      <c r="V51" s="155">
        <f>ROUND($V$50/60, 1)</f>
        <v>28.4</v>
      </c>
    </row>
    <row r="54" spans="1:32" x14ac:dyDescent="0.2">
      <c r="A54" t="s">
        <v>206</v>
      </c>
      <c r="B54" s="166">
        <v>0</v>
      </c>
      <c r="C54" s="166">
        <v>900.1</v>
      </c>
      <c r="D54" s="166">
        <v>1800.2</v>
      </c>
      <c r="E54" s="166">
        <v>2700.3</v>
      </c>
      <c r="F54" s="166">
        <v>3600.4</v>
      </c>
      <c r="G54" s="166">
        <v>4500.5</v>
      </c>
      <c r="H54" s="166">
        <v>5400.6</v>
      </c>
      <c r="I54" s="166">
        <v>6300.7</v>
      </c>
      <c r="J54" s="166">
        <v>7200.8</v>
      </c>
      <c r="K54" s="166">
        <v>8100.9</v>
      </c>
      <c r="L54" s="166">
        <v>9001</v>
      </c>
      <c r="M54" s="166">
        <v>9901.1</v>
      </c>
      <c r="N54" s="166">
        <v>10801.2</v>
      </c>
      <c r="O54" s="166">
        <v>11701.3</v>
      </c>
      <c r="P54" s="166">
        <v>12601.4</v>
      </c>
      <c r="Q54" s="166">
        <v>13501.5</v>
      </c>
      <c r="R54" s="166">
        <v>14401.6</v>
      </c>
      <c r="S54" s="166">
        <v>15301.7</v>
      </c>
      <c r="T54" s="166">
        <v>16201.8</v>
      </c>
      <c r="U54" s="166">
        <v>17101.900000000001</v>
      </c>
      <c r="V54" s="166">
        <v>18002</v>
      </c>
      <c r="W54" s="166">
        <v>18902.099999999999</v>
      </c>
      <c r="X54" s="166">
        <v>19802.2</v>
      </c>
      <c r="Y54" s="166">
        <v>20702.3</v>
      </c>
      <c r="Z54" s="166">
        <v>21602.400000000001</v>
      </c>
      <c r="AA54" s="166">
        <v>22502.5</v>
      </c>
      <c r="AB54" s="166">
        <v>23402.6</v>
      </c>
      <c r="AC54" s="166">
        <v>24302.7</v>
      </c>
      <c r="AD54" s="166">
        <v>25202.799999999999</v>
      </c>
      <c r="AE54" s="166">
        <v>26102.9</v>
      </c>
      <c r="AF54" s="166">
        <v>27003</v>
      </c>
    </row>
    <row r="55" spans="1:32" x14ac:dyDescent="0.2">
      <c r="A55" s="156" t="s">
        <v>429</v>
      </c>
      <c r="B55" s="156">
        <v>0.10909999907016754</v>
      </c>
      <c r="C55" s="156">
        <v>0.10890000313520432</v>
      </c>
      <c r="D55" s="156">
        <v>0.1088000014424324</v>
      </c>
      <c r="E55" s="156">
        <v>0.10939999669790268</v>
      </c>
      <c r="F55" s="156">
        <v>0.11029999703168869</v>
      </c>
      <c r="G55" s="156">
        <v>0.11219999939203262</v>
      </c>
      <c r="H55" s="156">
        <v>0.11490000039339066</v>
      </c>
      <c r="I55" s="156">
        <v>0.11900000274181366</v>
      </c>
      <c r="J55" s="156">
        <v>0.12479999661445618</v>
      </c>
      <c r="K55" s="156">
        <v>0.13320000469684601</v>
      </c>
      <c r="L55" s="156">
        <v>0.14440000057220459</v>
      </c>
      <c r="M55" s="156">
        <v>0.16079999506473541</v>
      </c>
      <c r="N55" s="156">
        <v>0.18410000205039978</v>
      </c>
      <c r="O55" s="156">
        <v>0.2159000039100647</v>
      </c>
      <c r="P55" s="156">
        <v>0.25339999794960022</v>
      </c>
      <c r="Q55" s="156">
        <v>0.29730001091957092</v>
      </c>
      <c r="R55" s="156">
        <v>0.34450000524520874</v>
      </c>
      <c r="S55" s="156">
        <v>0.38989999890327454</v>
      </c>
      <c r="T55" s="156">
        <v>0.42429998517036438</v>
      </c>
      <c r="U55" s="156">
        <v>0.46070000529289246</v>
      </c>
      <c r="V55" s="156">
        <f t="shared" ref="V55:V57" si="0">AVERAGE(U55,W55)</f>
        <v>0.47460000216960907</v>
      </c>
      <c r="W55" s="156">
        <v>0.48849999904632568</v>
      </c>
      <c r="X55" s="156">
        <v>0.49930000305175781</v>
      </c>
      <c r="Y55" s="156">
        <v>0.50800001621246338</v>
      </c>
      <c r="Z55" s="156">
        <v>0.51679998636245728</v>
      </c>
      <c r="AA55" s="156">
        <v>0.5185999870300293</v>
      </c>
      <c r="AB55" s="156">
        <v>0.51910001039505005</v>
      </c>
      <c r="AC55" s="156">
        <v>0.52060002088546753</v>
      </c>
      <c r="AD55" s="156">
        <v>0.5228000283241272</v>
      </c>
      <c r="AE55" s="156">
        <v>0.52539998292922974</v>
      </c>
      <c r="AF55" s="156">
        <v>0.52969998121261597</v>
      </c>
    </row>
    <row r="56" spans="1:32" x14ac:dyDescent="0.2">
      <c r="A56" s="157" t="s">
        <v>430</v>
      </c>
      <c r="B56" s="157">
        <v>0.10849999636411667</v>
      </c>
      <c r="C56" s="157">
        <v>0.10859999805688858</v>
      </c>
      <c r="D56" s="157">
        <v>0.10859999805688858</v>
      </c>
      <c r="E56" s="157">
        <v>0.10920000076293945</v>
      </c>
      <c r="F56" s="157">
        <v>0.10999999940395355</v>
      </c>
      <c r="G56" s="157">
        <v>0.1120000034570694</v>
      </c>
      <c r="H56" s="157">
        <v>0.11469999700784683</v>
      </c>
      <c r="I56" s="157">
        <v>0.11909999698400497</v>
      </c>
      <c r="J56" s="157">
        <v>0.12489999830722809</v>
      </c>
      <c r="K56" s="157">
        <v>0.13279999792575836</v>
      </c>
      <c r="L56" s="157">
        <v>0.1437000036239624</v>
      </c>
      <c r="M56" s="157">
        <v>0.15950000286102295</v>
      </c>
      <c r="N56" s="157">
        <v>0.18250000476837158</v>
      </c>
      <c r="O56" s="157">
        <v>0.21379999816417694</v>
      </c>
      <c r="P56" s="157">
        <v>0.25180000066757202</v>
      </c>
      <c r="Q56" s="157">
        <v>0.29670000076293945</v>
      </c>
      <c r="R56" s="157">
        <v>0.34290000796318054</v>
      </c>
      <c r="S56" s="157">
        <v>0.38670000433921814</v>
      </c>
      <c r="T56" s="157">
        <v>0.42410001158714294</v>
      </c>
      <c r="U56" s="157">
        <v>0.46140000224113464</v>
      </c>
      <c r="V56" s="157">
        <f t="shared" si="0"/>
        <v>0.47269999980926514</v>
      </c>
      <c r="W56" s="157">
        <v>0.48399999737739563</v>
      </c>
      <c r="X56" s="157">
        <v>0.49340000748634338</v>
      </c>
      <c r="Y56" s="157">
        <v>0.49919998645782471</v>
      </c>
      <c r="Z56" s="157">
        <v>0.506600022315979</v>
      </c>
      <c r="AA56" s="157">
        <v>0.50840002298355103</v>
      </c>
      <c r="AB56" s="157">
        <v>0.50580000877380371</v>
      </c>
      <c r="AC56" s="157">
        <v>0.50809997320175171</v>
      </c>
      <c r="AD56" s="157">
        <v>0.51130002737045288</v>
      </c>
      <c r="AE56" s="157">
        <v>0.51450002193450928</v>
      </c>
      <c r="AF56" s="157">
        <v>0.51719999313354492</v>
      </c>
    </row>
    <row r="57" spans="1:32" x14ac:dyDescent="0.2">
      <c r="A57" s="168" t="s">
        <v>431</v>
      </c>
      <c r="B57" s="168">
        <v>0.10819999873638153</v>
      </c>
      <c r="C57" s="168">
        <v>0.10819999873638153</v>
      </c>
      <c r="D57" s="168">
        <v>0.10809999704360962</v>
      </c>
      <c r="E57" s="168">
        <v>0.10899999737739563</v>
      </c>
      <c r="F57" s="168">
        <v>0.10970000177621841</v>
      </c>
      <c r="G57" s="168">
        <v>0.11180000007152557</v>
      </c>
      <c r="H57" s="168">
        <v>0.11479999870061874</v>
      </c>
      <c r="I57" s="168">
        <v>0.11919999867677689</v>
      </c>
      <c r="J57" s="168">
        <v>0.12569999694824219</v>
      </c>
      <c r="K57" s="168">
        <v>0.13490000367164612</v>
      </c>
      <c r="L57" s="168">
        <v>0.14790000021457672</v>
      </c>
      <c r="M57" s="168">
        <v>0.16650000214576721</v>
      </c>
      <c r="N57" s="168">
        <v>0.19269999861717224</v>
      </c>
      <c r="O57" s="168">
        <v>0.22740000486373901</v>
      </c>
      <c r="P57" s="168">
        <v>0.26829999685287476</v>
      </c>
      <c r="Q57" s="168">
        <v>0.31520000100135803</v>
      </c>
      <c r="R57" s="168">
        <v>0.36090001463890076</v>
      </c>
      <c r="S57" s="168">
        <v>0.40250000357627869</v>
      </c>
      <c r="T57" s="168">
        <v>0.43680000305175781</v>
      </c>
      <c r="U57" s="168">
        <v>0.47049999237060547</v>
      </c>
      <c r="V57" s="168">
        <f t="shared" si="0"/>
        <v>0.4804999977350235</v>
      </c>
      <c r="W57" s="168">
        <v>0.49050000309944153</v>
      </c>
      <c r="X57" s="168">
        <v>0.50080001354217529</v>
      </c>
      <c r="Y57" s="168">
        <v>0.50900000333786011</v>
      </c>
      <c r="Z57" s="168">
        <v>0.51510000228881836</v>
      </c>
      <c r="AA57" s="168">
        <v>0.51510000228881836</v>
      </c>
      <c r="AB57" s="168">
        <v>0.51469999551773071</v>
      </c>
      <c r="AC57" s="168">
        <v>0.51520001888275146</v>
      </c>
      <c r="AD57" s="168">
        <v>0.51639997959136963</v>
      </c>
      <c r="AE57" s="168">
        <v>0.5195000171661377</v>
      </c>
      <c r="AF57" s="168">
        <v>0.52380001544952393</v>
      </c>
    </row>
    <row r="58" spans="1:32" x14ac:dyDescent="0.2">
      <c r="A58" s="158" t="s">
        <v>209</v>
      </c>
      <c r="B58" s="158">
        <v>0.10480000078678131</v>
      </c>
      <c r="C58" s="158">
        <v>0.1046999990940094</v>
      </c>
      <c r="D58" s="158">
        <v>0.1046999990940094</v>
      </c>
      <c r="E58" s="158">
        <v>0.10480000078678131</v>
      </c>
      <c r="F58" s="158">
        <v>0.10459999740123749</v>
      </c>
      <c r="G58" s="158">
        <v>0.10450000315904617</v>
      </c>
      <c r="H58" s="158">
        <v>0.10440000146627426</v>
      </c>
      <c r="I58" s="158">
        <v>0.10429999977350235</v>
      </c>
      <c r="J58" s="158">
        <v>0.10419999808073044</v>
      </c>
      <c r="K58" s="158">
        <v>0.10419999808073044</v>
      </c>
      <c r="L58" s="158">
        <v>0.10419999808073044</v>
      </c>
      <c r="M58" s="158">
        <v>0.10409999638795853</v>
      </c>
      <c r="N58" s="158">
        <v>0.10400000214576721</v>
      </c>
      <c r="O58" s="158">
        <v>0.1039000004529953</v>
      </c>
      <c r="P58" s="158">
        <v>0.10379999876022339</v>
      </c>
      <c r="Q58" s="158">
        <v>0.10379999876022339</v>
      </c>
      <c r="R58" s="158">
        <v>0.1039000004529953</v>
      </c>
      <c r="S58" s="158">
        <v>0.10360000282526016</v>
      </c>
      <c r="T58" s="158">
        <v>0.10360000282526016</v>
      </c>
      <c r="U58" s="158">
        <v>0.10379999876022339</v>
      </c>
      <c r="V58" s="158">
        <f>AVERAGE(U58,W58)</f>
        <v>0.10359999909996986</v>
      </c>
      <c r="W58" s="158">
        <v>0.10339999943971634</v>
      </c>
      <c r="X58" s="158">
        <v>0.10329999774694443</v>
      </c>
      <c r="Y58" s="158">
        <v>0.10320000350475311</v>
      </c>
      <c r="Z58" s="158">
        <v>0.10320000350475311</v>
      </c>
      <c r="AA58" s="158">
        <v>0.1031000018119812</v>
      </c>
      <c r="AB58" s="158">
        <v>0.1031000018119812</v>
      </c>
      <c r="AC58" s="158">
        <v>0.10300000011920929</v>
      </c>
      <c r="AD58" s="158">
        <v>0.10300000011920929</v>
      </c>
      <c r="AE58" s="158">
        <v>0.10289999842643738</v>
      </c>
      <c r="AF58" s="158">
        <v>0.10289999842643738</v>
      </c>
    </row>
    <row r="59" spans="1:32" x14ac:dyDescent="0.2">
      <c r="A59" s="158" t="s">
        <v>210</v>
      </c>
      <c r="B59" s="158">
        <v>0.10660000145435333</v>
      </c>
      <c r="C59" s="158">
        <v>0.10649999976158142</v>
      </c>
      <c r="D59" s="158">
        <v>0.10649999976158142</v>
      </c>
      <c r="E59" s="158">
        <v>0.10649999976158142</v>
      </c>
      <c r="F59" s="158">
        <v>0.10639999806880951</v>
      </c>
      <c r="G59" s="158">
        <v>0.1062999963760376</v>
      </c>
      <c r="H59" s="158">
        <v>0.1062999963760376</v>
      </c>
      <c r="I59" s="158">
        <v>0.10610000044107437</v>
      </c>
      <c r="J59" s="158">
        <v>0.10610000044107437</v>
      </c>
      <c r="K59" s="158">
        <v>0.10610000044107437</v>
      </c>
      <c r="L59" s="158">
        <v>0.10610000044107437</v>
      </c>
      <c r="M59" s="158">
        <v>0.10599999874830246</v>
      </c>
      <c r="N59" s="158">
        <v>0.10589999705553055</v>
      </c>
      <c r="O59" s="158">
        <v>0.10589999705553055</v>
      </c>
      <c r="P59" s="158">
        <v>0.10570000112056732</v>
      </c>
      <c r="Q59" s="158">
        <v>0.10570000112056732</v>
      </c>
      <c r="R59" s="158">
        <v>0.10570000112056732</v>
      </c>
      <c r="S59" s="158">
        <v>0.10559999942779541</v>
      </c>
      <c r="T59" s="158">
        <v>0.10559999942779541</v>
      </c>
      <c r="U59" s="158">
        <v>0.10559999942779541</v>
      </c>
      <c r="V59" s="158">
        <f t="shared" ref="V59:V93" si="1">AVERAGE(U59,W59)</f>
        <v>0.1055000014603138</v>
      </c>
      <c r="W59" s="158">
        <v>0.10540000349283218</v>
      </c>
      <c r="X59" s="158">
        <v>0.10540000349283218</v>
      </c>
      <c r="Y59" s="158">
        <v>0.10530000180006027</v>
      </c>
      <c r="Z59" s="158">
        <v>0.10530000180006027</v>
      </c>
      <c r="AA59" s="158">
        <v>0.10520000010728836</v>
      </c>
      <c r="AB59" s="158">
        <v>0.10520000010728836</v>
      </c>
      <c r="AC59" s="158">
        <v>0.10520000010728836</v>
      </c>
      <c r="AD59" s="158">
        <v>0.10509999841451645</v>
      </c>
      <c r="AE59" s="158">
        <v>0.10509999841451645</v>
      </c>
      <c r="AF59" s="158">
        <v>0.10509999841451645</v>
      </c>
    </row>
    <row r="60" spans="1:32" x14ac:dyDescent="0.2">
      <c r="A60" s="158" t="s">
        <v>211</v>
      </c>
      <c r="B60" s="158">
        <v>0.10740000009536743</v>
      </c>
      <c r="C60" s="158">
        <v>0.10740000009536743</v>
      </c>
      <c r="D60" s="158">
        <v>0.10729999840259552</v>
      </c>
      <c r="E60" s="158">
        <v>0.10729999840259552</v>
      </c>
      <c r="F60" s="158">
        <v>0.10719999670982361</v>
      </c>
      <c r="G60" s="158">
        <v>0.10719999670982361</v>
      </c>
      <c r="H60" s="158">
        <v>0.10710000246763229</v>
      </c>
      <c r="I60" s="158">
        <v>0.10689999908208847</v>
      </c>
      <c r="J60" s="158">
        <v>0.10689999908208847</v>
      </c>
      <c r="K60" s="158">
        <v>0.10710000246763229</v>
      </c>
      <c r="L60" s="158">
        <v>0.10679999738931656</v>
      </c>
      <c r="M60" s="158">
        <v>0.10670000314712524</v>
      </c>
      <c r="N60" s="158">
        <v>0.10670000314712524</v>
      </c>
      <c r="O60" s="158">
        <v>0.10660000145435333</v>
      </c>
      <c r="P60" s="158">
        <v>0.10649999976158142</v>
      </c>
      <c r="Q60" s="158">
        <v>0.10649999976158142</v>
      </c>
      <c r="R60" s="158">
        <v>0.10639999806880951</v>
      </c>
      <c r="S60" s="158">
        <v>0.1062999963760376</v>
      </c>
      <c r="T60" s="158">
        <v>0.1062999963760376</v>
      </c>
      <c r="U60" s="158">
        <v>0.1062999963760376</v>
      </c>
      <c r="V60" s="158">
        <f t="shared" si="1"/>
        <v>0.10624999925494194</v>
      </c>
      <c r="W60" s="158">
        <v>0.10620000213384628</v>
      </c>
      <c r="X60" s="158">
        <v>0.10610000044107437</v>
      </c>
      <c r="Y60" s="158">
        <v>0.10610000044107437</v>
      </c>
      <c r="Z60" s="158">
        <v>0.10599999874830246</v>
      </c>
      <c r="AA60" s="158">
        <v>0.10589999705553055</v>
      </c>
      <c r="AB60" s="158">
        <v>0.10589999705553055</v>
      </c>
      <c r="AC60" s="158">
        <v>0.10599999874830246</v>
      </c>
      <c r="AD60" s="158">
        <v>0.10580000281333923</v>
      </c>
      <c r="AE60" s="158">
        <v>0.10580000281333923</v>
      </c>
      <c r="AF60" s="158">
        <v>0.10580000281333923</v>
      </c>
    </row>
    <row r="61" spans="1:32" x14ac:dyDescent="0.2">
      <c r="A61" s="158" t="s">
        <v>212</v>
      </c>
      <c r="B61" s="158">
        <v>0.10700000077486038</v>
      </c>
      <c r="C61" s="158">
        <v>0.10689999908208847</v>
      </c>
      <c r="D61" s="158">
        <v>0.10679999738931656</v>
      </c>
      <c r="E61" s="158">
        <v>0.10689999908208847</v>
      </c>
      <c r="F61" s="158">
        <v>0.10670000314712524</v>
      </c>
      <c r="G61" s="158">
        <v>0.10689999908208847</v>
      </c>
      <c r="H61" s="158">
        <v>0.10660000145435333</v>
      </c>
      <c r="I61" s="158">
        <v>0.10639999806880951</v>
      </c>
      <c r="J61" s="158">
        <v>0.10639999806880951</v>
      </c>
      <c r="K61" s="158">
        <v>0.1062999963760376</v>
      </c>
      <c r="L61" s="158">
        <v>0.1062999963760376</v>
      </c>
      <c r="M61" s="158">
        <v>0.1062999963760376</v>
      </c>
      <c r="N61" s="158">
        <v>0.10620000213384628</v>
      </c>
      <c r="O61" s="158">
        <v>0.10610000044107437</v>
      </c>
      <c r="P61" s="158">
        <v>0.10599999874830246</v>
      </c>
      <c r="Q61" s="158">
        <v>0.10599999874830246</v>
      </c>
      <c r="R61" s="158">
        <v>0.10599999874830246</v>
      </c>
      <c r="S61" s="158">
        <v>0.10580000281333923</v>
      </c>
      <c r="T61" s="158">
        <v>0.10580000281333923</v>
      </c>
      <c r="U61" s="158">
        <v>0.10580000281333923</v>
      </c>
      <c r="V61" s="158">
        <f t="shared" si="1"/>
        <v>0.10575000196695328</v>
      </c>
      <c r="W61" s="158">
        <v>0.10570000112056732</v>
      </c>
      <c r="X61" s="158">
        <v>0.10559999942779541</v>
      </c>
      <c r="Y61" s="158">
        <v>0.10559999942779541</v>
      </c>
      <c r="Z61" s="158">
        <v>0.10559999942779541</v>
      </c>
      <c r="AA61" s="158">
        <v>0.10540000349283218</v>
      </c>
      <c r="AB61" s="158">
        <v>0.10540000349283218</v>
      </c>
      <c r="AC61" s="158">
        <v>0.10540000349283218</v>
      </c>
      <c r="AD61" s="158">
        <v>0.10540000349283218</v>
      </c>
      <c r="AE61" s="158">
        <v>0.10530000180006027</v>
      </c>
      <c r="AF61" s="158">
        <v>0.10530000180006027</v>
      </c>
    </row>
    <row r="62" spans="1:32" x14ac:dyDescent="0.2">
      <c r="A62" s="158" t="s">
        <v>213</v>
      </c>
      <c r="B62" s="158">
        <v>0.10570000112056732</v>
      </c>
      <c r="C62" s="158">
        <v>0.1054999977350235</v>
      </c>
      <c r="D62" s="158">
        <v>0.1054999977350235</v>
      </c>
      <c r="E62" s="158">
        <v>0.1054999977350235</v>
      </c>
      <c r="F62" s="158">
        <v>0.10540000349283218</v>
      </c>
      <c r="G62" s="158">
        <v>0.10530000180006027</v>
      </c>
      <c r="H62" s="158">
        <v>0.10520000010728836</v>
      </c>
      <c r="I62" s="158">
        <v>0.10520000010728836</v>
      </c>
      <c r="J62" s="158">
        <v>0.10499999672174454</v>
      </c>
      <c r="K62" s="158">
        <v>0.10499999672174454</v>
      </c>
      <c r="L62" s="158">
        <v>0.10499999672174454</v>
      </c>
      <c r="M62" s="158">
        <v>0.10490000247955322</v>
      </c>
      <c r="N62" s="158">
        <v>0.10490000247955322</v>
      </c>
      <c r="O62" s="158">
        <v>0.10480000078678131</v>
      </c>
      <c r="P62" s="158">
        <v>0.10459999740123749</v>
      </c>
      <c r="Q62" s="158">
        <v>0.10459999740123749</v>
      </c>
      <c r="R62" s="158">
        <v>0.10459999740123749</v>
      </c>
      <c r="S62" s="158">
        <v>0.10440000146627426</v>
      </c>
      <c r="T62" s="158">
        <v>0.10450000315904617</v>
      </c>
      <c r="U62" s="158">
        <v>0.10450000315904617</v>
      </c>
      <c r="V62" s="158">
        <f t="shared" si="1"/>
        <v>0.10445000231266022</v>
      </c>
      <c r="W62" s="158">
        <v>0.10440000146627426</v>
      </c>
      <c r="X62" s="158">
        <v>0.10440000146627426</v>
      </c>
      <c r="Y62" s="158">
        <v>0.10429999977350235</v>
      </c>
      <c r="Z62" s="158">
        <v>0.10419999808073044</v>
      </c>
      <c r="AA62" s="158">
        <v>0.10419999808073044</v>
      </c>
      <c r="AB62" s="158">
        <v>0.10419999808073044</v>
      </c>
      <c r="AC62" s="158">
        <v>0.10440000146627426</v>
      </c>
      <c r="AD62" s="158">
        <v>0.10409999638795853</v>
      </c>
      <c r="AE62" s="158">
        <v>0.10400000214576721</v>
      </c>
      <c r="AF62" s="158">
        <v>0.10400000214576721</v>
      </c>
    </row>
    <row r="63" spans="1:32" x14ac:dyDescent="0.2">
      <c r="A63" s="158" t="s">
        <v>214</v>
      </c>
      <c r="B63" s="158">
        <v>0.10689999908208847</v>
      </c>
      <c r="C63" s="158">
        <v>0.10679999738931656</v>
      </c>
      <c r="D63" s="158">
        <v>0.10679999738931656</v>
      </c>
      <c r="E63" s="158">
        <v>0.10679999738931656</v>
      </c>
      <c r="F63" s="158">
        <v>0.10670000314712524</v>
      </c>
      <c r="G63" s="158">
        <v>0.10660000145435333</v>
      </c>
      <c r="H63" s="158">
        <v>0.10649999976158142</v>
      </c>
      <c r="I63" s="158">
        <v>0.1062999963760376</v>
      </c>
      <c r="J63" s="158">
        <v>0.1062999963760376</v>
      </c>
      <c r="K63" s="158">
        <v>0.10620000213384628</v>
      </c>
      <c r="L63" s="158">
        <v>0.1062999963760376</v>
      </c>
      <c r="M63" s="158">
        <v>0.10620000213384628</v>
      </c>
      <c r="N63" s="158">
        <v>0.10610000044107437</v>
      </c>
      <c r="O63" s="158">
        <v>0.10610000044107437</v>
      </c>
      <c r="P63" s="158">
        <v>0.10580000281333923</v>
      </c>
      <c r="Q63" s="158">
        <v>0.10589999705553055</v>
      </c>
      <c r="R63" s="158">
        <v>0.10580000281333923</v>
      </c>
      <c r="S63" s="158">
        <v>0.10570000112056732</v>
      </c>
      <c r="T63" s="158">
        <v>0.10570000112056732</v>
      </c>
      <c r="U63" s="158">
        <v>0.10570000112056732</v>
      </c>
      <c r="V63" s="158">
        <f t="shared" si="1"/>
        <v>0.10565000027418137</v>
      </c>
      <c r="W63" s="158">
        <v>0.10559999942779541</v>
      </c>
      <c r="X63" s="158">
        <v>0.1054999977350235</v>
      </c>
      <c r="Y63" s="158">
        <v>0.1054999977350235</v>
      </c>
      <c r="Z63" s="158">
        <v>0.10540000349283218</v>
      </c>
      <c r="AA63" s="158">
        <v>0.10540000349283218</v>
      </c>
      <c r="AB63" s="158">
        <v>0.10540000349283218</v>
      </c>
      <c r="AC63" s="158">
        <v>0.10540000349283218</v>
      </c>
      <c r="AD63" s="158">
        <v>0.10530000180006027</v>
      </c>
      <c r="AE63" s="158">
        <v>0.10520000010728836</v>
      </c>
      <c r="AF63" s="158">
        <v>0.10530000180006027</v>
      </c>
    </row>
    <row r="64" spans="1:32" x14ac:dyDescent="0.2">
      <c r="A64" s="158" t="s">
        <v>215</v>
      </c>
      <c r="B64" s="158">
        <v>0.10819999873638153</v>
      </c>
      <c r="C64" s="158">
        <v>0.10790000110864639</v>
      </c>
      <c r="D64" s="158">
        <v>0.10779999941587448</v>
      </c>
      <c r="E64" s="158">
        <v>0.1080000028014183</v>
      </c>
      <c r="F64" s="158">
        <v>0.10760000348091125</v>
      </c>
      <c r="G64" s="158">
        <v>0.10750000178813934</v>
      </c>
      <c r="H64" s="158">
        <v>0.10740000009536743</v>
      </c>
      <c r="I64" s="158">
        <v>0.10719999670982361</v>
      </c>
      <c r="J64" s="158">
        <v>0.10719999670982361</v>
      </c>
      <c r="K64" s="158">
        <v>0.10710000246763229</v>
      </c>
      <c r="L64" s="158">
        <v>0.10719999670982361</v>
      </c>
      <c r="M64" s="158">
        <v>0.10700000077486038</v>
      </c>
      <c r="N64" s="158">
        <v>0.10700000077486038</v>
      </c>
      <c r="O64" s="158">
        <v>0.10700000077486038</v>
      </c>
      <c r="P64" s="158">
        <v>0.10679999738931656</v>
      </c>
      <c r="Q64" s="158">
        <v>0.10679999738931656</v>
      </c>
      <c r="R64" s="158">
        <v>0.10670000314712524</v>
      </c>
      <c r="S64" s="158">
        <v>0.10660000145435333</v>
      </c>
      <c r="T64" s="158">
        <v>0.10660000145435333</v>
      </c>
      <c r="U64" s="158">
        <v>0.10660000145435333</v>
      </c>
      <c r="V64" s="158">
        <f t="shared" si="1"/>
        <v>0.10655000060796738</v>
      </c>
      <c r="W64" s="158">
        <v>0.10649999976158142</v>
      </c>
      <c r="X64" s="158">
        <v>0.10649999976158142</v>
      </c>
      <c r="Y64" s="158">
        <v>0.1062999963760376</v>
      </c>
      <c r="Z64" s="158">
        <v>0.1062999963760376</v>
      </c>
      <c r="AA64" s="158">
        <v>0.1062999963760376</v>
      </c>
      <c r="AB64" s="158">
        <v>0.1062999963760376</v>
      </c>
      <c r="AC64" s="158">
        <v>0.1062999963760376</v>
      </c>
      <c r="AD64" s="158">
        <v>0.10620000213384628</v>
      </c>
      <c r="AE64" s="158">
        <v>0.10610000044107437</v>
      </c>
      <c r="AF64" s="158">
        <v>0.10610000044107437</v>
      </c>
    </row>
    <row r="65" spans="1:32" x14ac:dyDescent="0.2">
      <c r="A65" s="158" t="s">
        <v>216</v>
      </c>
      <c r="B65" s="158">
        <v>0.10639999806880951</v>
      </c>
      <c r="C65" s="158">
        <v>0.10599999874830246</v>
      </c>
      <c r="D65" s="158">
        <v>0.10589999705553055</v>
      </c>
      <c r="E65" s="158">
        <v>0.10840000212192535</v>
      </c>
      <c r="F65" s="158">
        <v>0.10869999974966049</v>
      </c>
      <c r="G65" s="158">
        <v>0.10819999873638153</v>
      </c>
      <c r="H65" s="158">
        <v>0.10819999873638153</v>
      </c>
      <c r="I65" s="158">
        <v>0.1080000028014183</v>
      </c>
      <c r="J65" s="158">
        <v>0.10779999941587448</v>
      </c>
      <c r="K65" s="158">
        <v>0.1080000028014183</v>
      </c>
      <c r="L65" s="158">
        <v>0.10830000042915344</v>
      </c>
      <c r="M65" s="158">
        <v>0.1080000028014183</v>
      </c>
      <c r="N65" s="158">
        <v>0.10809999704360962</v>
      </c>
      <c r="O65" s="158">
        <v>0.10779999941587448</v>
      </c>
      <c r="P65" s="158">
        <v>0.10740000009536743</v>
      </c>
      <c r="Q65" s="158">
        <v>0.10760000348091125</v>
      </c>
      <c r="R65" s="158">
        <v>0.10760000348091125</v>
      </c>
      <c r="S65" s="158">
        <v>0.1080000028014183</v>
      </c>
      <c r="T65" s="158">
        <v>0.10750000178813934</v>
      </c>
      <c r="U65" s="158">
        <v>0.10750000178813934</v>
      </c>
      <c r="V65" s="158">
        <f t="shared" si="1"/>
        <v>0.1075500026345253</v>
      </c>
      <c r="W65" s="158">
        <v>0.10760000348091125</v>
      </c>
      <c r="X65" s="158">
        <v>0.10779999941587448</v>
      </c>
      <c r="Y65" s="158">
        <v>0.10740000009536743</v>
      </c>
      <c r="Z65" s="158">
        <v>0.10750000178813934</v>
      </c>
      <c r="AA65" s="158">
        <v>0.10920000076293945</v>
      </c>
      <c r="AB65" s="158">
        <v>0.10830000042915344</v>
      </c>
      <c r="AC65" s="158">
        <v>0.10909999907016754</v>
      </c>
      <c r="AD65" s="158">
        <v>0.10819999873638153</v>
      </c>
      <c r="AE65" s="158">
        <v>0.10740000009536743</v>
      </c>
      <c r="AF65" s="158">
        <v>0.10849999636411667</v>
      </c>
    </row>
    <row r="66" spans="1:32" x14ac:dyDescent="0.2">
      <c r="A66" s="158" t="s">
        <v>217</v>
      </c>
      <c r="B66" s="158">
        <v>0.10580000281333923</v>
      </c>
      <c r="C66" s="158">
        <v>0.10570000112056732</v>
      </c>
      <c r="D66" s="158">
        <v>0.10570000112056732</v>
      </c>
      <c r="E66" s="158">
        <v>0.10580000281333923</v>
      </c>
      <c r="F66" s="158">
        <v>0.1054999977350235</v>
      </c>
      <c r="G66" s="158">
        <v>0.10559999942779541</v>
      </c>
      <c r="H66" s="158">
        <v>0.10540000349283218</v>
      </c>
      <c r="I66" s="158">
        <v>0.10530000180006027</v>
      </c>
      <c r="J66" s="158">
        <v>0.10520000010728836</v>
      </c>
      <c r="K66" s="158">
        <v>0.10520000010728836</v>
      </c>
      <c r="L66" s="158">
        <v>0.10520000010728836</v>
      </c>
      <c r="M66" s="158">
        <v>0.10509999841451645</v>
      </c>
      <c r="N66" s="158">
        <v>0.10509999841451645</v>
      </c>
      <c r="O66" s="158">
        <v>0.10499999672174454</v>
      </c>
      <c r="P66" s="158">
        <v>0.10480000078678131</v>
      </c>
      <c r="Q66" s="158">
        <v>0.10480000078678131</v>
      </c>
      <c r="R66" s="158">
        <v>0.10480000078678131</v>
      </c>
      <c r="S66" s="158">
        <v>0.1046999990940094</v>
      </c>
      <c r="T66" s="158">
        <v>0.1046999990940094</v>
      </c>
      <c r="U66" s="158">
        <v>0.1046999990940094</v>
      </c>
      <c r="V66" s="158">
        <f t="shared" si="1"/>
        <v>0.10464999824762344</v>
      </c>
      <c r="W66" s="158">
        <v>0.10459999740123749</v>
      </c>
      <c r="X66" s="158">
        <v>0.10459999740123749</v>
      </c>
      <c r="Y66" s="158">
        <v>0.10450000315904617</v>
      </c>
      <c r="Z66" s="158">
        <v>0.10450000315904617</v>
      </c>
      <c r="AA66" s="158">
        <v>0.10429999977350235</v>
      </c>
      <c r="AB66" s="158">
        <v>0.10429999977350235</v>
      </c>
      <c r="AC66" s="158">
        <v>0.10429999977350235</v>
      </c>
      <c r="AD66" s="158">
        <v>0.10429999977350235</v>
      </c>
      <c r="AE66" s="158">
        <v>0.10419999808073044</v>
      </c>
      <c r="AF66" s="158">
        <v>0.10419999808073044</v>
      </c>
    </row>
    <row r="67" spans="1:32" x14ac:dyDescent="0.2">
      <c r="A67" s="158" t="s">
        <v>218</v>
      </c>
      <c r="B67" s="158">
        <v>0.10999999940395355</v>
      </c>
      <c r="C67" s="158">
        <v>0.10859999805688858</v>
      </c>
      <c r="D67" s="158">
        <v>0.1088000014424324</v>
      </c>
      <c r="E67" s="158">
        <v>0.10869999974966049</v>
      </c>
      <c r="F67" s="158">
        <v>0.10859999805688858</v>
      </c>
      <c r="G67" s="158">
        <v>0.10890000313520432</v>
      </c>
      <c r="H67" s="158">
        <v>0.10849999636411667</v>
      </c>
      <c r="I67" s="158">
        <v>0.10830000042915344</v>
      </c>
      <c r="J67" s="158">
        <v>0.10840000212192535</v>
      </c>
      <c r="K67" s="158">
        <v>0.10809999704360962</v>
      </c>
      <c r="L67" s="158">
        <v>0.10869999974966049</v>
      </c>
      <c r="M67" s="158">
        <v>0.10849999636411667</v>
      </c>
      <c r="N67" s="158">
        <v>0.10859999805688858</v>
      </c>
      <c r="O67" s="158">
        <v>0.10849999636411667</v>
      </c>
      <c r="P67" s="158">
        <v>0.1080000028014183</v>
      </c>
      <c r="Q67" s="158">
        <v>0.10769999772310257</v>
      </c>
      <c r="R67" s="158">
        <v>0.10769999772310257</v>
      </c>
      <c r="S67" s="158">
        <v>0.1080000028014183</v>
      </c>
      <c r="T67" s="158">
        <v>0.10769999772310257</v>
      </c>
      <c r="U67" s="158">
        <v>0.10809999704360962</v>
      </c>
      <c r="V67" s="158">
        <f t="shared" si="1"/>
        <v>0.10794999822974205</v>
      </c>
      <c r="W67" s="158">
        <v>0.10779999941587448</v>
      </c>
      <c r="X67" s="158">
        <v>0.10740000009536743</v>
      </c>
      <c r="Y67" s="158">
        <v>0.10750000178813934</v>
      </c>
      <c r="Z67" s="158">
        <v>0.10750000178813934</v>
      </c>
      <c r="AA67" s="158">
        <v>0.10620000213384628</v>
      </c>
      <c r="AB67" s="158">
        <v>0.10670000314712524</v>
      </c>
      <c r="AC67" s="158">
        <v>0.10620000213384628</v>
      </c>
      <c r="AD67" s="158">
        <v>0.10700000077486038</v>
      </c>
      <c r="AE67" s="158">
        <v>0.10679999738931656</v>
      </c>
      <c r="AF67" s="158">
        <v>0.10639999806880951</v>
      </c>
    </row>
    <row r="68" spans="1:32" x14ac:dyDescent="0.2">
      <c r="A68" s="158" t="s">
        <v>219</v>
      </c>
      <c r="B68" s="158">
        <v>0.10649999976158142</v>
      </c>
      <c r="C68" s="158">
        <v>0.10620000213384628</v>
      </c>
      <c r="D68" s="158">
        <v>0.10610000044107437</v>
      </c>
      <c r="E68" s="158">
        <v>0.10639999806880951</v>
      </c>
      <c r="F68" s="158">
        <v>0.10620000213384628</v>
      </c>
      <c r="G68" s="158">
        <v>0.10620000213384628</v>
      </c>
      <c r="H68" s="158">
        <v>0.10610000044107437</v>
      </c>
      <c r="I68" s="158">
        <v>0.10589999705553055</v>
      </c>
      <c r="J68" s="158">
        <v>0.10610000044107437</v>
      </c>
      <c r="K68" s="158">
        <v>0.10589999705553055</v>
      </c>
      <c r="L68" s="158">
        <v>0.10589999705553055</v>
      </c>
      <c r="M68" s="158">
        <v>0.10570000112056732</v>
      </c>
      <c r="N68" s="158">
        <v>0.10570000112056732</v>
      </c>
      <c r="O68" s="158">
        <v>0.10559999942779541</v>
      </c>
      <c r="P68" s="158">
        <v>0.10540000349283218</v>
      </c>
      <c r="Q68" s="158">
        <v>0.10540000349283218</v>
      </c>
      <c r="R68" s="158">
        <v>0.10540000349283218</v>
      </c>
      <c r="S68" s="158">
        <v>0.10530000180006027</v>
      </c>
      <c r="T68" s="158">
        <v>0.10530000180006027</v>
      </c>
      <c r="U68" s="158">
        <v>0.10530000180006027</v>
      </c>
      <c r="V68" s="158">
        <f t="shared" si="1"/>
        <v>0.10525000095367432</v>
      </c>
      <c r="W68" s="158">
        <v>0.10520000010728836</v>
      </c>
      <c r="X68" s="158">
        <v>0.10509999841451645</v>
      </c>
      <c r="Y68" s="158">
        <v>0.10499999672174454</v>
      </c>
      <c r="Z68" s="158">
        <v>0.10520000010728836</v>
      </c>
      <c r="AA68" s="158">
        <v>0.10490000247955322</v>
      </c>
      <c r="AB68" s="158">
        <v>0.10490000247955322</v>
      </c>
      <c r="AC68" s="158">
        <v>0.10490000247955322</v>
      </c>
      <c r="AD68" s="158">
        <v>0.10480000078678131</v>
      </c>
      <c r="AE68" s="158">
        <v>0.10499999672174454</v>
      </c>
      <c r="AF68" s="158">
        <v>0.10480000078678131</v>
      </c>
    </row>
    <row r="69" spans="1:32" x14ac:dyDescent="0.2">
      <c r="A69" s="158" t="s">
        <v>220</v>
      </c>
      <c r="B69" s="158">
        <v>0.10679999738931656</v>
      </c>
      <c r="C69" s="158">
        <v>0.10660000145435333</v>
      </c>
      <c r="D69" s="158">
        <v>0.10649999976158142</v>
      </c>
      <c r="E69" s="158">
        <v>0.10649999976158142</v>
      </c>
      <c r="F69" s="158">
        <v>0.1062999963760376</v>
      </c>
      <c r="G69" s="158">
        <v>0.10620000213384628</v>
      </c>
      <c r="H69" s="158">
        <v>0.10610000044107437</v>
      </c>
      <c r="I69" s="158">
        <v>0.10599999874830246</v>
      </c>
      <c r="J69" s="158">
        <v>0.10589999705553055</v>
      </c>
      <c r="K69" s="158">
        <v>0.10589999705553055</v>
      </c>
      <c r="L69" s="158">
        <v>0.10589999705553055</v>
      </c>
      <c r="M69" s="158">
        <v>0.10580000281333923</v>
      </c>
      <c r="N69" s="158">
        <v>0.10570000112056732</v>
      </c>
      <c r="O69" s="158">
        <v>0.10559999942779541</v>
      </c>
      <c r="P69" s="158">
        <v>0.10540000349283218</v>
      </c>
      <c r="Q69" s="158">
        <v>0.10540000349283218</v>
      </c>
      <c r="R69" s="158">
        <v>0.10530000180006027</v>
      </c>
      <c r="S69" s="158">
        <v>0.10520000010728836</v>
      </c>
      <c r="T69" s="158">
        <v>0.10520000010728836</v>
      </c>
      <c r="U69" s="158">
        <v>0.10520000010728836</v>
      </c>
      <c r="V69" s="158">
        <f t="shared" si="1"/>
        <v>0.10509999841451645</v>
      </c>
      <c r="W69" s="158">
        <v>0.10499999672174454</v>
      </c>
      <c r="X69" s="158">
        <v>0.10499999672174454</v>
      </c>
      <c r="Y69" s="158">
        <v>0.10480000078678131</v>
      </c>
      <c r="Z69" s="158">
        <v>0.10480000078678131</v>
      </c>
      <c r="AA69" s="158">
        <v>0.10459999740123749</v>
      </c>
      <c r="AB69" s="158">
        <v>0.10459999740123749</v>
      </c>
      <c r="AC69" s="158">
        <v>0.10459999740123749</v>
      </c>
      <c r="AD69" s="158">
        <v>0.10450000315904617</v>
      </c>
      <c r="AE69" s="158">
        <v>0.10440000146627426</v>
      </c>
      <c r="AF69" s="158">
        <v>0.10440000146627426</v>
      </c>
    </row>
    <row r="70" spans="1:32" x14ac:dyDescent="0.2">
      <c r="A70" s="158" t="s">
        <v>221</v>
      </c>
      <c r="B70" s="158">
        <v>0.10620000213384628</v>
      </c>
      <c r="C70" s="158">
        <v>0.10610000044107437</v>
      </c>
      <c r="D70" s="158">
        <v>0.10599999874830246</v>
      </c>
      <c r="E70" s="158">
        <v>0.10610000044107437</v>
      </c>
      <c r="F70" s="158">
        <v>0.10589999705553055</v>
      </c>
      <c r="G70" s="158">
        <v>0.10599999874830246</v>
      </c>
      <c r="H70" s="158">
        <v>0.10589999705553055</v>
      </c>
      <c r="I70" s="158">
        <v>0.10580000281333923</v>
      </c>
      <c r="J70" s="158">
        <v>0.10570000112056732</v>
      </c>
      <c r="K70" s="158">
        <v>0.10570000112056732</v>
      </c>
      <c r="L70" s="158">
        <v>0.10580000281333923</v>
      </c>
      <c r="M70" s="158">
        <v>0.10570000112056732</v>
      </c>
      <c r="N70" s="158">
        <v>0.10559999942779541</v>
      </c>
      <c r="O70" s="158">
        <v>0.10540000349283218</v>
      </c>
      <c r="P70" s="158">
        <v>0.10530000180006027</v>
      </c>
      <c r="Q70" s="158">
        <v>0.10530000180006027</v>
      </c>
      <c r="R70" s="158">
        <v>0.10520000010728836</v>
      </c>
      <c r="S70" s="158">
        <v>0.10530000180006027</v>
      </c>
      <c r="T70" s="158">
        <v>0.10530000180006027</v>
      </c>
      <c r="U70" s="158">
        <v>0.10540000349283218</v>
      </c>
      <c r="V70" s="158">
        <f t="shared" si="1"/>
        <v>0.10530000180006027</v>
      </c>
      <c r="W70" s="158">
        <v>0.10520000010728836</v>
      </c>
      <c r="X70" s="158">
        <v>0.10520000010728836</v>
      </c>
      <c r="Y70" s="158">
        <v>0.10499999672174454</v>
      </c>
      <c r="Z70" s="158">
        <v>0.10490000247955322</v>
      </c>
      <c r="AA70" s="158">
        <v>0.10490000247955322</v>
      </c>
      <c r="AB70" s="158">
        <v>0.10480000078678131</v>
      </c>
      <c r="AC70" s="158">
        <v>0.1046999990940094</v>
      </c>
      <c r="AD70" s="158">
        <v>0.10480000078678131</v>
      </c>
      <c r="AE70" s="158">
        <v>0.1046999990940094</v>
      </c>
      <c r="AF70" s="158">
        <v>0.10480000078678131</v>
      </c>
    </row>
    <row r="71" spans="1:32" x14ac:dyDescent="0.2">
      <c r="A71" s="158" t="s">
        <v>222</v>
      </c>
      <c r="B71" s="158">
        <v>0.10649999976158142</v>
      </c>
      <c r="C71" s="158">
        <v>0.10610000044107437</v>
      </c>
      <c r="D71" s="158">
        <v>0.10599999874830246</v>
      </c>
      <c r="E71" s="158">
        <v>0.10610000044107437</v>
      </c>
      <c r="F71" s="158">
        <v>0.10589999705553055</v>
      </c>
      <c r="G71" s="158">
        <v>0.10580000281333923</v>
      </c>
      <c r="H71" s="158">
        <v>0.10570000112056732</v>
      </c>
      <c r="I71" s="158">
        <v>0.10559999942779541</v>
      </c>
      <c r="J71" s="158">
        <v>0.1054999977350235</v>
      </c>
      <c r="K71" s="158">
        <v>0.1054999977350235</v>
      </c>
      <c r="L71" s="158">
        <v>0.1054999977350235</v>
      </c>
      <c r="M71" s="158">
        <v>0.10540000349283218</v>
      </c>
      <c r="N71" s="158">
        <v>0.10540000349283218</v>
      </c>
      <c r="O71" s="158">
        <v>0.10530000180006027</v>
      </c>
      <c r="P71" s="158">
        <v>0.10499999672174454</v>
      </c>
      <c r="Q71" s="158">
        <v>0.10499999672174454</v>
      </c>
      <c r="R71" s="158">
        <v>0.10499999672174454</v>
      </c>
      <c r="S71" s="158">
        <v>0.10490000247955322</v>
      </c>
      <c r="T71" s="158">
        <v>0.10490000247955322</v>
      </c>
      <c r="U71" s="158">
        <v>0.10490000247955322</v>
      </c>
      <c r="V71" s="158">
        <f t="shared" si="1"/>
        <v>0.10485000163316727</v>
      </c>
      <c r="W71" s="158">
        <v>0.10480000078678131</v>
      </c>
      <c r="X71" s="158">
        <v>0.10480000078678131</v>
      </c>
      <c r="Y71" s="158">
        <v>0.1046999990940094</v>
      </c>
      <c r="Z71" s="158">
        <v>0.10450000315904617</v>
      </c>
      <c r="AA71" s="158">
        <v>0.10450000315904617</v>
      </c>
      <c r="AB71" s="158">
        <v>0.10450000315904617</v>
      </c>
      <c r="AC71" s="158">
        <v>0.10440000146627426</v>
      </c>
      <c r="AD71" s="158">
        <v>0.10440000146627426</v>
      </c>
      <c r="AE71" s="158">
        <v>0.10440000146627426</v>
      </c>
      <c r="AF71" s="158">
        <v>0.10429999977350235</v>
      </c>
    </row>
    <row r="72" spans="1:32" x14ac:dyDescent="0.2">
      <c r="A72" s="158" t="s">
        <v>223</v>
      </c>
      <c r="B72" s="158">
        <v>0.10710000246763229</v>
      </c>
      <c r="C72" s="158">
        <v>0.10689999908208847</v>
      </c>
      <c r="D72" s="158">
        <v>0.10679999738931656</v>
      </c>
      <c r="E72" s="158">
        <v>0.10679999738931656</v>
      </c>
      <c r="F72" s="158">
        <v>0.10689999908208847</v>
      </c>
      <c r="G72" s="158">
        <v>0.10670000314712524</v>
      </c>
      <c r="H72" s="158">
        <v>0.10670000314712524</v>
      </c>
      <c r="I72" s="158">
        <v>0.10649999976158142</v>
      </c>
      <c r="J72" s="158">
        <v>0.10649999976158142</v>
      </c>
      <c r="K72" s="158">
        <v>0.10639999806880951</v>
      </c>
      <c r="L72" s="158">
        <v>0.10649999976158142</v>
      </c>
      <c r="M72" s="158">
        <v>0.10639999806880951</v>
      </c>
      <c r="N72" s="158">
        <v>0.1062999963760376</v>
      </c>
      <c r="O72" s="158">
        <v>0.10620000213384628</v>
      </c>
      <c r="P72" s="158">
        <v>0.10610000044107437</v>
      </c>
      <c r="Q72" s="158">
        <v>0.10599999874830246</v>
      </c>
      <c r="R72" s="158">
        <v>0.10599999874830246</v>
      </c>
      <c r="S72" s="158">
        <v>0.10610000044107437</v>
      </c>
      <c r="T72" s="158">
        <v>0.10610000044107437</v>
      </c>
      <c r="U72" s="158">
        <v>0.10610000044107437</v>
      </c>
      <c r="V72" s="158">
        <f t="shared" si="1"/>
        <v>0.10610000044107437</v>
      </c>
      <c r="W72" s="158">
        <v>0.10610000044107437</v>
      </c>
      <c r="X72" s="158">
        <v>0.10599999874830246</v>
      </c>
      <c r="Y72" s="158">
        <v>0.10589999705553055</v>
      </c>
      <c r="Z72" s="158">
        <v>0.10580000281333923</v>
      </c>
      <c r="AA72" s="158">
        <v>0.10589999705553055</v>
      </c>
      <c r="AB72" s="158">
        <v>0.10559999942779541</v>
      </c>
      <c r="AC72" s="158">
        <v>0.10559999942779541</v>
      </c>
      <c r="AD72" s="158">
        <v>0.10559999942779541</v>
      </c>
      <c r="AE72" s="158">
        <v>0.10559999942779541</v>
      </c>
      <c r="AF72" s="158">
        <v>0.10589999705553055</v>
      </c>
    </row>
    <row r="73" spans="1:32" x14ac:dyDescent="0.2">
      <c r="A73" s="158" t="s">
        <v>224</v>
      </c>
      <c r="B73" s="158">
        <v>0.10710000246763229</v>
      </c>
      <c r="C73" s="158">
        <v>0.10679999738931656</v>
      </c>
      <c r="D73" s="158">
        <v>0.10670000314712524</v>
      </c>
      <c r="E73" s="158">
        <v>0.10670000314712524</v>
      </c>
      <c r="F73" s="158">
        <v>0.10660000145435333</v>
      </c>
      <c r="G73" s="158">
        <v>0.10660000145435333</v>
      </c>
      <c r="H73" s="158">
        <v>0.10639999806880951</v>
      </c>
      <c r="I73" s="158">
        <v>0.1062999963760376</v>
      </c>
      <c r="J73" s="158">
        <v>0.10620000213384628</v>
      </c>
      <c r="K73" s="158">
        <v>0.10620000213384628</v>
      </c>
      <c r="L73" s="158">
        <v>0.10620000213384628</v>
      </c>
      <c r="M73" s="158">
        <v>0.10599999874830246</v>
      </c>
      <c r="N73" s="158">
        <v>0.10589999705553055</v>
      </c>
      <c r="O73" s="158">
        <v>0.10570000112056732</v>
      </c>
      <c r="P73" s="158">
        <v>0.1054999977350235</v>
      </c>
      <c r="Q73" s="158">
        <v>0.1054999977350235</v>
      </c>
      <c r="R73" s="158">
        <v>0.1054999977350235</v>
      </c>
      <c r="S73" s="158">
        <v>0.1054999977350235</v>
      </c>
      <c r="T73" s="158">
        <v>0.10559999942779541</v>
      </c>
      <c r="U73" s="158">
        <v>0.10570000112056732</v>
      </c>
      <c r="V73" s="158">
        <f t="shared" si="1"/>
        <v>0.10559999942779541</v>
      </c>
      <c r="W73" s="158">
        <v>0.1054999977350235</v>
      </c>
      <c r="X73" s="158">
        <v>0.10540000349283218</v>
      </c>
      <c r="Y73" s="158">
        <v>0.10520000010728836</v>
      </c>
      <c r="Z73" s="158">
        <v>0.10509999841451645</v>
      </c>
      <c r="AA73" s="158">
        <v>0.10490000247955322</v>
      </c>
      <c r="AB73" s="158">
        <v>0.10480000078678131</v>
      </c>
      <c r="AC73" s="158">
        <v>0.10480000078678131</v>
      </c>
      <c r="AD73" s="158">
        <v>0.10480000078678131</v>
      </c>
      <c r="AE73" s="158">
        <v>0.1046999990940094</v>
      </c>
      <c r="AF73" s="158">
        <v>0.10490000247955322</v>
      </c>
    </row>
    <row r="74" spans="1:32" x14ac:dyDescent="0.2">
      <c r="A74" s="158" t="s">
        <v>225</v>
      </c>
      <c r="B74" s="158">
        <v>0.10719999670982361</v>
      </c>
      <c r="C74" s="158">
        <v>0.10719999670982361</v>
      </c>
      <c r="D74" s="158">
        <v>0.10719999670982361</v>
      </c>
      <c r="E74" s="158">
        <v>0.10729999840259552</v>
      </c>
      <c r="F74" s="158">
        <v>0.10729999840259552</v>
      </c>
      <c r="G74" s="158">
        <v>0.10740000009536743</v>
      </c>
      <c r="H74" s="158">
        <v>0.10729999840259552</v>
      </c>
      <c r="I74" s="158">
        <v>0.10729999840259552</v>
      </c>
      <c r="J74" s="158">
        <v>0.10719999670982361</v>
      </c>
      <c r="K74" s="158">
        <v>0.10719999670982361</v>
      </c>
      <c r="L74" s="158">
        <v>0.10719999670982361</v>
      </c>
      <c r="M74" s="158">
        <v>0.10729999840259552</v>
      </c>
      <c r="N74" s="158">
        <v>0.10689999908208847</v>
      </c>
      <c r="O74" s="158">
        <v>0.10679999738931656</v>
      </c>
      <c r="P74" s="158">
        <v>0.10660000145435333</v>
      </c>
      <c r="Q74" s="158">
        <v>0.10660000145435333</v>
      </c>
      <c r="R74" s="158">
        <v>0.10660000145435333</v>
      </c>
      <c r="S74" s="158">
        <v>0.10670000314712524</v>
      </c>
      <c r="T74" s="158">
        <v>0.10679999738931656</v>
      </c>
      <c r="U74" s="158">
        <v>0.10689999908208847</v>
      </c>
      <c r="V74" s="158">
        <f t="shared" si="1"/>
        <v>0.10684999823570251</v>
      </c>
      <c r="W74" s="158">
        <v>0.10679999738931656</v>
      </c>
      <c r="X74" s="158">
        <v>0.10679999738931656</v>
      </c>
      <c r="Y74" s="158">
        <v>0.10649999976158142</v>
      </c>
      <c r="Z74" s="158">
        <v>0.1062999963760376</v>
      </c>
      <c r="AA74" s="158">
        <v>0.10620000213384628</v>
      </c>
      <c r="AB74" s="158">
        <v>0.10610000044107437</v>
      </c>
      <c r="AC74" s="158">
        <v>0.10610000044107437</v>
      </c>
      <c r="AD74" s="158">
        <v>0.10610000044107437</v>
      </c>
      <c r="AE74" s="158">
        <v>0.10610000044107437</v>
      </c>
      <c r="AF74" s="158">
        <v>0.10620000213384628</v>
      </c>
    </row>
    <row r="75" spans="1:32" x14ac:dyDescent="0.2">
      <c r="A75" s="158" t="s">
        <v>226</v>
      </c>
      <c r="B75" s="158">
        <v>0.10740000009536743</v>
      </c>
      <c r="C75" s="158">
        <v>0.10710000246763229</v>
      </c>
      <c r="D75" s="158">
        <v>0.10710000246763229</v>
      </c>
      <c r="E75" s="158">
        <v>0.10700000077486038</v>
      </c>
      <c r="F75" s="158">
        <v>0.10689999908208847</v>
      </c>
      <c r="G75" s="158">
        <v>0.10719999670982361</v>
      </c>
      <c r="H75" s="158">
        <v>0.10679999738931656</v>
      </c>
      <c r="I75" s="158">
        <v>0.10670000314712524</v>
      </c>
      <c r="J75" s="158">
        <v>0.10670000314712524</v>
      </c>
      <c r="K75" s="158">
        <v>0.10670000314712524</v>
      </c>
      <c r="L75" s="158">
        <v>0.10670000314712524</v>
      </c>
      <c r="M75" s="158">
        <v>0.10649999976158142</v>
      </c>
      <c r="N75" s="158">
        <v>0.10639999806880951</v>
      </c>
      <c r="O75" s="158">
        <v>0.10620000213384628</v>
      </c>
      <c r="P75" s="158">
        <v>0.10599999874830246</v>
      </c>
      <c r="Q75" s="158">
        <v>0.10599999874830246</v>
      </c>
      <c r="R75" s="158">
        <v>0.10599999874830246</v>
      </c>
      <c r="S75" s="158">
        <v>0.10599999874830246</v>
      </c>
      <c r="T75" s="158">
        <v>0.10610000044107437</v>
      </c>
      <c r="U75" s="158">
        <v>0.10620000213384628</v>
      </c>
      <c r="V75" s="158">
        <f t="shared" si="1"/>
        <v>0.10615000128746033</v>
      </c>
      <c r="W75" s="158">
        <v>0.10610000044107437</v>
      </c>
      <c r="X75" s="158">
        <v>0.10599999874830246</v>
      </c>
      <c r="Y75" s="158">
        <v>0.10570000112056732</v>
      </c>
      <c r="Z75" s="158">
        <v>0.1054999977350235</v>
      </c>
      <c r="AA75" s="158">
        <v>0.10540000349283218</v>
      </c>
      <c r="AB75" s="158">
        <v>0.10540000349283218</v>
      </c>
      <c r="AC75" s="158">
        <v>0.10530000180006027</v>
      </c>
      <c r="AD75" s="158">
        <v>0.10540000349283218</v>
      </c>
      <c r="AE75" s="158">
        <v>0.10530000180006027</v>
      </c>
      <c r="AF75" s="158">
        <v>0.1054999977350235</v>
      </c>
    </row>
    <row r="76" spans="1:32" x14ac:dyDescent="0.2">
      <c r="A76" s="158" t="s">
        <v>227</v>
      </c>
      <c r="B76" s="158">
        <v>0.10859999805688858</v>
      </c>
      <c r="C76" s="158">
        <v>0.10819999873638153</v>
      </c>
      <c r="D76" s="158">
        <v>0.10809999704360962</v>
      </c>
      <c r="E76" s="158">
        <v>0.10819999873638153</v>
      </c>
      <c r="F76" s="158">
        <v>0.10809999704360962</v>
      </c>
      <c r="G76" s="158">
        <v>0.10819999873638153</v>
      </c>
      <c r="H76" s="158">
        <v>0.10809999704360962</v>
      </c>
      <c r="I76" s="158">
        <v>0.1080000028014183</v>
      </c>
      <c r="J76" s="158">
        <v>0.1080000028014183</v>
      </c>
      <c r="K76" s="158">
        <v>0.1080000028014183</v>
      </c>
      <c r="L76" s="158">
        <v>0.1080000028014183</v>
      </c>
      <c r="M76" s="158">
        <v>0.10779999941587448</v>
      </c>
      <c r="N76" s="158">
        <v>0.10769999772310257</v>
      </c>
      <c r="O76" s="158">
        <v>0.10750000178813934</v>
      </c>
      <c r="P76" s="158">
        <v>0.10729999840259552</v>
      </c>
      <c r="Q76" s="158">
        <v>0.10760000348091125</v>
      </c>
      <c r="R76" s="158">
        <v>0.10729999840259552</v>
      </c>
      <c r="S76" s="158">
        <v>0.10760000348091125</v>
      </c>
      <c r="T76" s="158">
        <v>0.10760000348091125</v>
      </c>
      <c r="U76" s="158">
        <v>0.10769999772310257</v>
      </c>
      <c r="V76" s="158">
        <f t="shared" si="1"/>
        <v>0.10799999907612801</v>
      </c>
      <c r="W76" s="158">
        <v>0.10830000042915344</v>
      </c>
      <c r="X76" s="158">
        <v>0.10819999873638153</v>
      </c>
      <c r="Y76" s="158">
        <v>0.10939999669790268</v>
      </c>
      <c r="Z76" s="158">
        <v>0.10899999737739563</v>
      </c>
      <c r="AA76" s="158">
        <v>0.10920000076293945</v>
      </c>
      <c r="AB76" s="158">
        <v>0.10930000245571136</v>
      </c>
      <c r="AC76" s="158">
        <v>0.10890000313520432</v>
      </c>
      <c r="AD76" s="158">
        <v>0.10890000313520432</v>
      </c>
      <c r="AE76" s="158">
        <v>0.1088000014424324</v>
      </c>
      <c r="AF76" s="158">
        <v>0.10830000042915344</v>
      </c>
    </row>
    <row r="77" spans="1:32" x14ac:dyDescent="0.2">
      <c r="A77" s="158" t="s">
        <v>228</v>
      </c>
      <c r="B77" s="158">
        <v>0.10719999670982361</v>
      </c>
      <c r="C77" s="158">
        <v>0.10660000145435333</v>
      </c>
      <c r="D77" s="158">
        <v>0.10660000145435333</v>
      </c>
      <c r="E77" s="158">
        <v>0.10660000145435333</v>
      </c>
      <c r="F77" s="158">
        <v>0.10639999806880951</v>
      </c>
      <c r="G77" s="158">
        <v>0.10649999976158142</v>
      </c>
      <c r="H77" s="158">
        <v>0.10660000145435333</v>
      </c>
      <c r="I77" s="158">
        <v>0.10620000213384628</v>
      </c>
      <c r="J77" s="158">
        <v>0.10620000213384628</v>
      </c>
      <c r="K77" s="158">
        <v>0.10620000213384628</v>
      </c>
      <c r="L77" s="158">
        <v>0.10610000044107437</v>
      </c>
      <c r="M77" s="158">
        <v>0.10589999705553055</v>
      </c>
      <c r="N77" s="158">
        <v>0.10580000281333923</v>
      </c>
      <c r="O77" s="158">
        <v>0.1054999977350235</v>
      </c>
      <c r="P77" s="158">
        <v>0.10530000180006027</v>
      </c>
      <c r="Q77" s="158">
        <v>0.10530000180006027</v>
      </c>
      <c r="R77" s="158">
        <v>0.10530000180006027</v>
      </c>
      <c r="S77" s="158">
        <v>0.10540000349283218</v>
      </c>
      <c r="T77" s="158">
        <v>0.10570000112056732</v>
      </c>
      <c r="U77" s="158">
        <v>0.10570000112056732</v>
      </c>
      <c r="V77" s="158">
        <f t="shared" si="1"/>
        <v>0.10610000044107437</v>
      </c>
      <c r="W77" s="158">
        <v>0.10649999976158142</v>
      </c>
      <c r="X77" s="158">
        <v>0.10639999806880951</v>
      </c>
      <c r="Y77" s="158">
        <v>0.10620000213384628</v>
      </c>
      <c r="Z77" s="158">
        <v>0.10580000281333923</v>
      </c>
      <c r="AA77" s="158">
        <v>0.10570000112056732</v>
      </c>
      <c r="AB77" s="158">
        <v>0.10559999942779541</v>
      </c>
      <c r="AC77" s="158">
        <v>0.10540000349283218</v>
      </c>
      <c r="AD77" s="158">
        <v>0.1054999977350235</v>
      </c>
      <c r="AE77" s="158">
        <v>0.1054999977350235</v>
      </c>
      <c r="AF77" s="158">
        <v>0.10580000281333923</v>
      </c>
    </row>
    <row r="78" spans="1:32" x14ac:dyDescent="0.2">
      <c r="A78" s="158" t="s">
        <v>229</v>
      </c>
      <c r="B78" s="158">
        <v>0.10790000110864639</v>
      </c>
      <c r="C78" s="158">
        <v>0.10760000348091125</v>
      </c>
      <c r="D78" s="158">
        <v>0.10750000178813934</v>
      </c>
      <c r="E78" s="158">
        <v>0.10750000178813934</v>
      </c>
      <c r="F78" s="158">
        <v>0.10750000178813934</v>
      </c>
      <c r="G78" s="158">
        <v>0.10760000348091125</v>
      </c>
      <c r="H78" s="158">
        <v>0.10750000178813934</v>
      </c>
      <c r="I78" s="158">
        <v>0.10750000178813934</v>
      </c>
      <c r="J78" s="158">
        <v>0.10740000009536743</v>
      </c>
      <c r="K78" s="158">
        <v>0.10740000009536743</v>
      </c>
      <c r="L78" s="158">
        <v>0.10740000009536743</v>
      </c>
      <c r="M78" s="158">
        <v>0.10719999670982361</v>
      </c>
      <c r="N78" s="158">
        <v>0.10700000077486038</v>
      </c>
      <c r="O78" s="158">
        <v>0.10670000314712524</v>
      </c>
      <c r="P78" s="158">
        <v>0.10679999738931656</v>
      </c>
      <c r="Q78" s="158">
        <v>0.10649999976158142</v>
      </c>
      <c r="R78" s="158">
        <v>0.10660000145435333</v>
      </c>
      <c r="S78" s="158">
        <v>0.10679999738931656</v>
      </c>
      <c r="T78" s="158">
        <v>0.10700000077486038</v>
      </c>
      <c r="U78" s="158">
        <v>0.10710000246763229</v>
      </c>
      <c r="V78" s="158">
        <f t="shared" si="1"/>
        <v>0.10710000246763229</v>
      </c>
      <c r="W78" s="158">
        <v>0.10710000246763229</v>
      </c>
      <c r="X78" s="158">
        <v>0.10679999738931656</v>
      </c>
      <c r="Y78" s="158">
        <v>0.10660000145435333</v>
      </c>
      <c r="Z78" s="158">
        <v>0.1062999963760376</v>
      </c>
      <c r="AA78" s="158">
        <v>0.10620000213384628</v>
      </c>
      <c r="AB78" s="158">
        <v>0.10599999874830246</v>
      </c>
      <c r="AC78" s="158">
        <v>0.10589999705553055</v>
      </c>
      <c r="AD78" s="158">
        <v>0.10599999874830246</v>
      </c>
      <c r="AE78" s="158">
        <v>0.10599999874830246</v>
      </c>
      <c r="AF78" s="158">
        <v>0.10610000044107437</v>
      </c>
    </row>
    <row r="79" spans="1:32" x14ac:dyDescent="0.2">
      <c r="A79" s="158" t="s">
        <v>230</v>
      </c>
      <c r="B79" s="158">
        <v>0.10639999806880951</v>
      </c>
      <c r="C79" s="158">
        <v>0.10589999705553055</v>
      </c>
      <c r="D79" s="158">
        <v>0.10570000112056732</v>
      </c>
      <c r="E79" s="158">
        <v>0.10570000112056732</v>
      </c>
      <c r="F79" s="158">
        <v>0.1054999977350235</v>
      </c>
      <c r="G79" s="158">
        <v>0.10559999942779541</v>
      </c>
      <c r="H79" s="158">
        <v>0.10540000349283218</v>
      </c>
      <c r="I79" s="158">
        <v>0.10530000180006027</v>
      </c>
      <c r="J79" s="158">
        <v>0.10509999841451645</v>
      </c>
      <c r="K79" s="158">
        <v>0.10520000010728836</v>
      </c>
      <c r="L79" s="158">
        <v>0.10520000010728836</v>
      </c>
      <c r="M79" s="158">
        <v>0.10499999672174454</v>
      </c>
      <c r="N79" s="158">
        <v>0.10480000078678131</v>
      </c>
      <c r="O79" s="158">
        <v>0.10450000315904617</v>
      </c>
      <c r="P79" s="158">
        <v>0.10429999977350235</v>
      </c>
      <c r="Q79" s="158">
        <v>0.10429999977350235</v>
      </c>
      <c r="R79" s="158">
        <v>0.10429999977350235</v>
      </c>
      <c r="S79" s="158">
        <v>0.10440000146627426</v>
      </c>
      <c r="T79" s="158">
        <v>0.10459999740123749</v>
      </c>
      <c r="U79" s="158">
        <v>0.1046999990940094</v>
      </c>
      <c r="V79" s="158">
        <f t="shared" si="1"/>
        <v>0.10520000010728836</v>
      </c>
      <c r="W79" s="158">
        <v>0.10570000112056732</v>
      </c>
      <c r="X79" s="158">
        <v>0.10540000349283218</v>
      </c>
      <c r="Y79" s="158">
        <v>0.10509999841451645</v>
      </c>
      <c r="Z79" s="158">
        <v>0.10499999672174454</v>
      </c>
      <c r="AA79" s="158">
        <v>0.10480000078678131</v>
      </c>
      <c r="AB79" s="158">
        <v>0.1046999990940094</v>
      </c>
      <c r="AC79" s="158">
        <v>0.10459999740123749</v>
      </c>
      <c r="AD79" s="158">
        <v>0.10459999740123749</v>
      </c>
      <c r="AE79" s="158">
        <v>0.1046999990940094</v>
      </c>
      <c r="AF79" s="158">
        <v>0.10400000214576721</v>
      </c>
    </row>
    <row r="80" spans="1:32" x14ac:dyDescent="0.2">
      <c r="A80" s="158" t="s">
        <v>231</v>
      </c>
      <c r="B80" s="158">
        <v>0.10719999670982361</v>
      </c>
      <c r="C80" s="158">
        <v>0.10679999738931656</v>
      </c>
      <c r="D80" s="158">
        <v>0.10670000314712524</v>
      </c>
      <c r="E80" s="158">
        <v>0.10660000145435333</v>
      </c>
      <c r="F80" s="158">
        <v>0.10660000145435333</v>
      </c>
      <c r="G80" s="158">
        <v>0.10679999738931656</v>
      </c>
      <c r="H80" s="158">
        <v>0.10670000314712524</v>
      </c>
      <c r="I80" s="158">
        <v>0.10670000314712524</v>
      </c>
      <c r="J80" s="158">
        <v>0.10660000145435333</v>
      </c>
      <c r="K80" s="158">
        <v>0.10679999738931656</v>
      </c>
      <c r="L80" s="158">
        <v>0.10660000145435333</v>
      </c>
      <c r="M80" s="158">
        <v>0.10639999806880951</v>
      </c>
      <c r="N80" s="158">
        <v>0.10620000213384628</v>
      </c>
      <c r="O80" s="158">
        <v>0.10599999874830246</v>
      </c>
      <c r="P80" s="158">
        <v>0.10580000281333923</v>
      </c>
      <c r="Q80" s="158">
        <v>0.10580000281333923</v>
      </c>
      <c r="R80" s="158">
        <v>0.10580000281333923</v>
      </c>
      <c r="S80" s="158">
        <v>0.10599999874830246</v>
      </c>
      <c r="T80" s="158">
        <v>0.10620000213384628</v>
      </c>
      <c r="U80" s="158">
        <v>0.1062999963760376</v>
      </c>
      <c r="V80" s="158">
        <f t="shared" si="1"/>
        <v>0.1062999963760376</v>
      </c>
      <c r="W80" s="158">
        <v>0.1062999963760376</v>
      </c>
      <c r="X80" s="158">
        <v>0.10610000044107437</v>
      </c>
      <c r="Y80" s="158">
        <v>0.10580000281333923</v>
      </c>
      <c r="Z80" s="158">
        <v>0.10559999942779541</v>
      </c>
      <c r="AA80" s="158">
        <v>0.10540000349283218</v>
      </c>
      <c r="AB80" s="158">
        <v>0.10530000180006027</v>
      </c>
      <c r="AC80" s="158">
        <v>0.10520000010728836</v>
      </c>
      <c r="AD80" s="158">
        <v>0.10520000010728836</v>
      </c>
      <c r="AE80" s="158">
        <v>0.10530000180006027</v>
      </c>
      <c r="AF80" s="158">
        <v>0.10530000180006027</v>
      </c>
    </row>
    <row r="81" spans="1:32" x14ac:dyDescent="0.2">
      <c r="A81" s="158" t="s">
        <v>232</v>
      </c>
      <c r="B81" s="158">
        <v>0.10719999670982361</v>
      </c>
      <c r="C81" s="158">
        <v>0.10660000145435333</v>
      </c>
      <c r="D81" s="158">
        <v>0.1062999963760376</v>
      </c>
      <c r="E81" s="158">
        <v>0.1062999963760376</v>
      </c>
      <c r="F81" s="158">
        <v>0.10620000213384628</v>
      </c>
      <c r="G81" s="158">
        <v>0.1062999963760376</v>
      </c>
      <c r="H81" s="158">
        <v>0.10620000213384628</v>
      </c>
      <c r="I81" s="158">
        <v>0.10610000044107437</v>
      </c>
      <c r="J81" s="158">
        <v>0.10599999874830246</v>
      </c>
      <c r="K81" s="158">
        <v>0.10599999874830246</v>
      </c>
      <c r="L81" s="158">
        <v>0.10599999874830246</v>
      </c>
      <c r="M81" s="158">
        <v>0.10570000112056732</v>
      </c>
      <c r="N81" s="158">
        <v>0.1054999977350235</v>
      </c>
      <c r="O81" s="158">
        <v>0.10520000010728836</v>
      </c>
      <c r="P81" s="158">
        <v>0.10499999672174454</v>
      </c>
      <c r="Q81" s="158">
        <v>0.10499999672174454</v>
      </c>
      <c r="R81" s="158">
        <v>0.10499999672174454</v>
      </c>
      <c r="S81" s="158">
        <v>0.10520000010728836</v>
      </c>
      <c r="T81" s="158">
        <v>0.10540000349283218</v>
      </c>
      <c r="U81" s="158">
        <v>0.1054999977350235</v>
      </c>
      <c r="V81" s="158">
        <f t="shared" si="1"/>
        <v>0.10545000061392784</v>
      </c>
      <c r="W81" s="158">
        <v>0.10540000349283218</v>
      </c>
      <c r="X81" s="158">
        <v>0.10520000010728836</v>
      </c>
      <c r="Y81" s="158">
        <v>0.10490000247955322</v>
      </c>
      <c r="Z81" s="158">
        <v>0.10459999740123749</v>
      </c>
      <c r="AA81" s="158">
        <v>0.10440000146627426</v>
      </c>
      <c r="AB81" s="158">
        <v>0.10429999977350235</v>
      </c>
      <c r="AC81" s="158">
        <v>0.10419999808073044</v>
      </c>
      <c r="AD81" s="158">
        <v>0.10419999808073044</v>
      </c>
      <c r="AE81" s="158">
        <v>0.10419999808073044</v>
      </c>
      <c r="AF81" s="158">
        <v>0.10440000146627426</v>
      </c>
    </row>
    <row r="82" spans="1:32" x14ac:dyDescent="0.2">
      <c r="A82" s="158" t="s">
        <v>233</v>
      </c>
      <c r="B82" s="158">
        <v>0.10769999772310257</v>
      </c>
      <c r="C82" s="158">
        <v>0.10729999840259552</v>
      </c>
      <c r="D82" s="158">
        <v>0.10689999908208847</v>
      </c>
      <c r="E82" s="158">
        <v>0.10689999908208847</v>
      </c>
      <c r="F82" s="158">
        <v>0.10689999908208847</v>
      </c>
      <c r="G82" s="158">
        <v>0.10719999670982361</v>
      </c>
      <c r="H82" s="158">
        <v>0.10710000246763229</v>
      </c>
      <c r="I82" s="158">
        <v>0.10710000246763229</v>
      </c>
      <c r="J82" s="158">
        <v>0.10700000077486038</v>
      </c>
      <c r="K82" s="158">
        <v>0.10700000077486038</v>
      </c>
      <c r="L82" s="158">
        <v>0.10689999908208847</v>
      </c>
      <c r="M82" s="158">
        <v>0.10670000314712524</v>
      </c>
      <c r="N82" s="158">
        <v>0.10639999806880951</v>
      </c>
      <c r="O82" s="158">
        <v>0.10620000213384628</v>
      </c>
      <c r="P82" s="158">
        <v>0.10599999874830246</v>
      </c>
      <c r="Q82" s="158">
        <v>0.10589999705553055</v>
      </c>
      <c r="R82" s="158">
        <v>0.10599999874830246</v>
      </c>
      <c r="S82" s="158">
        <v>0.10620000213384628</v>
      </c>
      <c r="T82" s="158">
        <v>0.10670000314712524</v>
      </c>
      <c r="U82" s="158">
        <v>0.10660000145435333</v>
      </c>
      <c r="V82" s="158">
        <f t="shared" si="1"/>
        <v>0.10660000145435333</v>
      </c>
      <c r="W82" s="158">
        <v>0.10660000145435333</v>
      </c>
      <c r="X82" s="158">
        <v>0.1062999963760376</v>
      </c>
      <c r="Y82" s="158">
        <v>0.10620000213384628</v>
      </c>
      <c r="Z82" s="158">
        <v>0.10559999942779541</v>
      </c>
      <c r="AA82" s="158">
        <v>0.1054999977350235</v>
      </c>
      <c r="AB82" s="158">
        <v>0.10530000180006027</v>
      </c>
      <c r="AC82" s="158">
        <v>0.10509999841451645</v>
      </c>
      <c r="AD82" s="158">
        <v>0.10509999841451645</v>
      </c>
      <c r="AE82" s="158">
        <v>0.10520000010728836</v>
      </c>
      <c r="AF82" s="158">
        <v>0.10530000180006027</v>
      </c>
    </row>
    <row r="83" spans="1:32" x14ac:dyDescent="0.2">
      <c r="A83" s="158" t="s">
        <v>234</v>
      </c>
      <c r="B83" s="158">
        <v>0.10710000246763229</v>
      </c>
      <c r="C83" s="158">
        <v>0.10679999738931656</v>
      </c>
      <c r="D83" s="158">
        <v>0.10639999806880951</v>
      </c>
      <c r="E83" s="158">
        <v>0.10639999806880951</v>
      </c>
      <c r="F83" s="158">
        <v>0.1062999963760376</v>
      </c>
      <c r="G83" s="158">
        <v>0.10649999976158142</v>
      </c>
      <c r="H83" s="158">
        <v>0.10639999806880951</v>
      </c>
      <c r="I83" s="158">
        <v>0.1062999963760376</v>
      </c>
      <c r="J83" s="158">
        <v>0.10639999806880951</v>
      </c>
      <c r="K83" s="158">
        <v>0.10620000213384628</v>
      </c>
      <c r="L83" s="158">
        <v>0.10620000213384628</v>
      </c>
      <c r="M83" s="158">
        <v>0.10599999874830246</v>
      </c>
      <c r="N83" s="158">
        <v>0.10580000281333923</v>
      </c>
      <c r="O83" s="158">
        <v>0.1054999977350235</v>
      </c>
      <c r="P83" s="158">
        <v>0.10530000180006027</v>
      </c>
      <c r="Q83" s="158">
        <v>0.10530000180006027</v>
      </c>
      <c r="R83" s="158">
        <v>0.10540000349283218</v>
      </c>
      <c r="S83" s="158">
        <v>0.10559999942779541</v>
      </c>
      <c r="T83" s="158">
        <v>0.10580000281333923</v>
      </c>
      <c r="U83" s="158">
        <v>0.10589999705553055</v>
      </c>
      <c r="V83" s="158">
        <f t="shared" si="1"/>
        <v>0.10589999705553055</v>
      </c>
      <c r="W83" s="158">
        <v>0.10589999705553055</v>
      </c>
      <c r="X83" s="158">
        <v>0.10570000112056732</v>
      </c>
      <c r="Y83" s="158">
        <v>0.10530000180006027</v>
      </c>
      <c r="Z83" s="158">
        <v>0.10509999841451645</v>
      </c>
      <c r="AA83" s="158">
        <v>0.10520000010728836</v>
      </c>
      <c r="AB83" s="158">
        <v>0.10480000078678131</v>
      </c>
      <c r="AC83" s="158">
        <v>0.10459999740123749</v>
      </c>
      <c r="AD83" s="158">
        <v>0.1046999990940094</v>
      </c>
      <c r="AE83" s="158">
        <v>0.1046999990940094</v>
      </c>
      <c r="AF83" s="158">
        <v>0.10509999841451645</v>
      </c>
    </row>
    <row r="84" spans="1:32" x14ac:dyDescent="0.2">
      <c r="A84" s="158" t="s">
        <v>235</v>
      </c>
      <c r="B84" s="158">
        <v>0.10719999670982361</v>
      </c>
      <c r="C84" s="158">
        <v>0.10679999738931656</v>
      </c>
      <c r="D84" s="158">
        <v>0.10670000314712524</v>
      </c>
      <c r="E84" s="158">
        <v>0.10649999976158142</v>
      </c>
      <c r="F84" s="158">
        <v>0.10639999806880951</v>
      </c>
      <c r="G84" s="158">
        <v>0.10670000314712524</v>
      </c>
      <c r="H84" s="158">
        <v>0.10660000145435333</v>
      </c>
      <c r="I84" s="158">
        <v>0.10639999806880951</v>
      </c>
      <c r="J84" s="158">
        <v>0.10639999806880951</v>
      </c>
      <c r="K84" s="158">
        <v>0.10639999806880951</v>
      </c>
      <c r="L84" s="158">
        <v>0.10639999806880951</v>
      </c>
      <c r="M84" s="158">
        <v>0.10610000044107437</v>
      </c>
      <c r="N84" s="158">
        <v>0.10580000281333923</v>
      </c>
      <c r="O84" s="158">
        <v>0.10559999942779541</v>
      </c>
      <c r="P84" s="158">
        <v>0.10540000349283218</v>
      </c>
      <c r="Q84" s="158">
        <v>0.10540000349283218</v>
      </c>
      <c r="R84" s="158">
        <v>0.1054999977350235</v>
      </c>
      <c r="S84" s="158">
        <v>0.10559999942779541</v>
      </c>
      <c r="T84" s="158">
        <v>0.10589999705553055</v>
      </c>
      <c r="U84" s="158">
        <v>0.10599999874830246</v>
      </c>
      <c r="V84" s="158">
        <f t="shared" si="1"/>
        <v>0.10604999959468842</v>
      </c>
      <c r="W84" s="158">
        <v>0.10610000044107437</v>
      </c>
      <c r="X84" s="158">
        <v>0.10580000281333923</v>
      </c>
      <c r="Y84" s="158">
        <v>0.1054999977350235</v>
      </c>
      <c r="Z84" s="158">
        <v>0.10520000010728836</v>
      </c>
      <c r="AA84" s="158">
        <v>0.10499999672174454</v>
      </c>
      <c r="AB84" s="158">
        <v>0.10490000247955322</v>
      </c>
      <c r="AC84" s="158">
        <v>0.1046999990940094</v>
      </c>
      <c r="AD84" s="158">
        <v>0.10480000078678131</v>
      </c>
      <c r="AE84" s="158">
        <v>0.10480000078678131</v>
      </c>
      <c r="AF84" s="158">
        <v>0.10499999672174454</v>
      </c>
    </row>
    <row r="85" spans="1:32" x14ac:dyDescent="0.2">
      <c r="A85" s="158" t="s">
        <v>236</v>
      </c>
      <c r="B85" s="158">
        <v>0.10639999806880951</v>
      </c>
      <c r="C85" s="158">
        <v>0.10599999874830246</v>
      </c>
      <c r="D85" s="158">
        <v>0.10580000281333923</v>
      </c>
      <c r="E85" s="158">
        <v>0.10580000281333923</v>
      </c>
      <c r="F85" s="158">
        <v>0.10610000044107437</v>
      </c>
      <c r="G85" s="158">
        <v>0.10620000213384628</v>
      </c>
      <c r="H85" s="158">
        <v>0.10610000044107437</v>
      </c>
      <c r="I85" s="158">
        <v>0.10599999874830246</v>
      </c>
      <c r="J85" s="158">
        <v>0.10580000281333923</v>
      </c>
      <c r="K85" s="158">
        <v>0.10580000281333923</v>
      </c>
      <c r="L85" s="158">
        <v>0.10580000281333923</v>
      </c>
      <c r="M85" s="158">
        <v>0.10559999942779541</v>
      </c>
      <c r="N85" s="158">
        <v>0.10530000180006027</v>
      </c>
      <c r="O85" s="158">
        <v>0.10490000247955322</v>
      </c>
      <c r="P85" s="158">
        <v>0.10490000247955322</v>
      </c>
      <c r="Q85" s="158">
        <v>0.10480000078678131</v>
      </c>
      <c r="R85" s="158">
        <v>0.10480000078678131</v>
      </c>
      <c r="S85" s="158">
        <v>0.10509999841451645</v>
      </c>
      <c r="T85" s="158">
        <v>0.10530000180006027</v>
      </c>
      <c r="U85" s="158">
        <v>0.10559999942779541</v>
      </c>
      <c r="V85" s="158">
        <f t="shared" si="1"/>
        <v>0.10619999840855598</v>
      </c>
      <c r="W85" s="158">
        <v>0.10679999738931656</v>
      </c>
      <c r="X85" s="158">
        <v>0.1062999963760376</v>
      </c>
      <c r="Y85" s="158">
        <v>0.10589999705553055</v>
      </c>
      <c r="Z85" s="158">
        <v>0.10580000281333923</v>
      </c>
      <c r="AA85" s="158">
        <v>0.10570000112056732</v>
      </c>
      <c r="AB85" s="158">
        <v>0.10540000349283218</v>
      </c>
      <c r="AC85" s="158">
        <v>0.1054999977350235</v>
      </c>
      <c r="AD85" s="158">
        <v>0.10520000010728836</v>
      </c>
      <c r="AE85" s="158">
        <v>0.10540000349283218</v>
      </c>
      <c r="AF85" s="158">
        <v>0.10480000078678131</v>
      </c>
    </row>
    <row r="86" spans="1:32" x14ac:dyDescent="0.2">
      <c r="A86" s="158" t="s">
        <v>237</v>
      </c>
      <c r="B86" s="158">
        <v>0.10670000314712524</v>
      </c>
      <c r="C86" s="158">
        <v>0.1062999963760376</v>
      </c>
      <c r="D86" s="158">
        <v>0.10620000213384628</v>
      </c>
      <c r="E86" s="158">
        <v>0.10610000044107437</v>
      </c>
      <c r="F86" s="158">
        <v>0.10599999874830246</v>
      </c>
      <c r="G86" s="158">
        <v>0.1062999963760376</v>
      </c>
      <c r="H86" s="158">
        <v>0.10620000213384628</v>
      </c>
      <c r="I86" s="158">
        <v>0.10610000044107437</v>
      </c>
      <c r="J86" s="158">
        <v>0.10649999976158142</v>
      </c>
      <c r="K86" s="158">
        <v>0.10599999874830246</v>
      </c>
      <c r="L86" s="158">
        <v>0.10610000044107437</v>
      </c>
      <c r="M86" s="158">
        <v>0.10589999705553055</v>
      </c>
      <c r="N86" s="158">
        <v>0.1054999977350235</v>
      </c>
      <c r="O86" s="158">
        <v>0.10520000010728836</v>
      </c>
      <c r="P86" s="158">
        <v>0.10499999672174454</v>
      </c>
      <c r="Q86" s="158">
        <v>0.10499999672174454</v>
      </c>
      <c r="R86" s="158">
        <v>0.10509999841451645</v>
      </c>
      <c r="S86" s="158">
        <v>0.10520000010728836</v>
      </c>
      <c r="T86" s="158">
        <v>0.1054999977350235</v>
      </c>
      <c r="U86" s="158">
        <v>0.10559999942779541</v>
      </c>
      <c r="V86" s="158">
        <f t="shared" si="1"/>
        <v>0.10559999942779541</v>
      </c>
      <c r="W86" s="158">
        <v>0.10559999942779541</v>
      </c>
      <c r="X86" s="158">
        <v>0.10540000349283218</v>
      </c>
      <c r="Y86" s="158">
        <v>0.10509999841451645</v>
      </c>
      <c r="Z86" s="158">
        <v>0.10480000078678131</v>
      </c>
      <c r="AA86" s="158">
        <v>0.10459999740123749</v>
      </c>
      <c r="AB86" s="158">
        <v>0.10440000146627426</v>
      </c>
      <c r="AC86" s="158">
        <v>0.10429999977350235</v>
      </c>
      <c r="AD86" s="158">
        <v>0.10429999977350235</v>
      </c>
      <c r="AE86" s="158">
        <v>0.10440000146627426</v>
      </c>
      <c r="AF86" s="158">
        <v>0.10459999740123749</v>
      </c>
    </row>
    <row r="87" spans="1:32" x14ac:dyDescent="0.2">
      <c r="A87" s="158" t="s">
        <v>238</v>
      </c>
      <c r="B87" s="158">
        <v>0.10679999738931656</v>
      </c>
      <c r="C87" s="158">
        <v>0.10649999976158142</v>
      </c>
      <c r="D87" s="158">
        <v>0.10639999806880951</v>
      </c>
      <c r="E87" s="158">
        <v>0.1062999963760376</v>
      </c>
      <c r="F87" s="158">
        <v>0.10620000213384628</v>
      </c>
      <c r="G87" s="158">
        <v>0.10639999806880951</v>
      </c>
      <c r="H87" s="158">
        <v>0.1062999963760376</v>
      </c>
      <c r="I87" s="158">
        <v>0.10620000213384628</v>
      </c>
      <c r="J87" s="158">
        <v>0.10610000044107437</v>
      </c>
      <c r="K87" s="158">
        <v>0.10610000044107437</v>
      </c>
      <c r="L87" s="158">
        <v>0.10610000044107437</v>
      </c>
      <c r="M87" s="158">
        <v>0.10580000281333923</v>
      </c>
      <c r="N87" s="158">
        <v>0.10559999942779541</v>
      </c>
      <c r="O87" s="158">
        <v>0.1054999977350235</v>
      </c>
      <c r="P87" s="158">
        <v>0.10509999841451645</v>
      </c>
      <c r="Q87" s="158">
        <v>0.10509999841451645</v>
      </c>
      <c r="R87" s="158">
        <v>0.10520000010728836</v>
      </c>
      <c r="S87" s="158">
        <v>0.10530000180006027</v>
      </c>
      <c r="T87" s="158">
        <v>0.10559999942779541</v>
      </c>
      <c r="U87" s="158">
        <v>0.10559999942779541</v>
      </c>
      <c r="V87" s="158">
        <f t="shared" si="1"/>
        <v>0.10565000027418137</v>
      </c>
      <c r="W87" s="158">
        <v>0.10570000112056732</v>
      </c>
      <c r="X87" s="158">
        <v>0.10540000349283218</v>
      </c>
      <c r="Y87" s="158">
        <v>0.10509999841451645</v>
      </c>
      <c r="Z87" s="158">
        <v>0.10490000247955322</v>
      </c>
      <c r="AA87" s="158">
        <v>0.10459999740123749</v>
      </c>
      <c r="AB87" s="158">
        <v>0.10450000315904617</v>
      </c>
      <c r="AC87" s="158">
        <v>0.10440000146627426</v>
      </c>
      <c r="AD87" s="158">
        <v>0.10440000146627426</v>
      </c>
      <c r="AE87" s="158">
        <v>0.10440000146627426</v>
      </c>
      <c r="AF87" s="158">
        <v>0.10459999740123749</v>
      </c>
    </row>
    <row r="88" spans="1:32" x14ac:dyDescent="0.2">
      <c r="A88" s="158" t="s">
        <v>239</v>
      </c>
      <c r="B88" s="158">
        <v>0.10679999738931656</v>
      </c>
      <c r="C88" s="158">
        <v>0.1062999963760376</v>
      </c>
      <c r="D88" s="158">
        <v>0.10620000213384628</v>
      </c>
      <c r="E88" s="158">
        <v>0.10610000044107437</v>
      </c>
      <c r="F88" s="158">
        <v>0.10610000044107437</v>
      </c>
      <c r="G88" s="158">
        <v>0.10620000213384628</v>
      </c>
      <c r="H88" s="158">
        <v>0.10620000213384628</v>
      </c>
      <c r="I88" s="158">
        <v>0.10599999874830246</v>
      </c>
      <c r="J88" s="158">
        <v>0.10589999705553055</v>
      </c>
      <c r="K88" s="158">
        <v>0.10589999705553055</v>
      </c>
      <c r="L88" s="158">
        <v>0.10589999705553055</v>
      </c>
      <c r="M88" s="158">
        <v>0.10570000112056732</v>
      </c>
      <c r="N88" s="158">
        <v>0.10540000349283218</v>
      </c>
      <c r="O88" s="158">
        <v>0.10520000010728836</v>
      </c>
      <c r="P88" s="158">
        <v>0.10490000247955322</v>
      </c>
      <c r="Q88" s="158">
        <v>0.10499999672174454</v>
      </c>
      <c r="R88" s="158">
        <v>0.10499999672174454</v>
      </c>
      <c r="S88" s="158">
        <v>0.10520000010728836</v>
      </c>
      <c r="T88" s="158">
        <v>0.1054999977350235</v>
      </c>
      <c r="U88" s="158">
        <v>0.1054999977350235</v>
      </c>
      <c r="V88" s="158">
        <f t="shared" si="1"/>
        <v>0.1054999977350235</v>
      </c>
      <c r="W88" s="158">
        <v>0.1054999977350235</v>
      </c>
      <c r="X88" s="158">
        <v>0.10520000010728836</v>
      </c>
      <c r="Y88" s="158">
        <v>0.10499999672174454</v>
      </c>
      <c r="Z88" s="158">
        <v>0.1046999990940094</v>
      </c>
      <c r="AA88" s="158">
        <v>0.10450000315904617</v>
      </c>
      <c r="AB88" s="158">
        <v>0.10440000146627426</v>
      </c>
      <c r="AC88" s="158">
        <v>0.10429999977350235</v>
      </c>
      <c r="AD88" s="158">
        <v>0.10419999808073044</v>
      </c>
      <c r="AE88" s="158">
        <v>0.10429999977350235</v>
      </c>
      <c r="AF88" s="158">
        <v>0.10450000315904617</v>
      </c>
    </row>
    <row r="89" spans="1:32" x14ac:dyDescent="0.2">
      <c r="A89" s="158" t="s">
        <v>240</v>
      </c>
      <c r="B89" s="158">
        <v>0.10649999976158142</v>
      </c>
      <c r="C89" s="158">
        <v>0.10610000044107437</v>
      </c>
      <c r="D89" s="158">
        <v>0.10589999705553055</v>
      </c>
      <c r="E89" s="158">
        <v>0.10589999705553055</v>
      </c>
      <c r="F89" s="158">
        <v>0.10589999705553055</v>
      </c>
      <c r="G89" s="158">
        <v>0.10599999874830246</v>
      </c>
      <c r="H89" s="158">
        <v>0.10620000213384628</v>
      </c>
      <c r="I89" s="158">
        <v>0.10570000112056732</v>
      </c>
      <c r="J89" s="158">
        <v>0.10570000112056732</v>
      </c>
      <c r="K89" s="158">
        <v>0.10559999942779541</v>
      </c>
      <c r="L89" s="158">
        <v>0.10570000112056732</v>
      </c>
      <c r="M89" s="158">
        <v>0.10540000349283218</v>
      </c>
      <c r="N89" s="158">
        <v>0.10520000010728836</v>
      </c>
      <c r="O89" s="158">
        <v>0.10490000247955322</v>
      </c>
      <c r="P89" s="158">
        <v>0.1046999990940094</v>
      </c>
      <c r="Q89" s="158">
        <v>0.1046999990940094</v>
      </c>
      <c r="R89" s="158">
        <v>0.1046999990940094</v>
      </c>
      <c r="S89" s="158">
        <v>0.10509999841451645</v>
      </c>
      <c r="T89" s="158">
        <v>0.10520000010728836</v>
      </c>
      <c r="U89" s="158">
        <v>0.10530000180006027</v>
      </c>
      <c r="V89" s="158">
        <f t="shared" si="1"/>
        <v>0.10530000180006027</v>
      </c>
      <c r="W89" s="158">
        <v>0.10530000180006027</v>
      </c>
      <c r="X89" s="158">
        <v>0.10499999672174454</v>
      </c>
      <c r="Y89" s="158">
        <v>0.10480000078678131</v>
      </c>
      <c r="Z89" s="158">
        <v>0.10450000315904617</v>
      </c>
      <c r="AA89" s="158">
        <v>0.10419999808073044</v>
      </c>
      <c r="AB89" s="158">
        <v>0.10409999638795853</v>
      </c>
      <c r="AC89" s="158">
        <v>0.10400000214576721</v>
      </c>
      <c r="AD89" s="158">
        <v>0.10400000214576721</v>
      </c>
      <c r="AE89" s="158">
        <v>0.10409999638795853</v>
      </c>
      <c r="AF89" s="158">
        <v>0.10419999808073044</v>
      </c>
    </row>
    <row r="90" spans="1:32" x14ac:dyDescent="0.2">
      <c r="A90" s="158" t="s">
        <v>241</v>
      </c>
      <c r="B90" s="158">
        <v>0.10740000009536743</v>
      </c>
      <c r="C90" s="158">
        <v>0.10700000077486038</v>
      </c>
      <c r="D90" s="158">
        <v>0.10700000077486038</v>
      </c>
      <c r="E90" s="158">
        <v>0.10670000314712524</v>
      </c>
      <c r="F90" s="158">
        <v>0.10660000145435333</v>
      </c>
      <c r="G90" s="158">
        <v>0.10689999908208847</v>
      </c>
      <c r="H90" s="158">
        <v>0.10670000314712524</v>
      </c>
      <c r="I90" s="158">
        <v>0.10660000145435333</v>
      </c>
      <c r="J90" s="158">
        <v>0.10649999976158142</v>
      </c>
      <c r="K90" s="158">
        <v>0.10649999976158142</v>
      </c>
      <c r="L90" s="158">
        <v>0.10679999738931656</v>
      </c>
      <c r="M90" s="158">
        <v>0.1062999963760376</v>
      </c>
      <c r="N90" s="158">
        <v>0.10599999874830246</v>
      </c>
      <c r="O90" s="158">
        <v>0.10580000281333923</v>
      </c>
      <c r="P90" s="158">
        <v>0.1054999977350235</v>
      </c>
      <c r="Q90" s="158">
        <v>0.1054999977350235</v>
      </c>
      <c r="R90" s="158">
        <v>0.10559999942779541</v>
      </c>
      <c r="S90" s="158">
        <v>0.10570000112056732</v>
      </c>
      <c r="T90" s="158">
        <v>0.10599999874830246</v>
      </c>
      <c r="U90" s="158">
        <v>0.10610000044107437</v>
      </c>
      <c r="V90" s="158">
        <f t="shared" si="1"/>
        <v>0.10610000044107437</v>
      </c>
      <c r="W90" s="158">
        <v>0.10610000044107437</v>
      </c>
      <c r="X90" s="158">
        <v>0.10580000281333923</v>
      </c>
      <c r="Y90" s="158">
        <v>0.1054999977350235</v>
      </c>
      <c r="Z90" s="158">
        <v>0.10530000180006027</v>
      </c>
      <c r="AA90" s="158">
        <v>0.10499999672174454</v>
      </c>
      <c r="AB90" s="158">
        <v>0.10490000247955322</v>
      </c>
      <c r="AC90" s="158">
        <v>0.10480000078678131</v>
      </c>
      <c r="AD90" s="158">
        <v>0.10490000247955322</v>
      </c>
      <c r="AE90" s="158">
        <v>0.10480000078678131</v>
      </c>
      <c r="AF90" s="158">
        <v>0.10499999672174454</v>
      </c>
    </row>
    <row r="91" spans="1:32" x14ac:dyDescent="0.2">
      <c r="A91" s="158" t="s">
        <v>242</v>
      </c>
      <c r="B91" s="158">
        <v>0.10719999670982361</v>
      </c>
      <c r="C91" s="158">
        <v>0.10660000145435333</v>
      </c>
      <c r="D91" s="158">
        <v>0.10639999806880951</v>
      </c>
      <c r="E91" s="158">
        <v>0.10639999806880951</v>
      </c>
      <c r="F91" s="158">
        <v>0.10620000213384628</v>
      </c>
      <c r="G91" s="158">
        <v>0.10639999806880951</v>
      </c>
      <c r="H91" s="158">
        <v>0.10620000213384628</v>
      </c>
      <c r="I91" s="158">
        <v>0.10610000044107437</v>
      </c>
      <c r="J91" s="158">
        <v>0.10599999874830246</v>
      </c>
      <c r="K91" s="158">
        <v>0.10610000044107437</v>
      </c>
      <c r="L91" s="158">
        <v>0.10599999874830246</v>
      </c>
      <c r="M91" s="158">
        <v>0.10580000281333923</v>
      </c>
      <c r="N91" s="158">
        <v>0.1054999977350235</v>
      </c>
      <c r="O91" s="158">
        <v>0.10540000349283218</v>
      </c>
      <c r="P91" s="158">
        <v>0.10499999672174454</v>
      </c>
      <c r="Q91" s="158">
        <v>0.10509999841451645</v>
      </c>
      <c r="R91" s="158">
        <v>0.10509999841451645</v>
      </c>
      <c r="S91" s="158">
        <v>0.10520000010728836</v>
      </c>
      <c r="T91" s="158">
        <v>0.1054999977350235</v>
      </c>
      <c r="U91" s="158">
        <v>0.10559999942779541</v>
      </c>
      <c r="V91" s="158">
        <f t="shared" si="1"/>
        <v>0.10559999942779541</v>
      </c>
      <c r="W91" s="158">
        <v>0.10559999942779541</v>
      </c>
      <c r="X91" s="158">
        <v>0.10540000349283218</v>
      </c>
      <c r="Y91" s="158">
        <v>0.10509999841451645</v>
      </c>
      <c r="Z91" s="158">
        <v>0.10490000247955322</v>
      </c>
      <c r="AA91" s="158">
        <v>0.10459999740123749</v>
      </c>
      <c r="AB91" s="158">
        <v>0.10440000146627426</v>
      </c>
      <c r="AC91" s="158">
        <v>0.10440000146627426</v>
      </c>
      <c r="AD91" s="158">
        <v>0.10440000146627426</v>
      </c>
      <c r="AE91" s="158">
        <v>0.10440000146627426</v>
      </c>
      <c r="AF91" s="158">
        <v>0.10459999740123749</v>
      </c>
    </row>
    <row r="92" spans="1:32" x14ac:dyDescent="0.2">
      <c r="A92" s="158" t="s">
        <v>243</v>
      </c>
      <c r="B92" s="158">
        <v>0.10740000009536743</v>
      </c>
      <c r="C92" s="158">
        <v>0.10679999738931656</v>
      </c>
      <c r="D92" s="158">
        <v>0.10660000145435333</v>
      </c>
      <c r="E92" s="158">
        <v>0.10639999806880951</v>
      </c>
      <c r="F92" s="158">
        <v>0.1062999963760376</v>
      </c>
      <c r="G92" s="158">
        <v>0.10649999976158142</v>
      </c>
      <c r="H92" s="158">
        <v>0.1062999963760376</v>
      </c>
      <c r="I92" s="158">
        <v>0.10620000213384628</v>
      </c>
      <c r="J92" s="158">
        <v>0.10610000044107437</v>
      </c>
      <c r="K92" s="158">
        <v>0.10610000044107437</v>
      </c>
      <c r="L92" s="158">
        <v>0.10599999874830246</v>
      </c>
      <c r="M92" s="158">
        <v>0.10580000281333923</v>
      </c>
      <c r="N92" s="158">
        <v>0.1054999977350235</v>
      </c>
      <c r="O92" s="158">
        <v>0.10530000180006027</v>
      </c>
      <c r="P92" s="158">
        <v>0.10499999672174454</v>
      </c>
      <c r="Q92" s="158">
        <v>0.10499999672174454</v>
      </c>
      <c r="R92" s="158">
        <v>0.10509999841451645</v>
      </c>
      <c r="S92" s="158">
        <v>0.10520000010728836</v>
      </c>
      <c r="T92" s="158">
        <v>0.1054999977350235</v>
      </c>
      <c r="U92" s="158">
        <v>0.10559999942779541</v>
      </c>
      <c r="V92" s="158">
        <f t="shared" si="1"/>
        <v>0.10559999942779541</v>
      </c>
      <c r="W92" s="158">
        <v>0.10559999942779541</v>
      </c>
      <c r="X92" s="158">
        <v>0.10530000180006027</v>
      </c>
      <c r="Y92" s="158">
        <v>0.10509999841451645</v>
      </c>
      <c r="Z92" s="158">
        <v>0.10480000078678131</v>
      </c>
      <c r="AA92" s="158">
        <v>0.10450000315904617</v>
      </c>
      <c r="AB92" s="158">
        <v>0.10440000146627426</v>
      </c>
      <c r="AC92" s="158">
        <v>0.10429999977350235</v>
      </c>
      <c r="AD92" s="158">
        <v>0.10429999977350235</v>
      </c>
      <c r="AE92" s="158">
        <v>0.10429999977350235</v>
      </c>
      <c r="AF92" s="158">
        <v>0.10450000315904617</v>
      </c>
    </row>
    <row r="93" spans="1:32" x14ac:dyDescent="0.2">
      <c r="A93" s="158" t="s">
        <v>244</v>
      </c>
      <c r="B93" s="158">
        <v>0.10750000178813934</v>
      </c>
      <c r="C93" s="158">
        <v>0.10639999806880951</v>
      </c>
      <c r="D93" s="158">
        <v>0.10639999806880951</v>
      </c>
      <c r="E93" s="158">
        <v>0.10670000314712524</v>
      </c>
      <c r="F93" s="158">
        <v>0.10639999806880951</v>
      </c>
      <c r="G93" s="158">
        <v>0.10660000145435333</v>
      </c>
      <c r="H93" s="158">
        <v>0.1062999963760376</v>
      </c>
      <c r="I93" s="158">
        <v>0.10620000213384628</v>
      </c>
      <c r="J93" s="158">
        <v>0.10599999874830246</v>
      </c>
      <c r="K93" s="158">
        <v>0.10599999874830246</v>
      </c>
      <c r="L93" s="158">
        <v>0.10599999874830246</v>
      </c>
      <c r="M93" s="158">
        <v>0.10570000112056732</v>
      </c>
      <c r="N93" s="158">
        <v>0.1054999977350235</v>
      </c>
      <c r="O93" s="158">
        <v>0.10530000180006027</v>
      </c>
      <c r="P93" s="158">
        <v>0.10490000247955322</v>
      </c>
      <c r="Q93" s="158">
        <v>0.10490000247955322</v>
      </c>
      <c r="R93" s="158">
        <v>0.10499999672174454</v>
      </c>
      <c r="S93" s="158">
        <v>0.10509999841451645</v>
      </c>
      <c r="T93" s="158">
        <v>0.10530000180006027</v>
      </c>
      <c r="U93" s="158">
        <v>0.10530000180006027</v>
      </c>
      <c r="V93" s="158">
        <f t="shared" si="1"/>
        <v>0.10530000180006027</v>
      </c>
      <c r="W93" s="158">
        <v>0.10530000180006027</v>
      </c>
      <c r="X93" s="158">
        <v>0.10499999672174454</v>
      </c>
      <c r="Y93" s="158">
        <v>0.1046999990940094</v>
      </c>
      <c r="Z93" s="158">
        <v>0.10450000315904617</v>
      </c>
      <c r="AA93" s="158">
        <v>0.10419999808073044</v>
      </c>
      <c r="AB93" s="158">
        <v>0.10400000214576721</v>
      </c>
      <c r="AC93" s="158">
        <v>0.10400000214576721</v>
      </c>
      <c r="AD93" s="158">
        <v>0.10409999638795853</v>
      </c>
      <c r="AE93" s="158">
        <v>0.1039000004529953</v>
      </c>
      <c r="AF93" s="158">
        <v>0.10350000113248825</v>
      </c>
    </row>
    <row r="94" spans="1:32" x14ac:dyDescent="0.2">
      <c r="A94" s="156" t="s">
        <v>432</v>
      </c>
      <c r="B94" s="156">
        <f>$B$55-AVERAGE($B$58,$B$59,$B$60,$B$61,$B$62,$B$63,$B$64,$B$65,$B$66,$B$68,$B$69,$B$70,$B$71,$B$72,$B$73,$B$74,$B$75,$B$76,$B$77,$B$78,$B$79,$B$80,$B$81,$B$82,$B$83,$B$84,$B$85,$B$86,$B$87,$B$88,$B$89,$B$90,$B$91,$B$92,$B$93)</f>
        <v>2.1628567150660943E-3</v>
      </c>
      <c r="C94" s="156">
        <f>$C$55-AVERAGE($C$58,$C$59,$C$60,$C$61,$C$62,$C$63,$C$64,$C$65,$C$66,$C$68,$C$69,$C$70,$C$71,$C$72,$C$73,$C$74,$C$75,$C$76,$C$77,$C$78,$C$79,$C$80,$C$81,$C$82,$C$83,$C$84,$C$85,$C$86,$C$87,$C$88,$C$89,$C$90,$C$91,$C$92,$C$93)</f>
        <v>2.3000038095882941E-3</v>
      </c>
      <c r="D94" s="156">
        <f>$D$55-AVERAGE($D$58,$D$59,$D$60,$D$61,$D$62,$D$63,$D$64,$D$65,$D$66,$D$68,$D$69,$D$70,$D$71,$D$72,$D$73,$D$74,$D$75,$D$76,$D$77,$D$78,$D$79,$D$80,$D$81,$D$82,$D$83,$D$84,$D$85,$D$86,$D$87,$D$88,$D$89,$D$90,$D$91,$D$92,$D$93)</f>
        <v>2.3085732545171517E-3</v>
      </c>
      <c r="E94" s="156">
        <f>$E$55-AVERAGE($E$58,$E$59,$E$60,$E$61,$E$62,$E$63,$E$64,$E$65,$E$66,$E$68,$E$69,$E$70,$E$71,$E$72,$E$73,$E$74,$E$75,$E$76,$E$77,$E$78,$E$79,$E$80,$E$81,$E$82,$E$83,$E$84,$E$85,$E$86,$E$87,$E$88,$E$89,$E$90,$E$91,$E$92,$E$93)</f>
        <v>2.8285682201385498E-3</v>
      </c>
      <c r="F94" s="156">
        <f>$F$55-AVERAGE($F$58,$F$59,$F$60,$F$61,$F$62,$F$63,$F$64,$F$65,$F$66,$F$68,$F$69,$F$70,$F$71,$F$72,$F$73,$F$74,$F$75,$F$76,$F$77,$F$78,$F$79,$F$80,$F$81,$F$82,$F$83,$F$84,$F$85,$F$86,$F$87,$F$88,$F$89,$F$90,$F$91,$F$92,$F$93)</f>
        <v>3.8285689694540909E-3</v>
      </c>
      <c r="G94" s="156">
        <f>$G$55-AVERAGE($G$58,$G$59,$G$60,$G$61,$G$62,$G$63,$G$64,$G$65,$G$66,$G$68,$G$69,$G$70,$G$71,$G$72,$G$73,$G$74,$G$75,$G$76,$G$77,$G$78,$G$79,$G$80,$G$81,$G$82,$G$83,$G$84,$G$85,$G$86,$G$87,$G$88,$G$89,$G$90,$G$91,$G$92,$G$93)</f>
        <v>5.6542852095195217E-3</v>
      </c>
      <c r="H94" s="156">
        <f>$H$55-AVERAGE($H$58,$H$59,$H$60,$H$61,$H$62,$H$63,$H$64,$H$65,$H$66,$H$68,$H$69,$H$70,$H$71,$H$72,$H$73,$H$74,$H$75,$H$76,$H$77,$H$78,$H$79,$H$80,$H$81,$H$82,$H$83,$H$84,$H$85,$H$86,$H$87,$H$88,$H$89,$H$90,$H$91,$H$92,$H$93)</f>
        <v>8.4657143269266377E-3</v>
      </c>
      <c r="I94" s="156">
        <f>$I$55-AVERAGE($I$58,$I$59,$I$60,$I$61,$I$62,$I$63,$I$64,$I$65,$I$66,$I$68,$I$69,$I$70,$I$71,$I$72,$I$73,$I$74,$I$75,$I$76,$I$77,$I$78,$I$79,$I$80,$I$81,$I$82,$I$83,$I$84,$I$85,$I$86,$I$87,$I$88,$I$89,$I$90,$I$91,$I$92,$I$93)</f>
        <v>1.2700002534048904E-2</v>
      </c>
      <c r="J94" s="156">
        <f>$J$55-AVERAGE($J$58,$J$59,$J$60,$J$61,$J$62,$J$63,$J$64,$J$65,$J$66,$J$68,$J$69,$J$70,$J$71,$J$72,$J$73,$J$74,$J$75,$J$76,$J$77,$J$78,$J$79,$J$80,$J$81,$J$82,$J$83,$J$84,$J$85,$J$86,$J$87,$J$88,$J$89,$J$90,$J$91,$J$92,$J$93)</f>
        <v>1.8554282827036722E-2</v>
      </c>
      <c r="K94" s="156">
        <f>$K$55-AVERAGE($K$58,$K$59,$K$60,$K$61,$K$62,$K$63,$K$64,$K$65,$K$66,$K$68,$K$69,$K$70,$K$71,$K$72,$K$73,$K$74,$K$75,$K$76,$K$77,$K$78,$K$79,$K$80,$K$81,$K$82,$K$83,$K$84,$K$85,$K$86,$K$87,$K$88,$K$89,$K$90,$K$91,$K$92,$K$93)</f>
        <v>2.697143341813768E-2</v>
      </c>
      <c r="L94" s="156">
        <f>$L$55-AVERAGE($L$58,$L$59,$L$60,$L$61,$L$62,$L$63,$L$64,$L$65,$L$66,$L$68,$L$69,$L$70,$L$71,$L$72,$L$73,$L$74,$L$75,$L$76,$L$77,$L$78,$L$79,$L$80,$L$81,$L$82,$L$83,$L$84,$L$85,$L$86,$L$87,$L$88,$L$89,$L$90,$L$91,$L$92,$L$93)</f>
        <v>3.8162858358451304E-2</v>
      </c>
      <c r="M94" s="156">
        <f>$M$55-AVERAGE($M$58,$M$59,$M$60,$M$61,$M$62,$M$63,$M$64,$M$65,$M$66,$M$68,$M$69,$M$70,$M$71,$M$72,$M$73,$M$74,$M$75,$M$76,$M$77,$M$78,$M$79,$M$80,$M$81,$M$82,$M$83,$M$84,$M$85,$M$86,$M$87,$M$88,$M$89,$M$90,$M$91,$M$92,$M$93)</f>
        <v>5.4745709257466454E-2</v>
      </c>
      <c r="N94" s="156">
        <f>$N$55-AVERAGE($N$58,$N$59,$N$60,$N$61,$N$62,$N$63,$N$64,$N$65,$N$66,$N$68,$N$69,$N$70,$N$71,$N$72,$N$73,$N$74,$N$75,$N$76,$N$77,$N$78,$N$79,$N$80,$N$81,$N$82,$N$83,$N$84,$N$85,$N$86,$N$87,$N$88,$N$89,$N$90,$N$91,$N$92,$N$93)</f>
        <v>7.8202859205859052E-2</v>
      </c>
      <c r="O94" s="156">
        <f>$O$55-AVERAGE($O$58,$O$59,$O$60,$O$61,$O$62,$O$63,$O$64,$O$65,$O$66,$O$68,$O$69,$O$70,$O$71,$O$72,$O$73,$O$74,$O$75,$O$76,$O$77,$O$78,$O$79,$O$80,$O$81,$O$82,$O$83,$O$84,$O$85,$O$86,$O$87,$O$88,$O$89,$O$90,$O$91,$O$92,$O$93)</f>
        <v>0.11018000330243792</v>
      </c>
      <c r="P94" s="156">
        <f>$P$55-AVERAGE($P$58,$P$59,$P$60,$P$61,$P$62,$P$63,$P$64,$P$65,$P$66,$P$68,$P$69,$P$70,$P$71,$P$72,$P$73,$P$74,$P$75,$P$76,$P$77,$P$78,$P$79,$P$80,$P$81,$P$82,$P$83,$P$84,$P$85,$P$86,$P$87,$P$88,$P$89,$P$90,$P$91,$P$92,$P$93)</f>
        <v>0.14788856953382493</v>
      </c>
      <c r="Q94" s="156">
        <f>$Q$55-AVERAGE($Q$58,$Q$59,$Q$60,$Q$61,$Q$62,$Q$63,$Q$64,$Q$65,$Q$66,$Q$68,$Q$69,$Q$70,$Q$71,$Q$72,$Q$73,$Q$74,$Q$75,$Q$76,$Q$77,$Q$78,$Q$79,$Q$80,$Q$81,$Q$82,$Q$83,$Q$84,$Q$85,$Q$86,$Q$87,$Q$88,$Q$89,$Q$90,$Q$91,$Q$92,$Q$93)</f>
        <v>0.19178286833422525</v>
      </c>
      <c r="R94" s="156">
        <f>$R$55-AVERAGE($R$58,$R$59,$R$60,$R$61,$R$62,$R$63,$R$64,$R$65,$R$66,$R$68,$R$69,$R$70,$R$71,$R$72,$R$73,$R$74,$R$75,$R$76,$R$77,$R$78,$R$79,$R$80,$R$81,$R$82,$R$83,$R$84,$R$85,$R$86,$R$87,$R$88,$R$89,$R$90,$R$91,$R$92,$R$93)</f>
        <v>0.23897714827741895</v>
      </c>
      <c r="S94" s="156">
        <f>$S$55-AVERAGE($S$58,$S$59,$S$60,$S$61,$S$62,$S$63,$S$64,$S$65,$S$66,$S$68,$S$69,$S$70,$S$71,$S$72,$S$73,$S$74,$S$75,$S$76,$S$77,$S$78,$S$79,$S$80,$S$81,$S$82,$S$83,$S$84,$S$85,$S$86,$S$87,$S$88,$S$89,$S$90,$S$91,$S$92,$S$93)</f>
        <v>0.28431142696312495</v>
      </c>
      <c r="T94" s="156">
        <f>$T$55-AVERAGE($T$58,$T$59,$T$60,$T$61,$T$62,$T$63,$T$64,$T$65,$T$66,$T$68,$T$69,$T$70,$T$71,$T$72,$T$73,$T$74,$T$75,$T$76,$T$77,$T$78,$T$79,$T$80,$T$81,$T$82,$T$83,$T$84,$T$85,$T$86,$T$87,$T$88,$T$89,$T$90,$T$91,$T$92,$T$93)</f>
        <v>0.31858855613640374</v>
      </c>
      <c r="U94" s="156">
        <f>$U$55-AVERAGE($U$58,$U$59,$U$60,$U$61,$U$62,$U$63,$U$64,$U$65,$U$66,$U$68,$U$69,$U$70,$U$71,$U$72,$U$73,$U$74,$U$75,$U$76,$U$77,$U$78,$U$79,$U$80,$U$81,$U$82,$U$83,$U$84,$U$85,$U$86,$U$87,$U$88,$U$89,$U$90,$U$91,$U$92,$U$93)</f>
        <v>0.35493143371173314</v>
      </c>
      <c r="V94" s="156">
        <f>$V$55-AVERAGE($V$58,$V$59,$V$60,$V$61,$V$62,$V$63,$V$64,$V$65,$V$66,$V$68,$V$69,$V$70,$V$71,$V$72,$V$73,$V$74,$V$75,$V$76,$V$77,$V$78,$V$79,$V$80,$V$81,$V$82,$V$83,$V$84,$V$85,$V$86,$V$87,$V$88,$V$89,$V$90,$V$91,$V$92,$V$93)</f>
        <v>0.36880857348442075</v>
      </c>
      <c r="W94" s="156">
        <f>$W$55-AVERAGE($W$58,$W$59,$W$60,$W$61,$W$62,$W$63,$W$64,$W$65,$W$66,$W$68,$W$69,$W$70,$W$71,$W$72,$W$73,$W$74,$W$75,$W$76,$W$77,$W$78,$W$79,$W$80,$W$81,$W$82,$W$83,$W$84,$W$85,$W$86,$W$87,$W$88,$W$89,$W$90,$W$91,$W$92,$W$93)</f>
        <v>0.38268571325710843</v>
      </c>
      <c r="X94" s="156">
        <f>$X$55-AVERAGE($X$58,$X$59,$X$60,$X$61,$X$62,$X$63,$X$64,$X$65,$X$66,$X$68,$X$69,$X$70,$X$71,$X$72,$X$73,$X$74,$X$75,$X$76,$X$77,$X$78,$X$79,$X$80,$X$81,$X$82,$X$83,$X$84,$X$85,$X$86,$X$87,$X$88,$X$89,$X$90,$X$91,$X$92,$X$93)</f>
        <v>0.39363714605569838</v>
      </c>
      <c r="Y94" s="156">
        <f>$Y$55-AVERAGE($Y$58,$Y$59,$Y$60,$Y$61,$Y$62,$Y$63,$Y$64,$Y$65,$Y$66,$Y$68,$Y$69,$Y$70,$Y$71,$Y$72,$Y$73,$Y$74,$Y$75,$Y$76,$Y$77,$Y$78,$Y$79,$Y$80,$Y$81,$Y$82,$Y$83,$Y$84,$Y$85,$Y$86,$Y$87,$Y$88,$Y$89,$Y$90,$Y$91,$Y$92,$Y$93)</f>
        <v>0.40250573094402042</v>
      </c>
      <c r="Z94" s="156">
        <f>$Z$55-AVERAGE($Z$58,$Z$59,$Z$60,$Z$61,$Z$62,$Z$63,$Z$64,$Z$65,$Z$66,$Z$68,$Z$69,$Z$70,$Z$71,$Z$72,$Z$73,$Z$74,$Z$75,$Z$76,$Z$77,$Z$78,$Z$79,$Z$80,$Z$81,$Z$82,$Z$83,$Z$84,$Z$85,$Z$86,$Z$87,$Z$88,$Z$89,$Z$90,$Z$91,$Z$92,$Z$93)</f>
        <v>0.41147141456604003</v>
      </c>
      <c r="AA94" s="156">
        <f>$AA$55-AVERAGE($AA$58,$AA$59,$AA$60,$AA$61,$AA$62,$AA$63,$AA$64,$AA$65,$AA$66,$AA$68,$AA$69,$AA$70,$AA$71,$AA$72,$AA$73,$AA$74,$AA$75,$AA$76,$AA$77,$AA$78,$AA$79,$AA$80,$AA$81,$AA$82,$AA$83,$AA$84,$AA$85,$AA$86,$AA$87,$AA$88,$AA$89,$AA$90,$AA$91,$AA$92,$AA$93)</f>
        <v>0.41335427250180923</v>
      </c>
      <c r="AB94" s="156">
        <f>$AB$55-AVERAGE($AB$58,$AB$59,$AB$60,$AB$61,$AB$62,$AB$63,$AB$64,$AB$65,$AB$66,$AB$68,$AB$69,$AB$70,$AB$71,$AB$72,$AB$73,$AB$74,$AB$75,$AB$76,$AB$77,$AB$78,$AB$79,$AB$80,$AB$81,$AB$82,$AB$83,$AB$84,$AB$85,$AB$86,$AB$87,$AB$88,$AB$89,$AB$90,$AB$91,$AB$92,$AB$93)</f>
        <v>0.41397143815244947</v>
      </c>
      <c r="AC94" s="156">
        <f>$AC$55-AVERAGE($AC$58,$AC$59,$AC$60,$AC$61,$AC$62,$AC$63,$AC$64,$AC$65,$AC$66,$AC$68,$AC$69,$AC$70,$AC$71,$AC$72,$AC$73,$AC$74,$AC$75,$AC$76,$AC$77,$AC$78,$AC$79,$AC$80,$AC$81,$AC$82,$AC$83,$AC$84,$AC$85,$AC$86,$AC$87,$AC$88,$AC$89,$AC$90,$AC$91,$AC$92,$AC$93)</f>
        <v>0.41551144931997575</v>
      </c>
      <c r="AD94" s="156">
        <f>$AD$55-AVERAGE($AD$58,$AD$59,$AD$60,$AD$61,$AD$62,$AD$63,$AD$64,$AD$65,$AD$66,$AD$68,$AD$69,$AD$70,$AD$71,$AD$72,$AD$73,$AD$74,$AD$75,$AD$76,$AD$77,$AD$78,$AD$79,$AD$80,$AD$81,$AD$82,$AD$83,$AD$84,$AD$85,$AD$86,$AD$87,$AD$88,$AD$89,$AD$90,$AD$91,$AD$92,$AD$93)</f>
        <v>0.41775431377547129</v>
      </c>
      <c r="AE94" s="156">
        <f>$AE$55-AVERAGE($AE$58,$AE$59,$AE$60,$AE$61,$AE$62,$AE$63,$AE$64,$AE$65,$AE$66,$AE$68,$AE$69,$AE$70,$AE$71,$AE$72,$AE$73,$AE$74,$AE$75,$AE$76,$AE$77,$AE$78,$AE$79,$AE$80,$AE$81,$AE$82,$AE$83,$AE$84,$AE$85,$AE$86,$AE$87,$AE$88,$AE$89,$AE$90,$AE$91,$AE$92,$AE$93)</f>
        <v>0.42038855424949101</v>
      </c>
      <c r="AF94" s="156">
        <f>$AF$55-AVERAGE($AF$58,$AF$59,$AF$60,$AF$61,$AF$62,$AF$63,$AF$64,$AF$65,$AF$66,$AF$68,$AF$69,$AF$70,$AF$71,$AF$72,$AF$73,$AF$74,$AF$75,$AF$76,$AF$77,$AF$78,$AF$79,$AF$80,$AF$81,$AF$82,$AF$83,$AF$84,$AF$85,$AF$86,$AF$87,$AF$88,$AF$89,$AF$90,$AF$91,$AF$92,$AF$93)</f>
        <v>0.42462569539036071</v>
      </c>
    </row>
    <row r="95" spans="1:32" x14ac:dyDescent="0.2">
      <c r="A95" s="157" t="s">
        <v>433</v>
      </c>
      <c r="B95" s="157">
        <f>$B$56-AVERAGE($B$58,$B$59,$B$60,$B$61,$B$62,$B$63,$B$64,$B$65,$B$66,$B$68,$B$69,$B$70,$B$71,$B$72,$B$73,$B$74,$B$75,$B$77,$B$78,$B$79,$B$80,$B$81,$B$82,$B$83,$B$84,$B$85,$B$86,$B$87,$B$88,$B$89,$B$90,$B$91,$B$92,$B$93)</f>
        <v>1.6117615296560167E-3</v>
      </c>
      <c r="C95" s="157">
        <f>$C$56-AVERAGE($C$58,$C$59,$C$60,$C$61,$C$62,$C$63,$C$64,$C$65,$C$66,$C$68,$C$69,$C$70,$C$71,$C$72,$C$73,$C$74,$C$75,$C$77,$C$78,$C$79,$C$80,$C$81,$C$82,$C$83,$C$84,$C$85,$C$86,$C$87,$C$88,$C$89,$C$90,$C$91,$C$92,$C$93)</f>
        <v>2.0470575374715444E-3</v>
      </c>
      <c r="D95" s="157">
        <f>$D$56-AVERAGE($D$58,$D$59,$D$60,$D$61,$D$62,$D$63,$D$64,$D$65,$D$66,$D$68,$D$69,$D$70,$D$71,$D$72,$D$73,$D$74,$D$75,$D$77,$D$78,$D$79,$D$80,$D$81,$D$82,$D$83,$D$84,$D$85,$D$86,$D$87,$D$88,$D$89,$D$90,$D$91,$D$92,$D$93)</f>
        <v>2.1558807176702138E-3</v>
      </c>
      <c r="E95" s="157">
        <f>$E$56-AVERAGE($E$58,$E$59,$E$60,$E$61,$E$62,$E$63,$E$64,$E$65,$E$66,$E$68,$E$69,$E$70,$E$71,$E$72,$E$73,$E$74,$E$75,$E$77,$E$78,$E$79,$E$80,$E$81,$E$82,$E$83,$E$84,$E$85,$E$86,$E$87,$E$88,$E$89,$E$90,$E$91,$E$92,$E$93)</f>
        <v>2.676471410428774E-3</v>
      </c>
      <c r="F95" s="157">
        <f>$F$56-AVERAGE($F$58,$F$59,$F$60,$F$61,$F$62,$F$63,$F$64,$F$65,$F$66,$F$68,$F$69,$F$70,$F$71,$F$72,$F$73,$F$74,$F$75,$F$77,$F$78,$F$79,$F$80,$F$81,$F$82,$F$83,$F$84,$F$85,$F$86,$F$87,$F$88,$F$89,$F$90,$F$91,$F$92,$F$93)</f>
        <v>3.5764704294064531E-3</v>
      </c>
      <c r="G95" s="157">
        <f>$G$56-AVERAGE($G$58,$G$59,$G$60,$G$61,$G$62,$G$63,$G$64,$G$65,$G$66,$G$68,$G$69,$G$70,$G$71,$G$72,$G$73,$G$74,$G$75,$G$77,$G$78,$G$79,$G$80,$G$81,$G$82,$G$83,$G$84,$G$85,$G$86,$G$87,$G$88,$G$89,$G$90,$G$91,$G$92,$G$93)</f>
        <v>5.5029447026112566E-3</v>
      </c>
      <c r="H95" s="157">
        <f>$H$56-AVERAGE($H$58,$H$59,$H$60,$H$61,$H$62,$H$63,$H$64,$H$65,$H$66,$H$68,$H$69,$H$70,$H$71,$H$72,$H$73,$H$74,$H$75,$H$77,$H$78,$H$79,$H$80,$H$81,$H$82,$H$83,$H$84,$H$85,$H$86,$H$87,$H$88,$H$89,$H$90,$H$91,$H$92,$H$93)</f>
        <v>8.3147024407106279E-3</v>
      </c>
      <c r="I95" s="157">
        <f>$I$56-AVERAGE($I$58,$I$59,$I$60,$I$61,$I$62,$I$63,$I$64,$I$65,$I$66,$I$68,$I$69,$I$70,$I$71,$I$72,$I$73,$I$74,$I$75,$I$77,$I$78,$I$79,$I$80,$I$81,$I$82,$I$83,$I$84,$I$85,$I$86,$I$87,$I$88,$I$89,$I$90,$I$91,$I$92,$I$93)</f>
        <v>1.2849996852524137E-2</v>
      </c>
      <c r="J95" s="157">
        <f>$J$56-AVERAGE($J$58,$J$59,$J$60,$J$61,$J$62,$J$63,$J$64,$J$65,$J$66,$J$68,$J$69,$J$70,$J$71,$J$72,$J$73,$J$74,$J$75,$J$77,$J$78,$J$79,$J$80,$J$81,$J$82,$J$83,$J$84,$J$85,$J$86,$J$87,$J$88,$J$89,$J$90,$J$91,$J$92,$J$93)</f>
        <v>1.8705881255514478E-2</v>
      </c>
      <c r="K95" s="157">
        <f>$K$56-AVERAGE($K$58,$K$59,$K$60,$K$61,$K$62,$K$63,$K$64,$K$65,$K$66,$K$68,$K$69,$K$70,$K$71,$K$72,$K$73,$K$74,$K$75,$K$77,$K$78,$K$79,$K$80,$K$81,$K$82,$K$83,$K$84,$K$85,$K$86,$K$87,$K$88,$K$89,$K$90,$K$91,$K$92,$K$93)</f>
        <v>2.6623527574188566E-2</v>
      </c>
      <c r="L95" s="157">
        <f>$L$56-AVERAGE($L$58,$L$59,$L$60,$L$61,$L$62,$L$63,$L$64,$L$65,$L$66,$L$68,$L$69,$L$70,$L$71,$L$72,$L$73,$L$74,$L$75,$L$77,$L$78,$L$79,$L$80,$L$81,$L$82,$L$83,$L$84,$L$85,$L$86,$L$87,$L$88,$L$89,$L$90,$L$91,$L$92,$L$93)</f>
        <v>3.7514710251022793E-2</v>
      </c>
      <c r="M95" s="157">
        <f>$M$56-AVERAGE($M$58,$M$59,$M$60,$M$61,$M$62,$M$63,$M$64,$M$65,$M$66,$M$68,$M$69,$M$70,$M$71,$M$72,$M$73,$M$74,$M$75,$M$77,$M$78,$M$79,$M$80,$M$81,$M$82,$M$83,$M$84,$M$85,$M$86,$M$87,$M$88,$M$89,$M$90,$M$91,$M$92,$M$93)</f>
        <v>5.3497061571654153E-2</v>
      </c>
      <c r="N95" s="157">
        <f>$N$56-AVERAGE($N$58,$N$59,$N$60,$N$61,$N$62,$N$63,$N$64,$N$65,$N$66,$N$68,$N$69,$N$70,$N$71,$N$72,$N$73,$N$74,$N$75,$N$77,$N$78,$N$79,$N$80,$N$81,$N$82,$N$83,$N$84,$N$85,$N$86,$N$87,$N$88,$N$89,$N$90,$N$91,$N$92,$N$93)</f>
        <v>7.6655887067317963E-2</v>
      </c>
      <c r="O95" s="157">
        <f>$O$56-AVERAGE($O$58,$O$59,$O$60,$O$61,$O$62,$O$63,$O$64,$O$65,$O$66,$O$68,$O$69,$O$70,$O$71,$O$72,$O$73,$O$74,$O$75,$O$77,$O$78,$O$79,$O$80,$O$81,$O$82,$O$83,$O$84,$O$85,$O$86,$O$87,$O$88,$O$89,$O$90,$O$91,$O$92,$O$93)</f>
        <v>0.10813235053244759</v>
      </c>
      <c r="P95" s="157">
        <f>$P$56-AVERAGE($P$58,$P$59,$P$60,$P$61,$P$62,$P$63,$P$64,$P$65,$P$66,$P$68,$P$69,$P$70,$P$71,$P$72,$P$73,$P$74,$P$75,$P$77,$P$78,$P$79,$P$80,$P$81,$P$82,$P$83,$P$84,$P$85,$P$86,$P$87,$P$88,$P$89,$P$90,$P$91,$P$92,$P$93)</f>
        <v>0.14634117725140908</v>
      </c>
      <c r="Q95" s="157">
        <f>$Q$56-AVERAGE($Q$58,$Q$59,$Q$60,$Q$61,$Q$62,$Q$63,$Q$64,$Q$65,$Q$66,$Q$68,$Q$69,$Q$70,$Q$71,$Q$72,$Q$73,$Q$74,$Q$75,$Q$77,$Q$78,$Q$79,$Q$80,$Q$81,$Q$82,$Q$83,$Q$84,$Q$85,$Q$86,$Q$87,$Q$88,$Q$89,$Q$90,$Q$91,$Q$92,$Q$93)</f>
        <v>0.19124411879216924</v>
      </c>
      <c r="R95" s="157">
        <f>$R$56-AVERAGE($R$58,$R$59,$R$60,$R$61,$R$62,$R$63,$R$64,$R$65,$R$66,$R$68,$R$69,$R$70,$R$71,$R$72,$R$73,$R$74,$R$75,$R$77,$R$78,$R$79,$R$80,$R$81,$R$82,$R$83,$R$84,$R$85,$R$86,$R$87,$R$88,$R$89,$R$90,$R$91,$R$92,$R$93)</f>
        <v>0.23742941986112032</v>
      </c>
      <c r="S95" s="157">
        <f>$S$56-AVERAGE($S$58,$S$59,$S$60,$S$61,$S$62,$S$63,$S$64,$S$65,$S$66,$S$68,$S$69,$S$70,$S$71,$S$72,$S$73,$S$74,$S$75,$S$77,$S$78,$S$79,$S$80,$S$81,$S$82,$S$83,$S$84,$S$85,$S$86,$S$87,$S$88,$S$89,$S$90,$S$91,$S$92,$S$93)</f>
        <v>0.28117059215026741</v>
      </c>
      <c r="T95" s="157">
        <f>$T$56-AVERAGE($T$58,$T$59,$T$60,$T$61,$T$62,$T$63,$T$64,$T$65,$T$66,$T$68,$T$69,$T$70,$T$71,$T$72,$T$73,$T$74,$T$75,$T$77,$T$78,$T$79,$T$80,$T$81,$T$82,$T$83,$T$84,$T$85,$T$86,$T$87,$T$88,$T$89,$T$90,$T$91,$T$92,$T$93)</f>
        <v>0.3184441288604456</v>
      </c>
      <c r="U95" s="157">
        <f>$U$56-AVERAGE($U$58,$U$59,$U$60,$U$61,$U$62,$U$63,$U$64,$U$65,$U$66,$U$68,$U$69,$U$70,$U$71,$U$72,$U$73,$U$74,$U$75,$U$77,$U$78,$U$79,$U$80,$U$81,$U$82,$U$83,$U$84,$U$85,$U$86,$U$87,$U$88,$U$89,$U$90,$U$91,$U$92,$U$93)</f>
        <v>0.35568823731120897</v>
      </c>
      <c r="V95" s="157">
        <f>$V$56-AVERAGE($V$58,$V$59,$V$60,$V$61,$V$62,$V$63,$V$64,$V$65,$V$66,$V$68,$V$69,$V$70,$V$71,$V$72,$V$73,$V$74,$V$75,$V$77,$V$78,$V$79,$V$80,$V$81,$V$82,$V$83,$V$84,$V$85,$V$86,$V$87,$V$88,$V$89,$V$90,$V$91,$V$92,$V$93)</f>
        <v>0.36697352907675151</v>
      </c>
      <c r="W95" s="157">
        <f>$W$56-AVERAGE($W$58,$W$59,$W$60,$W$61,$W$62,$W$63,$W$64,$W$65,$W$66,$W$68,$W$69,$W$70,$W$71,$W$72,$W$73,$W$74,$W$75,$W$77,$W$78,$W$79,$W$80,$W$81,$W$82,$W$83,$W$84,$W$85,$W$86,$W$87,$W$88,$W$89,$W$90,$W$91,$W$92,$W$93)</f>
        <v>0.37825882084229412</v>
      </c>
      <c r="X95" s="157">
        <f>$X$56-AVERAGE($X$58,$X$59,$X$60,$X$61,$X$62,$X$63,$X$64,$X$65,$X$66,$X$68,$X$69,$X$70,$X$71,$X$72,$X$73,$X$74,$X$75,$X$77,$X$78,$X$79,$X$80,$X$81,$X$82,$X$83,$X$84,$X$85,$X$86,$X$87,$X$88,$X$89,$X$90,$X$91,$X$92,$X$93)</f>
        <v>0.38781177230617581</v>
      </c>
      <c r="Y95" s="157">
        <f>$Y$56-AVERAGE($Y$58,$Y$59,$Y$60,$Y$61,$Y$62,$Y$63,$Y$64,$Y$65,$Y$66,$Y$68,$Y$69,$Y$70,$Y$71,$Y$72,$Y$73,$Y$74,$Y$75,$Y$77,$Y$78,$Y$79,$Y$80,$Y$81,$Y$82,$Y$83,$Y$84,$Y$85,$Y$86,$Y$87,$Y$88,$Y$89,$Y$90,$Y$91,$Y$92,$Y$93)</f>
        <v>0.39382057505495405</v>
      </c>
      <c r="Z95" s="157">
        <f>$Z$56-AVERAGE($Z$58,$Z$59,$Z$60,$Z$61,$Z$62,$Z$63,$Z$64,$Z$65,$Z$66,$Z$68,$Z$69,$Z$70,$Z$71,$Z$72,$Z$73,$Z$74,$Z$75,$Z$77,$Z$78,$Z$79,$Z$80,$Z$81,$Z$82,$Z$83,$Z$84,$Z$85,$Z$86,$Z$87,$Z$88,$Z$89,$Z$90,$Z$91,$Z$92,$Z$93)</f>
        <v>0.40137943362488465</v>
      </c>
      <c r="AA95" s="157">
        <f>$AA$56-AVERAGE($AA$58,$AA$59,$AA$60,$AA$61,$AA$62,$AA$63,$AA$64,$AA$65,$AA$66,$AA$68,$AA$69,$AA$70,$AA$71,$AA$72,$AA$73,$AA$74,$AA$75,$AA$77,$AA$78,$AA$79,$AA$80,$AA$81,$AA$82,$AA$83,$AA$84,$AA$85,$AA$86,$AA$87,$AA$88,$AA$89,$AA$90,$AA$91,$AA$92,$AA$93)</f>
        <v>0.40327061099164629</v>
      </c>
      <c r="AB95" s="157">
        <f>$AB$56-AVERAGE($AB$58,$AB$59,$AB$60,$AB$61,$AB$62,$AB$63,$AB$64,$AB$65,$AB$66,$AB$68,$AB$69,$AB$70,$AB$71,$AB$72,$AB$73,$AB$74,$AB$75,$AB$77,$AB$78,$AB$79,$AB$80,$AB$81,$AB$82,$AB$83,$AB$84,$AB$85,$AB$86,$AB$87,$AB$88,$AB$89,$AB$90,$AB$91,$AB$92,$AB$93)</f>
        <v>0.40079412565511818</v>
      </c>
      <c r="AC95" s="157">
        <f>$AC$56-AVERAGE($AC$58,$AC$59,$AC$60,$AC$61,$AC$62,$AC$63,$AC$64,$AC$65,$AC$66,$AC$68,$AC$69,$AC$70,$AC$71,$AC$72,$AC$73,$AC$74,$AC$75,$AC$77,$AC$78,$AC$79,$AC$80,$AC$81,$AC$82,$AC$83,$AC$84,$AC$85,$AC$86,$AC$87,$AC$88,$AC$89,$AC$90,$AC$91,$AC$92,$AC$93)</f>
        <v>0.40312350256478086</v>
      </c>
      <c r="AD95" s="157">
        <f>$AD$56-AVERAGE($AD$58,$AD$59,$AD$60,$AD$61,$AD$62,$AD$63,$AD$64,$AD$65,$AD$66,$AD$68,$AD$69,$AD$70,$AD$71,$AD$72,$AD$73,$AD$74,$AD$75,$AD$77,$AD$78,$AD$79,$AD$80,$AD$81,$AD$82,$AD$83,$AD$84,$AD$85,$AD$86,$AD$87,$AD$88,$AD$89,$AD$90,$AD$91,$AD$92,$AD$93)</f>
        <v>0.4063676742508131</v>
      </c>
      <c r="AE95" s="157">
        <f>$AE$56-AVERAGE($AE$58,$AE$59,$AE$60,$AE$61,$AE$62,$AE$63,$AE$64,$AE$65,$AE$66,$AE$68,$AE$69,$AE$70,$AE$71,$AE$72,$AE$73,$AE$74,$AE$75,$AE$77,$AE$78,$AE$79,$AE$80,$AE$81,$AE$82,$AE$83,$AE$84,$AE$85,$AE$86,$AE$87,$AE$88,$AE$89,$AE$90,$AE$91,$AE$92,$AE$93)</f>
        <v>0.40960002186543798</v>
      </c>
      <c r="AF95" s="157">
        <f>$AF$56-AVERAGE($AF$58,$AF$59,$AF$60,$AF$61,$AF$62,$AF$63,$AF$64,$AF$65,$AF$66,$AF$68,$AF$69,$AF$70,$AF$71,$AF$72,$AF$73,$AF$74,$AF$75,$AF$77,$AF$78,$AF$79,$AF$80,$AF$81,$AF$82,$AF$83,$AF$84,$AF$85,$AF$86,$AF$87,$AF$88,$AF$89,$AF$90,$AF$91,$AF$92,$AF$93)</f>
        <v>0.41222058127031608</v>
      </c>
    </row>
    <row r="96" spans="1:32" x14ac:dyDescent="0.2">
      <c r="A96" s="168" t="s">
        <v>434</v>
      </c>
      <c r="B96" s="168">
        <f>$B$57-AVERAGE($B$58,$B$59,$B$60,$B$61,$B$62,$B$63,$B$65,$B$66,$B$68,$B$69,$B$70,$B$71,$B$72,$B$73,$B$74,$B$75,$B$77,$B$78,$B$79,$B$80,$B$81,$B$82,$B$83,$B$84,$B$85,$B$86,$B$87,$B$88,$B$89,$B$90,$B$91,$B$92,$B$93)</f>
        <v>1.351514323191208E-3</v>
      </c>
      <c r="C96" s="168">
        <f>$C$57-AVERAGE($C$58,$C$59,$C$60,$C$61,$C$62,$C$63,$C$65,$C$66,$C$68,$C$69,$C$70,$C$71,$C$72,$C$73,$C$74,$C$75,$C$77,$C$78,$C$79,$C$80,$C$81,$C$82,$C$83,$C$84,$C$85,$C$86,$C$87,$C$88,$C$89,$C$90,$C$91,$C$92,$C$93)</f>
        <v>1.6878782348199312E-3</v>
      </c>
      <c r="D96" s="168">
        <f>$D$57-AVERAGE($D$58,$D$59,$D$60,$D$61,$D$62,$D$63,$D$65,$D$66,$D$68,$D$69,$D$70,$D$71,$D$72,$D$73,$D$74,$D$75,$D$77,$D$78,$D$79,$D$80,$D$81,$D$82,$D$83,$D$84,$D$85,$D$86,$D$87,$D$88,$D$89,$D$90,$D$91,$D$92,$D$93)</f>
        <v>1.6969670400475007E-3</v>
      </c>
      <c r="E96" s="168">
        <f>$E$57-AVERAGE($E$58,$E$59,$E$60,$E$61,$E$62,$E$63,$E$65,$E$66,$E$68,$E$69,$E$70,$E$71,$E$72,$E$73,$E$74,$E$75,$E$77,$E$78,$E$79,$E$80,$E$81,$E$82,$E$83,$E$84,$E$85,$E$86,$E$87,$E$88,$E$89,$E$90,$E$91,$E$92,$E$93)</f>
        <v>2.5212096445488275E-3</v>
      </c>
      <c r="F96" s="168">
        <f>$F$57-AVERAGE($F$58,$F$59,$F$60,$F$61,$F$62,$F$63,$F$65,$F$66,$F$68,$F$69,$F$70,$F$71,$F$72,$F$73,$F$74,$F$75,$F$77,$F$78,$F$79,$F$80,$F$81,$F$82,$F$83,$F$84,$F$85,$F$86,$F$87,$F$88,$F$89,$F$90,$F$91,$F$92,$F$93)</f>
        <v>3.3121235442884062E-3</v>
      </c>
      <c r="G96" s="168">
        <f>$G$57-AVERAGE($G$58,$G$59,$G$60,$G$61,$G$62,$G$63,$G$65,$G$66,$G$68,$G$69,$G$70,$G$71,$G$72,$G$73,$G$74,$G$75,$G$77,$G$78,$G$79,$G$80,$G$81,$G$82,$G$83,$G$84,$G$85,$G$86,$G$87,$G$88,$G$89,$G$90,$G$91,$G$92,$G$93)</f>
        <v>5.3333335302092749E-3</v>
      </c>
      <c r="H96" s="168">
        <f>$H$57-AVERAGE($H$58,$H$59,$H$60,$H$61,$H$62,$H$63,$H$65,$H$66,$H$68,$H$69,$H$70,$H$71,$H$72,$H$73,$H$74,$H$75,$H$77,$H$78,$H$79,$H$80,$H$81,$H$82,$H$83,$H$84,$H$85,$H$86,$H$87,$H$88,$H$89,$H$90,$H$91,$H$92,$H$93)</f>
        <v>8.4454527858531803E-3</v>
      </c>
      <c r="I96" s="168">
        <f>$I$57-AVERAGE($I$58,$I$59,$I$60,$I$61,$I$62,$I$63,$I$65,$I$66,$I$68,$I$69,$I$70,$I$71,$I$72,$I$73,$I$74,$I$75,$I$77,$I$78,$I$79,$I$80,$I$81,$I$82,$I$83,$I$84,$I$85,$I$86,$I$87,$I$88,$I$89,$I$90,$I$91,$I$92,$I$93)</f>
        <v>1.2978786320397354E-2</v>
      </c>
      <c r="J96" s="168">
        <f>$J$57-AVERAGE($J$58,$J$59,$J$60,$J$61,$J$62,$J$63,$J$65,$J$66,$J$68,$J$69,$J$70,$J$71,$J$72,$J$73,$J$74,$J$75,$J$77,$J$78,$J$79,$J$80,$J$81,$J$82,$J$83,$J$84,$J$85,$J$86,$J$87,$J$88,$J$89,$J$90,$J$91,$J$92,$J$93)</f>
        <v>1.953636109828949E-2</v>
      </c>
      <c r="K96" s="168">
        <f>$K$57-AVERAGE($K$58,$K$59,$K$60,$K$61,$K$62,$K$63,$K$65,$K$66,$K$68,$K$69,$K$70,$K$71,$K$72,$K$73,$K$74,$K$75,$K$77,$K$78,$K$79,$K$80,$K$81,$K$82,$K$83,$K$84,$K$85,$K$86,$K$87,$K$88,$K$89,$K$90,$K$91,$K$92,$K$93)</f>
        <v>2.8751519141775192E-2</v>
      </c>
      <c r="L96" s="168">
        <f>$L$57-AVERAGE($L$58,$L$59,$L$60,$L$61,$L$62,$L$63,$L$65,$L$66,$L$68,$L$69,$L$70,$L$71,$L$72,$L$73,$L$74,$L$75,$L$77,$L$78,$L$79,$L$80,$L$81,$L$82,$L$83,$L$84,$L$85,$L$86,$L$87,$L$88,$L$89,$L$90,$L$91,$L$92,$L$93)</f>
        <v>4.1745455427603287E-2</v>
      </c>
      <c r="M96" s="168">
        <f>$M$57-AVERAGE($M$58,$M$59,$M$60,$M$61,$M$62,$M$63,$M$65,$M$66,$M$68,$M$69,$M$70,$M$71,$M$72,$M$73,$M$74,$M$75,$M$77,$M$78,$M$79,$M$80,$M$81,$M$82,$M$83,$M$84,$M$85,$M$86,$M$87,$M$88,$M$89,$M$90,$M$91,$M$92,$M$93)</f>
        <v>6.0527274780201187E-2</v>
      </c>
      <c r="N96" s="168">
        <f>$N$57-AVERAGE($N$58,$N$59,$N$60,$N$61,$N$62,$N$63,$N$65,$N$66,$N$68,$N$69,$N$70,$N$71,$N$72,$N$73,$N$74,$N$75,$N$77,$N$78,$N$79,$N$80,$N$81,$N$82,$N$83,$N$84,$N$85,$N$86,$N$87,$N$88,$N$89,$N$90,$N$91,$N$92,$N$93)</f>
        <v>8.6890907675930953E-2</v>
      </c>
      <c r="O96" s="168">
        <f>$O$57-AVERAGE($O$58,$O$59,$O$60,$O$61,$O$62,$O$63,$O$65,$O$66,$O$68,$O$69,$O$70,$O$71,$O$72,$O$73,$O$74,$O$75,$O$77,$O$78,$O$79,$O$80,$O$81,$O$82,$O$83,$O$84,$O$85,$O$86,$O$87,$O$88,$O$89,$O$90,$O$91,$O$92,$O$93)</f>
        <v>0.1217727315696803</v>
      </c>
      <c r="P96" s="168">
        <f>$P$57-AVERAGE($P$58,$P$59,$P$60,$P$61,$P$62,$P$63,$P$65,$P$66,$P$68,$P$69,$P$70,$P$71,$P$72,$P$73,$P$74,$P$75,$P$77,$P$78,$P$79,$P$80,$P$81,$P$82,$P$83,$P$84,$P$85,$P$86,$P$87,$P$88,$P$89,$P$90,$P$91,$P$92,$P$93)</f>
        <v>0.16288181507226193</v>
      </c>
      <c r="Q96" s="168">
        <f>$Q$57-AVERAGE($Q$58,$Q$59,$Q$60,$Q$61,$Q$62,$Q$63,$Q$65,$Q$66,$Q$68,$Q$69,$Q$70,$Q$71,$Q$72,$Q$73,$Q$74,$Q$75,$Q$77,$Q$78,$Q$79,$Q$80,$Q$81,$Q$82,$Q$83,$Q$84,$Q$85,$Q$86,$Q$87,$Q$88,$Q$89,$Q$90,$Q$91,$Q$92,$Q$93)</f>
        <v>0.20978484980084677</v>
      </c>
      <c r="R96" s="168">
        <f>$R$57-AVERAGE($R$58,$R$59,$R$60,$R$61,$R$62,$R$63,$R$65,$R$66,$R$68,$R$69,$R$70,$R$71,$R$72,$R$73,$R$74,$R$75,$R$77,$R$78,$R$79,$R$80,$R$81,$R$82,$R$83,$R$84,$R$85,$R$86,$R$87,$R$88,$R$89,$R$90,$R$91,$R$92,$R$93)</f>
        <v>0.25546668153820618</v>
      </c>
      <c r="S96" s="168">
        <f>$S$57-AVERAGE($S$58,$S$59,$S$60,$S$61,$S$62,$S$63,$S$65,$S$66,$S$68,$S$69,$S$70,$S$71,$S$72,$S$73,$S$74,$S$75,$S$77,$S$78,$S$79,$S$80,$S$81,$S$82,$S$83,$S$84,$S$85,$S$86,$S$87,$S$88,$S$89,$S$90,$S$91,$S$92,$S$93)</f>
        <v>0.29700303348627954</v>
      </c>
      <c r="T96" s="168">
        <f>$T$57-AVERAGE($T$58,$T$59,$T$60,$T$61,$T$62,$T$63,$T$65,$T$66,$T$68,$T$69,$T$70,$T$71,$T$72,$T$73,$T$74,$T$75,$T$77,$T$78,$T$79,$T$80,$T$81,$T$82,$T$83,$T$84,$T$85,$T$86,$T$87,$T$88,$T$89,$T$90,$T$91,$T$92,$T$93)</f>
        <v>0.33117272998347425</v>
      </c>
      <c r="U96" s="168">
        <f>$U$57-AVERAGE($U$58,$U$59,$U$60,$U$61,$U$62,$U$63,$U$65,$U$66,$U$68,$U$69,$U$70,$U$71,$U$72,$U$73,$U$74,$U$75,$U$77,$U$78,$U$79,$U$80,$U$81,$U$82,$U$83,$U$84,$U$85,$U$86,$U$87,$U$88,$U$89,$U$90,$U$91,$U$92,$U$93)</f>
        <v>0.36481514369899576</v>
      </c>
      <c r="V96" s="168">
        <f>$V$57-AVERAGE($V$58,$V$59,$V$60,$V$61,$V$62,$V$63,$V$65,$V$66,$V$68,$V$69,$V$70,$V$71,$V$72,$V$73,$V$74,$V$75,$V$77,$V$78,$V$79,$V$80,$V$81,$V$82,$V$83,$V$84,$V$85,$V$86,$V$87,$V$88,$V$89,$V$90,$V$91,$V$92,$V$93)</f>
        <v>0.37479848245328123</v>
      </c>
      <c r="W96" s="168">
        <f>$W$57-AVERAGE($W$58,$W$59,$W$60,$W$61,$W$62,$W$63,$W$65,$W$66,$W$68,$W$69,$W$70,$W$71,$W$72,$W$73,$W$74,$W$75,$W$77,$W$78,$W$79,$W$80,$W$81,$W$82,$W$83,$W$84,$W$85,$W$86,$W$87,$W$88,$W$89,$W$90,$W$91,$W$92,$W$93)</f>
        <v>0.38478182120756671</v>
      </c>
      <c r="X96" s="168">
        <f>$X$57-AVERAGE($X$58,$X$59,$X$60,$X$61,$X$62,$X$63,$X$65,$X$66,$X$68,$X$69,$X$70,$X$71,$X$72,$X$73,$X$74,$X$75,$X$77,$X$78,$X$79,$X$80,$X$81,$X$82,$X$83,$X$84,$X$85,$X$86,$X$87,$X$88,$X$89,$X$90,$X$91,$X$92,$X$93)</f>
        <v>0.39523940759174753</v>
      </c>
      <c r="Y96" s="168">
        <f>$Y$57-AVERAGE($Y$58,$Y$59,$Y$60,$Y$61,$Y$62,$Y$63,$Y$65,$Y$66,$Y$68,$Y$69,$Y$70,$Y$71,$Y$72,$Y$73,$Y$74,$Y$75,$Y$77,$Y$78,$Y$79,$Y$80,$Y$81,$Y$82,$Y$83,$Y$84,$Y$85,$Y$86,$Y$87,$Y$88,$Y$89,$Y$90,$Y$91,$Y$92,$Y$93)</f>
        <v>0.40364848844932788</v>
      </c>
      <c r="Z96" s="168">
        <f>$Z$57-AVERAGE($Z$58,$Z$59,$Z$60,$Z$61,$Z$62,$Z$63,$Z$65,$Z$66,$Z$68,$Z$69,$Z$70,$Z$71,$Z$72,$Z$73,$Z$74,$Z$75,$Z$77,$Z$78,$Z$79,$Z$80,$Z$81,$Z$82,$Z$83,$Z$84,$Z$85,$Z$86,$Z$87,$Z$88,$Z$89,$Z$90,$Z$91,$Z$92,$Z$93)</f>
        <v>0.40991212292151019</v>
      </c>
      <c r="AA96" s="168">
        <f>$AA$57-AVERAGE($AA$58,$AA$59,$AA$60,$AA$61,$AA$62,$AA$63,$AA$65,$AA$66,$AA$68,$AA$69,$AA$70,$AA$71,$AA$72,$AA$73,$AA$74,$AA$75,$AA$77,$AA$78,$AA$79,$AA$80,$AA$81,$AA$82,$AA$83,$AA$84,$AA$85,$AA$86,$AA$87,$AA$88,$AA$89,$AA$90,$AA$91,$AA$92,$AA$93)</f>
        <v>0.41000606255097821</v>
      </c>
      <c r="AB96" s="168">
        <f>$AB$57-AVERAGE($AB$58,$AB$59,$AB$60,$AB$61,$AB$62,$AB$63,$AB$65,$AB$66,$AB$68,$AB$69,$AB$70,$AB$71,$AB$72,$AB$73,$AB$74,$AB$75,$AB$77,$AB$78,$AB$79,$AB$80,$AB$81,$AB$82,$AB$83,$AB$84,$AB$85,$AB$86,$AB$87,$AB$88,$AB$89,$AB$90,$AB$91,$AB$92,$AB$93)</f>
        <v>0.40973332795229822</v>
      </c>
      <c r="AC96" s="168">
        <f>$AC$57-AVERAGE($AC$58,$AC$59,$AC$60,$AC$61,$AC$62,$AC$63,$AC$65,$AC$66,$AC$68,$AC$69,$AC$70,$AC$71,$AC$72,$AC$73,$AC$74,$AC$75,$AC$77,$AC$78,$AC$79,$AC$80,$AC$81,$AC$82,$AC$83,$AC$84,$AC$85,$AC$86,$AC$87,$AC$88,$AC$89,$AC$90,$AC$91,$AC$92,$AC$93)</f>
        <v>0.41026365508635837</v>
      </c>
      <c r="AD96" s="168">
        <f>$AD$57-AVERAGE($AD$58,$AD$59,$AD$60,$AD$61,$AD$62,$AD$63,$AD$65,$AD$66,$AD$68,$AD$69,$AD$70,$AD$71,$AD$72,$AD$73,$AD$74,$AD$75,$AD$77,$AD$78,$AD$79,$AD$80,$AD$81,$AD$82,$AD$83,$AD$84,$AD$85,$AD$86,$AD$87,$AD$88,$AD$89,$AD$90,$AD$91,$AD$92,$AD$93)</f>
        <v>0.41150604007822095</v>
      </c>
      <c r="AE96" s="168">
        <f>$AE$57-AVERAGE($AE$58,$AE$59,$AE$60,$AE$61,$AE$62,$AE$63,$AE$65,$AE$66,$AE$68,$AE$69,$AE$70,$AE$71,$AE$72,$AE$73,$AE$74,$AE$75,$AE$77,$AE$78,$AE$79,$AE$80,$AE$81,$AE$82,$AE$83,$AE$84,$AE$85,$AE$86,$AE$87,$AE$88,$AE$89,$AE$90,$AE$91,$AE$92,$AE$93)</f>
        <v>0.41463638074470288</v>
      </c>
      <c r="AF96" s="168">
        <f>$AF$57-AVERAGE($AF$58,$AF$59,$AF$60,$AF$61,$AF$62,$AF$63,$AF$65,$AF$66,$AF$68,$AF$69,$AF$70,$AF$71,$AF$72,$AF$73,$AF$74,$AF$75,$AF$77,$AF$78,$AF$79,$AF$80,$AF$81,$AF$82,$AF$83,$AF$84,$AF$85,$AF$86,$AF$87,$AF$88,$AF$89,$AF$90,$AF$91,$AF$92,$AF$93)</f>
        <v>0.41885456081592676</v>
      </c>
    </row>
    <row r="97" spans="1:32" x14ac:dyDescent="0.2">
      <c r="A97" t="s">
        <v>435</v>
      </c>
      <c r="H97">
        <f>INDEX(LOGEST($B$94:$H$94,$B$54:$H$54,TRUE,TRUE), 3)</f>
        <v>0.88949749391964639</v>
      </c>
      <c r="I97">
        <f>INDEX(LOGEST($B$94:$I$94,$B$54:$I$54,TRUE,TRUE), 3)</f>
        <v>0.91401185632841764</v>
      </c>
      <c r="J97">
        <f>INDEX(LOGEST($B$94:$J$94,$B$54:$J$54,TRUE,TRUE), 3)</f>
        <v>0.93382555351101704</v>
      </c>
      <c r="K97">
        <f>INDEX(LOGEST($B$94:$K$94,$B$54:$K$54,TRUE,TRUE), 3)</f>
        <v>0.94863471693111689</v>
      </c>
      <c r="L97">
        <f>INDEX(LOGEST($B$94:$L$94,$B$54:$L$54,TRUE,TRUE), 3)</f>
        <v>0.96004700579619695</v>
      </c>
      <c r="M97">
        <f>INDEX(LOGEST($B$94:$M$94,$B$54:$M$54,TRUE,TRUE), 3)</f>
        <v>0.96839416687592039</v>
      </c>
      <c r="N97">
        <f>INDEX(LOGEST($B$94:$N$94,$B$54:$N$54,TRUE,TRUE), 3)</f>
        <v>0.97463780589836113</v>
      </c>
      <c r="O97">
        <f>INDEX(LOGEST($B$94:$O$94,$B$54:$O$54,TRUE,TRUE), 3)</f>
        <v>0.97945083148103829</v>
      </c>
      <c r="P97">
        <f>INDEX(LOGEST($B$94:$P$94,$B$54:$P$54,TRUE,TRUE), 3)</f>
        <v>0.98328674941721406</v>
      </c>
      <c r="Q97">
        <f>INDEX(LOGEST($B$94:$Q$94,$B$54:$Q$54,TRUE,TRUE), 3)</f>
        <v>0.98616931591774193</v>
      </c>
      <c r="R97">
        <f>INDEX(LOGEST($B$94:$R$94,$B$54:$R$54,TRUE,TRUE), 3)</f>
        <v>0.98802529858639176</v>
      </c>
      <c r="S97" s="155">
        <f>INDEX(LOGEST($B$94:$S$94,$B$54:$S$54,TRUE,TRUE), 3)</f>
        <v>0.98866313307774822</v>
      </c>
      <c r="T97">
        <f>INDEX(LOGEST($B$94:$T$94,$B$54:$T$54,TRUE,TRUE), 3)</f>
        <v>0.98765177376767399</v>
      </c>
      <c r="U97">
        <f>INDEX(LOGEST($B$94:$U$94,$B$54:$U$54,TRUE,TRUE), 3)</f>
        <v>0.98524392035508079</v>
      </c>
      <c r="V97">
        <f>INDEX(LOGEST($B$94:$V$94,$B$54:$V$54,TRUE,TRUE), 3)</f>
        <v>0.98065675515866013</v>
      </c>
      <c r="W97">
        <f>INDEX(LOGEST($B$94:$W$94,$B$54:$W$54,TRUE,TRUE), 3)</f>
        <v>0.97431274608984819</v>
      </c>
      <c r="X97">
        <f>INDEX(LOGEST($B$94:$X$94,$B$54:$X$54,TRUE,TRUE), 3)</f>
        <v>0.9664659054524064</v>
      </c>
      <c r="Y97">
        <f>INDEX(LOGEST($B$94:$Y$94,$B$54:$Y$54,TRUE,TRUE), 3)</f>
        <v>0.95738259083899102</v>
      </c>
      <c r="Z97">
        <f>INDEX(LOGEST($B$94:$Z$94,$B$54:$Z$54,TRUE,TRUE), 3)</f>
        <v>0.94740616473520889</v>
      </c>
      <c r="AA97">
        <f>INDEX(LOGEST($B$94:$AA$94,$B$54:$AA$54,TRUE,TRUE), 3)</f>
        <v>0.93639741374785446</v>
      </c>
      <c r="AB97">
        <f>INDEX(LOGEST($B$94:$AB$94,$B$54:$AB$54,TRUE,TRUE), 3)</f>
        <v>0.92455986023602965</v>
      </c>
      <c r="AC97">
        <f>INDEX(LOGEST($B$94:$AC$94,$B$54:$AC$54,TRUE,TRUE), 3)</f>
        <v>0.91218649691348697</v>
      </c>
      <c r="AD97">
        <f>INDEX(LOGEST($B$94:$AD$94,$B$54:$AD$54,TRUE,TRUE), 3)</f>
        <v>0.89950369520525475</v>
      </c>
      <c r="AE97">
        <f>INDEX(LOGEST($B$94:$AE$94,$B$54:$AE$54,TRUE,TRUE), 3)</f>
        <v>0.88667559951127994</v>
      </c>
      <c r="AF97">
        <f>INDEX(LOGEST($B$94:$AF$94,$B$54:$AF$54,TRUE,TRUE), 3)</f>
        <v>0.87390746230984429</v>
      </c>
    </row>
    <row r="98" spans="1:32" x14ac:dyDescent="0.2">
      <c r="A98" t="s">
        <v>436</v>
      </c>
      <c r="H98">
        <f>INDEX(LOGEST($B$95:$H$95,$B$54:$H$54,TRUE,TRUE), 3)</f>
        <v>0.9442618494952153</v>
      </c>
      <c r="I98">
        <f>INDEX(LOGEST($B$95:$I$95,$B$54:$I$54,TRUE,TRUE), 3)</f>
        <v>0.95117172663852179</v>
      </c>
      <c r="J98">
        <f>INDEX(LOGEST($B$95:$J$95,$B$54:$J$54,TRUE,TRUE), 3)</f>
        <v>0.96127062849102873</v>
      </c>
      <c r="K98">
        <f>INDEX(LOGEST($B$95:$K$95,$B$54:$K$54,TRUE,TRUE), 3)</f>
        <v>0.97015181116314098</v>
      </c>
      <c r="L98">
        <f>INDEX(LOGEST($B$95:$L$95,$B$54:$L$54,TRUE,TRUE), 3)</f>
        <v>0.97701012705112367</v>
      </c>
      <c r="M98">
        <f>INDEX(LOGEST($B$95:$M$95,$B$54:$M$54,TRUE,TRUE), 3)</f>
        <v>0.98200326472400512</v>
      </c>
      <c r="N98">
        <f>INDEX(LOGEST($B$95:$N$95,$B$54:$N$54,TRUE,TRUE), 3)</f>
        <v>0.98566251891107359</v>
      </c>
      <c r="O98">
        <f>INDEX(LOGEST($B$95:$O$95,$B$54:$O$54,TRUE,TRUE), 3)</f>
        <v>0.9884516881341</v>
      </c>
      <c r="P98">
        <f>INDEX(LOGEST($B$95:$P$95,$B$54:$P$54,TRUE,TRUE), 3)</f>
        <v>0.99061649563047349</v>
      </c>
      <c r="Q98">
        <f>INDEX(LOGEST($B$95:$Q$95,$B$54:$Q$54,TRUE,TRUE), 3)</f>
        <v>0.9921417521967637</v>
      </c>
      <c r="R98" s="155">
        <f>INDEX(LOGEST($B$95:$R$95,$B$54:$R$54,TRUE,TRUE), 3)</f>
        <v>0.99283816230961353</v>
      </c>
      <c r="S98">
        <f>INDEX(LOGEST($B$95:$S$95,$B$54:$S$54,TRUE,TRUE), 3)</f>
        <v>0.99243296280836568</v>
      </c>
      <c r="T98">
        <f>INDEX(LOGEST($B$95:$T$95,$B$54:$T$54,TRUE,TRUE), 3)</f>
        <v>0.9906358992582881</v>
      </c>
      <c r="U98">
        <f>INDEX(LOGEST($B$95:$U$95,$B$54:$U$54,TRUE,TRUE), 3)</f>
        <v>0.98758163155939827</v>
      </c>
      <c r="V98">
        <f>INDEX(LOGEST($B$95:$V$95,$B$54:$V$54,TRUE,TRUE), 3)</f>
        <v>0.98230036700775081</v>
      </c>
      <c r="W98">
        <f>INDEX(LOGEST($B$95:$W$95,$B$54:$W$54,TRUE,TRUE), 3)</f>
        <v>0.97521780665181146</v>
      </c>
      <c r="X98">
        <f>INDEX(LOGEST($B$95:$X$95,$B$54:$X$54,TRUE,TRUE), 3)</f>
        <v>0.96665988620794097</v>
      </c>
      <c r="Y98">
        <f>INDEX(LOGEST($B$95:$Y$95,$B$54:$Y$54,TRUE,TRUE), 3)</f>
        <v>0.95680439905892423</v>
      </c>
      <c r="Z98">
        <f>INDEX(LOGEST($B$95:$Z$95,$B$54:$Z$54,TRUE,TRUE), 3)</f>
        <v>0.94609244500889556</v>
      </c>
      <c r="AA98">
        <f>INDEX(LOGEST($B$95:$AA$95,$B$54:$AA$54,TRUE,TRUE), 3)</f>
        <v>0.93445319815072336</v>
      </c>
      <c r="AB98">
        <f>INDEX(LOGEST($B$95:$AB$95,$B$54:$AB$54,TRUE,TRUE), 3)</f>
        <v>0.92187963597198064</v>
      </c>
      <c r="AC98">
        <f>INDEX(LOGEST($B$95:$AC$95,$B$54:$AC$54,TRUE,TRUE), 3)</f>
        <v>0.90892594805396598</v>
      </c>
      <c r="AD98">
        <f>INDEX(LOGEST($B$95:$AD$95,$B$54:$AD$54,TRUE,TRUE), 3)</f>
        <v>0.89581155524207301</v>
      </c>
      <c r="AE98">
        <f>INDEX(LOGEST($B$95:$AE$95,$B$54:$AE$54,TRUE,TRUE), 3)</f>
        <v>0.88265459901962751</v>
      </c>
      <c r="AF98">
        <f>INDEX(LOGEST($B$95:$AF$95,$B$54:$AF$54,TRUE,TRUE), 3)</f>
        <v>0.86950955311168499</v>
      </c>
    </row>
    <row r="99" spans="1:32" x14ac:dyDescent="0.2">
      <c r="A99" t="s">
        <v>437</v>
      </c>
      <c r="H99">
        <f>INDEX(LOGEST($B$96:$H$96,$B$54:$H$54,TRUE,TRUE), 3)</f>
        <v>0.9447961010052045</v>
      </c>
      <c r="I99">
        <f>INDEX(LOGEST($B$96:$I$96,$B$54:$I$54,TRUE,TRUE), 3)</f>
        <v>0.9563539894621188</v>
      </c>
      <c r="J99">
        <f>INDEX(LOGEST($B$96:$J$96,$B$54:$J$54,TRUE,TRUE), 3)</f>
        <v>0.96638137341286623</v>
      </c>
      <c r="K99">
        <f>INDEX(LOGEST($B$96:$K$96,$B$54:$K$54,TRUE,TRUE), 3)</f>
        <v>0.97433675976500078</v>
      </c>
      <c r="L99">
        <f>INDEX(LOGEST($B$96:$L$96,$B$54:$L$54,TRUE,TRUE), 3)</f>
        <v>0.98032686178351125</v>
      </c>
      <c r="M99">
        <f>INDEX(LOGEST($B$96:$M$96,$B$54:$M$54,TRUE,TRUE), 3)</f>
        <v>0.98471598894275558</v>
      </c>
      <c r="N99">
        <f>INDEX(LOGEST($B$96:$N$96,$B$54:$N$54,TRUE,TRUE), 3)</f>
        <v>0.98795970819467627</v>
      </c>
      <c r="O99">
        <f>INDEX(LOGEST($B$96:$O$96,$B$54:$O$54,TRUE,TRUE), 3)</f>
        <v>0.99036355730636139</v>
      </c>
      <c r="P99">
        <f>INDEX(LOGEST($B$96:$P$96,$B$54:$P$54,TRUE,TRUE), 3)</f>
        <v>0.9919989787240191</v>
      </c>
      <c r="Q99" s="155">
        <f>INDEX(LOGEST($B$96:$Q$96,$B$54:$Q$54,TRUE,TRUE), 3)</f>
        <v>0.99280281012112526</v>
      </c>
      <c r="R99">
        <f>INDEX(LOGEST($B$96:$R$96,$B$54:$R$54,TRUE,TRUE), 3)</f>
        <v>0.99250425466254832</v>
      </c>
      <c r="S99">
        <f>INDEX(LOGEST($B$96:$S$96,$B$54:$S$54,TRUE,TRUE), 3)</f>
        <v>0.99084805779055229</v>
      </c>
      <c r="T99">
        <f>INDEX(LOGEST($B$96:$T$96,$B$54:$T$54,TRUE,TRUE), 3)</f>
        <v>0.98760735696534296</v>
      </c>
      <c r="U99">
        <f>INDEX(LOGEST($B$96:$U$96,$B$54:$U$54,TRUE,TRUE), 3)</f>
        <v>0.98302619426929405</v>
      </c>
      <c r="V99">
        <f>INDEX(LOGEST($B$96:$V$96,$B$54:$V$54,TRUE,TRUE), 3)</f>
        <v>0.97622978342200606</v>
      </c>
      <c r="W99">
        <f>INDEX(LOGEST($B$96:$W$96,$B$54:$W$54,TRUE,TRUE), 3)</f>
        <v>0.9677158767648949</v>
      </c>
      <c r="X99">
        <f>INDEX(LOGEST($B$96:$X$96,$B$54:$X$54,TRUE,TRUE), 3)</f>
        <v>0.9579575892208374</v>
      </c>
      <c r="Y99">
        <f>INDEX(LOGEST($B$96:$Y$96,$B$54:$Y$54,TRUE,TRUE), 3)</f>
        <v>0.94720130601592811</v>
      </c>
      <c r="Z99">
        <f>INDEX(LOGEST($B$96:$Z$96,$B$54:$Z$54,TRUE,TRUE), 3)</f>
        <v>0.93563451805842046</v>
      </c>
      <c r="AA99">
        <f>INDEX(LOGEST($B$96:$AA$96,$B$54:$AA$54,TRUE,TRUE), 3)</f>
        <v>0.92315611338242931</v>
      </c>
      <c r="AB99">
        <f>INDEX(LOGEST($B$96:$AB$96,$B$54:$AB$54,TRUE,TRUE), 3)</f>
        <v>0.91000968325065668</v>
      </c>
      <c r="AC99">
        <f>INDEX(LOGEST($B$96:$AC$96,$B$54:$AC$54,TRUE,TRUE), 3)</f>
        <v>0.8964612659368828</v>
      </c>
      <c r="AD99">
        <f>INDEX(LOGEST($B$96:$AD$96,$B$54:$AD$54,TRUE,TRUE), 3)</f>
        <v>0.88272051132738238</v>
      </c>
      <c r="AE99">
        <f>INDEX(LOGEST($B$96:$AE$96,$B$54:$AE$54,TRUE,TRUE), 3)</f>
        <v>0.86902951553711338</v>
      </c>
      <c r="AF99">
        <f>INDEX(LOGEST($B$96:$AF$96,$B$54:$AF$54,TRUE,TRUE), 3)</f>
        <v>0.85553509387297721</v>
      </c>
    </row>
    <row r="100" spans="1:32" s="160" customFormat="1" x14ac:dyDescent="0.2">
      <c r="A100" s="160" t="s">
        <v>438</v>
      </c>
      <c r="B100" s="160">
        <f>$K$43*EXP($J$49*$B$54)</f>
        <v>1.3775306780314698E-3</v>
      </c>
      <c r="C100" s="160">
        <f>$K$43*EXP($J$49*$C$54)</f>
        <v>1.9070896774026126E-3</v>
      </c>
      <c r="D100" s="160">
        <f>$K$43*EXP($J$49*$D$54)</f>
        <v>2.6402250749529323E-3</v>
      </c>
      <c r="E100" s="160">
        <f>$K$43*EXP($J$49*$E$54)</f>
        <v>3.6551969889031016E-3</v>
      </c>
      <c r="F100" s="160">
        <f>$K$43*EXP($J$49*$F$54)</f>
        <v>5.0603507838908315E-3</v>
      </c>
      <c r="G100" s="160">
        <f>$K$43*EXP($J$49*$G$54)</f>
        <v>7.0056826304480723E-3</v>
      </c>
      <c r="H100" s="160">
        <f>$K$43*EXP($J$49*$H$54)</f>
        <v>9.6988511695280596E-3</v>
      </c>
      <c r="I100" s="160">
        <f>$K$43*EXP($J$49*$I$54)</f>
        <v>1.3427344481723884E-2</v>
      </c>
      <c r="J100" s="160">
        <f>$K$43*EXP($J$49*$J$54)</f>
        <v>1.8589168622086798E-2</v>
      </c>
      <c r="K100" s="160">
        <f>$K$43*EXP($J$49*$K$54)</f>
        <v>2.5735333634339864E-2</v>
      </c>
      <c r="L100" s="160">
        <f>$K$43*EXP($J$49*$L$54)</f>
        <v>3.5628672305649076E-2</v>
      </c>
      <c r="M100" s="160">
        <f>$K$43*EXP($J$49*$M$54)</f>
        <v>4.9325270396708684E-2</v>
      </c>
      <c r="N100" s="160">
        <f>$K$43*EXP($J$49*$N$54)</f>
        <v>6.8287200792566907E-2</v>
      </c>
      <c r="O100" s="160">
        <f>$K$43*EXP($J$49*$O$54)</f>
        <v>9.4538595624110391E-2</v>
      </c>
      <c r="P100" s="160">
        <f>$K$43*EXP($J$49*$P$54)</f>
        <v>0.13088171661521575</v>
      </c>
      <c r="Q100" s="160">
        <f>$K$43*EXP($J$49*$Q$54)</f>
        <v>0.18119608855049388</v>
      </c>
      <c r="R100" s="160">
        <f>$K$43*EXP($J$49*$R$54)</f>
        <v>0.25085262751039961</v>
      </c>
      <c r="S100" s="160">
        <f>$K$43*EXP($J$49*$S$54)</f>
        <v>0.34728697088477972</v>
      </c>
    </row>
    <row r="101" spans="1:32" s="161" customFormat="1" x14ac:dyDescent="0.2">
      <c r="A101" s="161" t="s">
        <v>439</v>
      </c>
      <c r="B101" s="161">
        <f>$Q$43*EXP($P$49*$B$54)</f>
        <v>1.1955209875586367E-3</v>
      </c>
      <c r="C101" s="161">
        <f>$Q$43*EXP($P$49*$C$54)</f>
        <v>1.6780222898715379E-3</v>
      </c>
      <c r="D101" s="161">
        <f>$Q$43*EXP($P$49*$D$54)</f>
        <v>2.3552566911064915E-3</v>
      </c>
      <c r="E101" s="161">
        <f>$Q$43*EXP($P$49*$E$54)</f>
        <v>3.3058166834163873E-3</v>
      </c>
      <c r="F101" s="161">
        <f>$Q$43*EXP($P$49*$F$54)</f>
        <v>4.6400139677429328E-3</v>
      </c>
      <c r="G101" s="161">
        <f>$Q$43*EXP($P$49*$G$54)</f>
        <v>6.5126810354770408E-3</v>
      </c>
      <c r="H101" s="161">
        <f>$Q$43*EXP($P$49*$H$54)</f>
        <v>9.141139351029684E-3</v>
      </c>
      <c r="I101" s="161">
        <f>$Q$43*EXP($P$49*$I$54)</f>
        <v>1.2830419328039876E-2</v>
      </c>
      <c r="J101" s="161">
        <f>$Q$43*EXP($P$49*$J$54)</f>
        <v>1.8008658856600412E-2</v>
      </c>
      <c r="K101" s="161">
        <f>$Q$43*EXP($P$49*$K$54)</f>
        <v>2.5276788351309323E-2</v>
      </c>
      <c r="L101" s="161">
        <f>$Q$43*EXP($P$49*$L$54)</f>
        <v>3.5478268228881234E-2</v>
      </c>
      <c r="M101" s="161">
        <f>$Q$43*EXP($P$49*$M$54)</f>
        <v>4.9796971791918464E-2</v>
      </c>
      <c r="N101" s="161">
        <f>$Q$43*EXP($P$49*$N$54)</f>
        <v>6.9894572746549144E-2</v>
      </c>
      <c r="O101" s="161">
        <f>$Q$43*EXP($P$49*$O$54)</f>
        <v>9.8103381061726974E-2</v>
      </c>
      <c r="P101" s="161">
        <f>$Q$43*EXP($P$49*$P$54)</f>
        <v>0.13769700561217887</v>
      </c>
      <c r="Q101" s="161">
        <f>$Q$43*EXP($P$49*$Q$54)</f>
        <v>0.19327025378086027</v>
      </c>
      <c r="R101" s="161">
        <f>$Q$43*EXP($P$49*$R$54)</f>
        <v>0.271272355055587</v>
      </c>
    </row>
    <row r="102" spans="1:32" s="169" customFormat="1" x14ac:dyDescent="0.2">
      <c r="A102" s="169" t="s">
        <v>440</v>
      </c>
      <c r="B102" s="169">
        <f>$W$43*EXP($V$49*$B$54)</f>
        <v>9.8994682890361048E-4</v>
      </c>
      <c r="C102" s="169">
        <f>$W$43*EXP($V$49*$C$54)</f>
        <v>1.4269835685443864E-3</v>
      </c>
      <c r="D102" s="169">
        <f>$W$43*EXP($V$49*$D$54)</f>
        <v>2.0569610866382616E-3</v>
      </c>
      <c r="E102" s="169">
        <f>$W$43*EXP($V$49*$E$54)</f>
        <v>2.9650579062098351E-3</v>
      </c>
      <c r="F102" s="169">
        <f>$W$43*EXP($V$49*$F$54)</f>
        <v>4.2740567355825437E-3</v>
      </c>
      <c r="G102" s="169">
        <f>$W$43*EXP($V$49*$G$54)</f>
        <v>6.1609457746912982E-3</v>
      </c>
      <c r="H102" s="169">
        <f>$W$43*EXP($V$49*$H$54)</f>
        <v>8.8808490824848849E-3</v>
      </c>
      <c r="I102" s="169">
        <f>$W$43*EXP($V$49*$I$54)</f>
        <v>1.2801521602391381E-2</v>
      </c>
      <c r="J102" s="169">
        <f>$W$43*EXP($V$49*$J$54)</f>
        <v>1.8453072877873924E-2</v>
      </c>
      <c r="K102" s="169">
        <f>$W$43*EXP($V$49*$K$54)</f>
        <v>2.659964254347047E-2</v>
      </c>
      <c r="L102" s="169">
        <f>$W$43*EXP($V$49*$L$54)</f>
        <v>3.8342718750586952E-2</v>
      </c>
      <c r="M102" s="169">
        <f>$W$43*EXP($V$49*$M$54)</f>
        <v>5.527006909149236E-2</v>
      </c>
      <c r="N102" s="169">
        <f>$W$43*EXP($V$49*$N$54)</f>
        <v>7.9670420797470956E-2</v>
      </c>
      <c r="O102" s="169">
        <f>$W$43*EXP($V$49*$O$54)</f>
        <v>0.11484291686950546</v>
      </c>
      <c r="P102" s="169">
        <f>$W$43*EXP($V$49*$P$54)</f>
        <v>0.16554318934279838</v>
      </c>
      <c r="Q102" s="169">
        <f>$W$43*EXP($V$49*$Q$54)</f>
        <v>0.23862636272923171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F8246-EDFF-D247-95F5-AA880641A83A}">
  <sheetPr codeName="Sheet54"/>
  <dimension ref="A42:AF102"/>
  <sheetViews>
    <sheetView workbookViewId="0"/>
  </sheetViews>
  <sheetFormatPr baseColWidth="10" defaultRowHeight="15" x14ac:dyDescent="0.2"/>
  <sheetData>
    <row r="42" spans="9:24" x14ac:dyDescent="0.2">
      <c r="I42" t="s">
        <v>249</v>
      </c>
      <c r="O42" t="s">
        <v>249</v>
      </c>
      <c r="U42" t="s">
        <v>249</v>
      </c>
    </row>
    <row r="43" spans="9:24" x14ac:dyDescent="0.2">
      <c r="I43" t="s">
        <v>250</v>
      </c>
      <c r="J43" s="159">
        <f t="array" ref="J43:K47">LOGEST($B$94:$P$94,$B$54:$P$54,TRUE,TRUE)</f>
        <v>1.0004226480335954</v>
      </c>
      <c r="K43" s="159">
        <v>1.2518316503473588E-3</v>
      </c>
      <c r="L43" t="s">
        <v>255</v>
      </c>
      <c r="O43" t="s">
        <v>250</v>
      </c>
      <c r="P43" s="159">
        <f t="array" ref="P43:Q47">LOGEST($B$95:$P$95,$B$54:$P$54,TRUE,TRUE)</f>
        <v>1.0004370192325245</v>
      </c>
      <c r="Q43" s="159">
        <v>1.082626384051531E-3</v>
      </c>
      <c r="R43" t="s">
        <v>255</v>
      </c>
      <c r="U43" t="s">
        <v>250</v>
      </c>
      <c r="V43" s="159">
        <f t="array" ref="V43:W47">LOGEST($B$96:$R$96,$B$54:$R$54,TRUE,TRUE)</f>
        <v>1.0003611005295565</v>
      </c>
      <c r="W43" s="159">
        <v>2.3148558649296784E-3</v>
      </c>
      <c r="X43" t="s">
        <v>255</v>
      </c>
    </row>
    <row r="44" spans="9:24" x14ac:dyDescent="0.2">
      <c r="I44" t="s">
        <v>251</v>
      </c>
      <c r="J44" s="159">
        <v>1.418620085667081E-5</v>
      </c>
      <c r="K44" s="159">
        <v>0.10503747129203812</v>
      </c>
      <c r="L44" t="s">
        <v>256</v>
      </c>
      <c r="O44" t="s">
        <v>251</v>
      </c>
      <c r="P44" s="159">
        <v>1.3848765386101441E-5</v>
      </c>
      <c r="Q44" s="159">
        <v>0.10253903151165258</v>
      </c>
      <c r="R44" t="s">
        <v>256</v>
      </c>
      <c r="U44" t="s">
        <v>251</v>
      </c>
      <c r="V44" s="159">
        <v>1.3163984001597319E-5</v>
      </c>
      <c r="W44" s="159">
        <v>0.11115255335328465</v>
      </c>
      <c r="X44" t="s">
        <v>256</v>
      </c>
    </row>
    <row r="45" spans="9:24" x14ac:dyDescent="0.2">
      <c r="I45" t="s">
        <v>252</v>
      </c>
      <c r="J45" s="159">
        <v>0.98555943462192641</v>
      </c>
      <c r="K45" s="159">
        <v>0.21366622738724897</v>
      </c>
      <c r="L45" t="s">
        <v>257</v>
      </c>
      <c r="O45" t="s">
        <v>252</v>
      </c>
      <c r="P45" s="159">
        <v>0.98710804385445239</v>
      </c>
      <c r="Q45" s="159">
        <v>0.20858392489402755</v>
      </c>
      <c r="R45" t="s">
        <v>257</v>
      </c>
      <c r="U45" t="s">
        <v>252</v>
      </c>
      <c r="V45" s="159">
        <v>0.98044800543776545</v>
      </c>
      <c r="W45" s="159">
        <v>0.23933608852305926</v>
      </c>
      <c r="X45" t="s">
        <v>257</v>
      </c>
    </row>
    <row r="46" spans="9:24" x14ac:dyDescent="0.2">
      <c r="I46" t="s">
        <v>253</v>
      </c>
      <c r="J46" s="159">
        <v>887.24176059886076</v>
      </c>
      <c r="K46" s="159">
        <v>13</v>
      </c>
      <c r="L46" t="s">
        <v>258</v>
      </c>
      <c r="O46" t="s">
        <v>253</v>
      </c>
      <c r="P46" s="159">
        <v>995.38071842880913</v>
      </c>
      <c r="Q46" s="159">
        <v>13</v>
      </c>
      <c r="R46" t="s">
        <v>258</v>
      </c>
      <c r="U46" t="s">
        <v>253</v>
      </c>
      <c r="V46" s="159">
        <v>752.18515608494909</v>
      </c>
      <c r="W46" s="159">
        <v>15</v>
      </c>
      <c r="X46" t="s">
        <v>258</v>
      </c>
    </row>
    <row r="47" spans="9:24" x14ac:dyDescent="0.2">
      <c r="I47" t="s">
        <v>254</v>
      </c>
      <c r="J47" s="159">
        <v>40.505475874558933</v>
      </c>
      <c r="K47" s="159">
        <v>0.59349233743669461</v>
      </c>
      <c r="L47" t="s">
        <v>259</v>
      </c>
      <c r="O47" t="s">
        <v>254</v>
      </c>
      <c r="P47" s="159">
        <v>43.306281468856014</v>
      </c>
      <c r="Q47" s="159">
        <v>0.56559429841456521</v>
      </c>
      <c r="R47" t="s">
        <v>259</v>
      </c>
      <c r="U47" t="s">
        <v>254</v>
      </c>
      <c r="V47" s="159">
        <v>43.086492045703245</v>
      </c>
      <c r="W47" s="159">
        <v>0.85922644904276491</v>
      </c>
      <c r="X47" t="s">
        <v>259</v>
      </c>
    </row>
    <row r="49" spans="1:32" x14ac:dyDescent="0.2">
      <c r="I49" t="s">
        <v>260</v>
      </c>
      <c r="J49">
        <f>LN($J$43)</f>
        <v>4.2255874307331297E-4</v>
      </c>
      <c r="O49" t="s">
        <v>260</v>
      </c>
      <c r="P49">
        <f>LN($P$43)</f>
        <v>4.3692376743205939E-4</v>
      </c>
      <c r="U49" t="s">
        <v>260</v>
      </c>
      <c r="V49">
        <f>LN($V$43)</f>
        <v>3.6103534845110554E-4</v>
      </c>
    </row>
    <row r="50" spans="1:32" x14ac:dyDescent="0.2">
      <c r="I50" t="s">
        <v>261</v>
      </c>
      <c r="J50">
        <f>ROUND(LN(2)/$J$49, 1)</f>
        <v>1640.4</v>
      </c>
      <c r="O50" t="s">
        <v>261</v>
      </c>
      <c r="P50">
        <f>ROUND(LN(2)/$P$49, 1)</f>
        <v>1586.4</v>
      </c>
      <c r="U50" t="s">
        <v>261</v>
      </c>
      <c r="V50">
        <f>ROUND(LN(2)/$V$49, 1)</f>
        <v>1919.9</v>
      </c>
    </row>
    <row r="51" spans="1:32" x14ac:dyDescent="0.2">
      <c r="I51" t="s">
        <v>204</v>
      </c>
      <c r="J51" s="155">
        <f>ROUND($J$50/60, 1)</f>
        <v>27.3</v>
      </c>
      <c r="O51" t="s">
        <v>204</v>
      </c>
      <c r="P51" s="155">
        <f>ROUND($P$50/60, 1)</f>
        <v>26.4</v>
      </c>
      <c r="U51" t="s">
        <v>204</v>
      </c>
      <c r="V51" s="155">
        <f>ROUND($V$50/60, 1)</f>
        <v>32</v>
      </c>
    </row>
    <row r="54" spans="1:32" x14ac:dyDescent="0.2">
      <c r="A54" t="s">
        <v>206</v>
      </c>
      <c r="B54" s="166">
        <v>0</v>
      </c>
      <c r="C54" s="166">
        <v>900.1</v>
      </c>
      <c r="D54" s="166">
        <v>1800.2</v>
      </c>
      <c r="E54" s="166">
        <v>2700.3</v>
      </c>
      <c r="F54" s="166">
        <v>3600.4</v>
      </c>
      <c r="G54" s="166">
        <v>4500.5</v>
      </c>
      <c r="H54" s="166">
        <v>5400.6</v>
      </c>
      <c r="I54" s="166">
        <v>6300.7</v>
      </c>
      <c r="J54" s="166">
        <v>7200.8</v>
      </c>
      <c r="K54" s="166">
        <v>8100.9</v>
      </c>
      <c r="L54" s="166">
        <v>9001</v>
      </c>
      <c r="M54" s="166">
        <v>9901.1</v>
      </c>
      <c r="N54" s="166">
        <v>10801.2</v>
      </c>
      <c r="O54" s="166">
        <v>11701.3</v>
      </c>
      <c r="P54" s="166">
        <v>12601.4</v>
      </c>
      <c r="Q54" s="166">
        <v>13501.5</v>
      </c>
      <c r="R54" s="166">
        <v>14401.6</v>
      </c>
      <c r="S54" s="166">
        <v>15301.7</v>
      </c>
      <c r="T54" s="166">
        <v>16201.8</v>
      </c>
      <c r="U54" s="166">
        <v>17101.900000000001</v>
      </c>
      <c r="V54" s="166">
        <v>18002</v>
      </c>
      <c r="W54" s="166">
        <v>18902.099999999999</v>
      </c>
      <c r="X54" s="166">
        <v>19802.2</v>
      </c>
      <c r="Y54" s="166">
        <v>20702.3</v>
      </c>
      <c r="Z54" s="166">
        <v>21602.400000000001</v>
      </c>
      <c r="AA54" s="166">
        <v>22502.5</v>
      </c>
      <c r="AB54" s="166">
        <v>23402.6</v>
      </c>
      <c r="AC54" s="166">
        <v>24302.7</v>
      </c>
      <c r="AD54" s="166">
        <v>25202.799999999999</v>
      </c>
      <c r="AE54" s="166">
        <v>26102.9</v>
      </c>
      <c r="AF54" s="166">
        <v>27003</v>
      </c>
    </row>
    <row r="55" spans="1:32" x14ac:dyDescent="0.2">
      <c r="A55" s="156" t="s">
        <v>441</v>
      </c>
      <c r="B55" s="156">
        <v>0.10890000313520432</v>
      </c>
      <c r="C55" s="156">
        <v>0.10869999974966049</v>
      </c>
      <c r="D55" s="156">
        <v>0.1088000014424324</v>
      </c>
      <c r="E55" s="156">
        <v>0.1096000000834465</v>
      </c>
      <c r="F55" s="156">
        <v>0.11069999635219574</v>
      </c>
      <c r="G55" s="156">
        <v>0.11320000141859055</v>
      </c>
      <c r="H55" s="156">
        <v>0.11729999631643295</v>
      </c>
      <c r="I55" s="156">
        <v>0.1242000013589859</v>
      </c>
      <c r="J55" s="156">
        <v>0.13510000705718994</v>
      </c>
      <c r="K55" s="156">
        <v>0.15080000460147858</v>
      </c>
      <c r="L55" s="156">
        <v>0.17299999296665192</v>
      </c>
      <c r="M55" s="156">
        <v>0.2020999938249588</v>
      </c>
      <c r="N55" s="156">
        <v>0.23770000040531158</v>
      </c>
      <c r="O55" s="156">
        <v>0.27820000052452087</v>
      </c>
      <c r="P55" s="156">
        <v>0.32249999046325684</v>
      </c>
      <c r="Q55" s="156">
        <v>0.36620000004768372</v>
      </c>
      <c r="R55" s="156">
        <v>0.40669998526573181</v>
      </c>
      <c r="S55" s="156">
        <v>0.44220000505447388</v>
      </c>
      <c r="T55" s="156">
        <v>0.47360000014305115</v>
      </c>
      <c r="U55" s="156">
        <v>0.48579999804496765</v>
      </c>
      <c r="V55" s="156">
        <f t="shared" ref="V55:V57" si="0">AVERAGE(U55,W55)</f>
        <v>0.49620001018047333</v>
      </c>
      <c r="W55" s="156">
        <v>0.506600022315979</v>
      </c>
      <c r="X55" s="156">
        <v>0.51810002326965332</v>
      </c>
      <c r="Y55" s="156">
        <v>0.52609997987747192</v>
      </c>
      <c r="Z55" s="156">
        <v>0.52880001068115234</v>
      </c>
      <c r="AA55" s="156">
        <v>0.53219997882843018</v>
      </c>
      <c r="AB55" s="156">
        <v>0.53710001707077026</v>
      </c>
      <c r="AC55" s="156">
        <v>0.53909999132156372</v>
      </c>
      <c r="AD55" s="156">
        <v>0.54400002956390381</v>
      </c>
      <c r="AE55" s="156">
        <v>0.54759997129440308</v>
      </c>
      <c r="AF55" s="156">
        <v>0.55279999971389771</v>
      </c>
    </row>
    <row r="56" spans="1:32" x14ac:dyDescent="0.2">
      <c r="A56" s="157" t="s">
        <v>442</v>
      </c>
      <c r="B56" s="157">
        <v>0.10849999636411667</v>
      </c>
      <c r="C56" s="157">
        <v>0.10840000212192535</v>
      </c>
      <c r="D56" s="157">
        <v>0.10859999805688858</v>
      </c>
      <c r="E56" s="157">
        <v>0.10920000076293945</v>
      </c>
      <c r="F56" s="157">
        <v>0.11020000278949738</v>
      </c>
      <c r="G56" s="157">
        <v>0.11270000040531158</v>
      </c>
      <c r="H56" s="157">
        <v>0.11670000106096268</v>
      </c>
      <c r="I56" s="157">
        <v>0.1234000027179718</v>
      </c>
      <c r="J56" s="157">
        <v>0.13429999351501465</v>
      </c>
      <c r="K56" s="157">
        <v>0.15000000596046448</v>
      </c>
      <c r="L56" s="157">
        <v>0.17239999771118164</v>
      </c>
      <c r="M56" s="157">
        <v>0.2012999951839447</v>
      </c>
      <c r="N56" s="157">
        <v>0.23810000717639923</v>
      </c>
      <c r="O56" s="157">
        <v>0.28060001134872437</v>
      </c>
      <c r="P56" s="157">
        <v>0.32609999179840088</v>
      </c>
      <c r="Q56" s="157">
        <v>0.37160000205039978</v>
      </c>
      <c r="R56" s="157">
        <v>0.41060000658035278</v>
      </c>
      <c r="S56" s="157">
        <v>0.44470000267028809</v>
      </c>
      <c r="T56" s="157">
        <v>0.47440001368522644</v>
      </c>
      <c r="U56" s="157">
        <v>0.48579999804496765</v>
      </c>
      <c r="V56" s="157">
        <f t="shared" si="0"/>
        <v>0.49679999053478241</v>
      </c>
      <c r="W56" s="157">
        <v>0.50779998302459717</v>
      </c>
      <c r="X56" s="157">
        <v>0.51770001649856567</v>
      </c>
      <c r="Y56" s="157">
        <v>0.52670001983642578</v>
      </c>
      <c r="Z56" s="157">
        <v>0.53009998798370361</v>
      </c>
      <c r="AA56" s="157">
        <v>0.53119999170303345</v>
      </c>
      <c r="AB56" s="157">
        <v>0.53530001640319824</v>
      </c>
      <c r="AC56" s="157">
        <v>0.53829997777938843</v>
      </c>
      <c r="AD56" s="157">
        <v>0.54170000553131104</v>
      </c>
      <c r="AE56" s="157">
        <v>0.54579997062683105</v>
      </c>
      <c r="AF56" s="157">
        <v>0.55220001935958862</v>
      </c>
    </row>
    <row r="57" spans="1:32" x14ac:dyDescent="0.2">
      <c r="A57" s="168" t="s">
        <v>443</v>
      </c>
      <c r="B57" s="168">
        <v>0.11069999635219574</v>
      </c>
      <c r="C57" s="168">
        <v>0.11069999635219574</v>
      </c>
      <c r="D57" s="168">
        <v>0.11069999635219574</v>
      </c>
      <c r="E57" s="168">
        <v>0.11140000075101852</v>
      </c>
      <c r="F57" s="168">
        <v>0.11249999701976776</v>
      </c>
      <c r="G57" s="168">
        <v>0.11519999802112579</v>
      </c>
      <c r="H57" s="168">
        <v>0.11940000206232071</v>
      </c>
      <c r="I57" s="168">
        <v>0.12649999558925629</v>
      </c>
      <c r="J57" s="168">
        <v>0.13760000467300415</v>
      </c>
      <c r="K57" s="168">
        <v>0.15410000085830688</v>
      </c>
      <c r="L57" s="168">
        <v>0.17769999802112579</v>
      </c>
      <c r="M57" s="168">
        <v>0.20790000259876251</v>
      </c>
      <c r="N57" s="168">
        <v>0.2468000054359436</v>
      </c>
      <c r="O57" s="168">
        <v>0.2937999963760376</v>
      </c>
      <c r="P57" s="168">
        <v>0.34209999442100525</v>
      </c>
      <c r="Q57" s="168">
        <v>0.38820001482963562</v>
      </c>
      <c r="R57" s="168">
        <v>0.43160000443458557</v>
      </c>
      <c r="S57" s="168">
        <v>0.46759998798370361</v>
      </c>
      <c r="T57" s="168">
        <v>0.49779999256134033</v>
      </c>
      <c r="U57" s="168">
        <v>0.50520002841949463</v>
      </c>
      <c r="V57" s="168">
        <f t="shared" si="0"/>
        <v>0.51280000805854797</v>
      </c>
      <c r="W57" s="168">
        <v>0.52039998769760132</v>
      </c>
      <c r="X57" s="168">
        <v>0.53369998931884766</v>
      </c>
      <c r="Y57" s="168">
        <v>0.53939998149871826</v>
      </c>
      <c r="Z57" s="168">
        <v>0.54129999876022339</v>
      </c>
      <c r="AA57" s="168">
        <v>0.54220002889633179</v>
      </c>
      <c r="AB57" s="168">
        <v>0.54269999265670776</v>
      </c>
      <c r="AC57" s="168">
        <v>0.54519999027252197</v>
      </c>
      <c r="AD57" s="168">
        <v>0.55010002851486206</v>
      </c>
      <c r="AE57" s="168">
        <v>0.553600013256073</v>
      </c>
      <c r="AF57" s="168">
        <v>0.55839997529983521</v>
      </c>
    </row>
    <row r="58" spans="1:32" x14ac:dyDescent="0.2">
      <c r="A58" s="158" t="s">
        <v>209</v>
      </c>
      <c r="B58" s="158">
        <v>0.10480000078678131</v>
      </c>
      <c r="C58" s="158">
        <v>0.1046999990940094</v>
      </c>
      <c r="D58" s="158">
        <v>0.1046999990940094</v>
      </c>
      <c r="E58" s="158">
        <v>0.10480000078678131</v>
      </c>
      <c r="F58" s="158">
        <v>0.10459999740123749</v>
      </c>
      <c r="G58" s="158">
        <v>0.10450000315904617</v>
      </c>
      <c r="H58" s="158">
        <v>0.10440000146627426</v>
      </c>
      <c r="I58" s="158">
        <v>0.10429999977350235</v>
      </c>
      <c r="J58" s="158">
        <v>0.10419999808073044</v>
      </c>
      <c r="K58" s="158">
        <v>0.10419999808073044</v>
      </c>
      <c r="L58" s="158">
        <v>0.10419999808073044</v>
      </c>
      <c r="M58" s="158">
        <v>0.10409999638795853</v>
      </c>
      <c r="N58" s="158">
        <v>0.10400000214576721</v>
      </c>
      <c r="O58" s="158">
        <v>0.1039000004529953</v>
      </c>
      <c r="P58" s="158">
        <v>0.10379999876022339</v>
      </c>
      <c r="Q58" s="158">
        <v>0.10379999876022339</v>
      </c>
      <c r="R58" s="158">
        <v>0.1039000004529953</v>
      </c>
      <c r="S58" s="158">
        <v>0.10360000282526016</v>
      </c>
      <c r="T58" s="158">
        <v>0.10360000282526016</v>
      </c>
      <c r="U58" s="158">
        <v>0.10379999876022339</v>
      </c>
      <c r="V58" s="158">
        <f>AVERAGE(U58,W58)</f>
        <v>0.10359999909996986</v>
      </c>
      <c r="W58" s="158">
        <v>0.10339999943971634</v>
      </c>
      <c r="X58" s="158">
        <v>0.10329999774694443</v>
      </c>
      <c r="Y58" s="158">
        <v>0.10320000350475311</v>
      </c>
      <c r="Z58" s="158">
        <v>0.10320000350475311</v>
      </c>
      <c r="AA58" s="158">
        <v>0.1031000018119812</v>
      </c>
      <c r="AB58" s="158">
        <v>0.1031000018119812</v>
      </c>
      <c r="AC58" s="158">
        <v>0.10300000011920929</v>
      </c>
      <c r="AD58" s="158">
        <v>0.10300000011920929</v>
      </c>
      <c r="AE58" s="158">
        <v>0.10289999842643738</v>
      </c>
      <c r="AF58" s="158">
        <v>0.10289999842643738</v>
      </c>
    </row>
    <row r="59" spans="1:32" x14ac:dyDescent="0.2">
      <c r="A59" s="158" t="s">
        <v>210</v>
      </c>
      <c r="B59" s="158">
        <v>0.10660000145435333</v>
      </c>
      <c r="C59" s="158">
        <v>0.10649999976158142</v>
      </c>
      <c r="D59" s="158">
        <v>0.10649999976158142</v>
      </c>
      <c r="E59" s="158">
        <v>0.10649999976158142</v>
      </c>
      <c r="F59" s="158">
        <v>0.10639999806880951</v>
      </c>
      <c r="G59" s="158">
        <v>0.1062999963760376</v>
      </c>
      <c r="H59" s="158">
        <v>0.1062999963760376</v>
      </c>
      <c r="I59" s="158">
        <v>0.10610000044107437</v>
      </c>
      <c r="J59" s="158">
        <v>0.10610000044107437</v>
      </c>
      <c r="K59" s="158">
        <v>0.10610000044107437</v>
      </c>
      <c r="L59" s="158">
        <v>0.10610000044107437</v>
      </c>
      <c r="M59" s="158">
        <v>0.10599999874830246</v>
      </c>
      <c r="N59" s="158">
        <v>0.10589999705553055</v>
      </c>
      <c r="O59" s="158">
        <v>0.10589999705553055</v>
      </c>
      <c r="P59" s="158">
        <v>0.10570000112056732</v>
      </c>
      <c r="Q59" s="158">
        <v>0.10570000112056732</v>
      </c>
      <c r="R59" s="158">
        <v>0.10570000112056732</v>
      </c>
      <c r="S59" s="158">
        <v>0.10559999942779541</v>
      </c>
      <c r="T59" s="158">
        <v>0.10559999942779541</v>
      </c>
      <c r="U59" s="158">
        <v>0.10559999942779541</v>
      </c>
      <c r="V59" s="158">
        <f t="shared" ref="V59:V93" si="1">AVERAGE(U59,W59)</f>
        <v>0.1055000014603138</v>
      </c>
      <c r="W59" s="158">
        <v>0.10540000349283218</v>
      </c>
      <c r="X59" s="158">
        <v>0.10540000349283218</v>
      </c>
      <c r="Y59" s="158">
        <v>0.10530000180006027</v>
      </c>
      <c r="Z59" s="158">
        <v>0.10530000180006027</v>
      </c>
      <c r="AA59" s="158">
        <v>0.10520000010728836</v>
      </c>
      <c r="AB59" s="158">
        <v>0.10520000010728836</v>
      </c>
      <c r="AC59" s="158">
        <v>0.10520000010728836</v>
      </c>
      <c r="AD59" s="158">
        <v>0.10509999841451645</v>
      </c>
      <c r="AE59" s="158">
        <v>0.10509999841451645</v>
      </c>
      <c r="AF59" s="158">
        <v>0.10509999841451645</v>
      </c>
    </row>
    <row r="60" spans="1:32" x14ac:dyDescent="0.2">
      <c r="A60" s="158" t="s">
        <v>211</v>
      </c>
      <c r="B60" s="158">
        <v>0.10740000009536743</v>
      </c>
      <c r="C60" s="158">
        <v>0.10740000009536743</v>
      </c>
      <c r="D60" s="158">
        <v>0.10729999840259552</v>
      </c>
      <c r="E60" s="158">
        <v>0.10729999840259552</v>
      </c>
      <c r="F60" s="158">
        <v>0.10719999670982361</v>
      </c>
      <c r="G60" s="158">
        <v>0.10719999670982361</v>
      </c>
      <c r="H60" s="158">
        <v>0.10710000246763229</v>
      </c>
      <c r="I60" s="158">
        <v>0.10689999908208847</v>
      </c>
      <c r="J60" s="158">
        <v>0.10689999908208847</v>
      </c>
      <c r="K60" s="158">
        <v>0.10710000246763229</v>
      </c>
      <c r="L60" s="158">
        <v>0.10679999738931656</v>
      </c>
      <c r="M60" s="158">
        <v>0.10670000314712524</v>
      </c>
      <c r="N60" s="158">
        <v>0.10670000314712524</v>
      </c>
      <c r="O60" s="158">
        <v>0.10660000145435333</v>
      </c>
      <c r="P60" s="158">
        <v>0.10649999976158142</v>
      </c>
      <c r="Q60" s="158">
        <v>0.10649999976158142</v>
      </c>
      <c r="R60" s="158">
        <v>0.10639999806880951</v>
      </c>
      <c r="S60" s="158">
        <v>0.1062999963760376</v>
      </c>
      <c r="T60" s="158">
        <v>0.1062999963760376</v>
      </c>
      <c r="U60" s="158">
        <v>0.1062999963760376</v>
      </c>
      <c r="V60" s="158">
        <f t="shared" si="1"/>
        <v>0.10624999925494194</v>
      </c>
      <c r="W60" s="158">
        <v>0.10620000213384628</v>
      </c>
      <c r="X60" s="158">
        <v>0.10610000044107437</v>
      </c>
      <c r="Y60" s="158">
        <v>0.10610000044107437</v>
      </c>
      <c r="Z60" s="158">
        <v>0.10599999874830246</v>
      </c>
      <c r="AA60" s="158">
        <v>0.10589999705553055</v>
      </c>
      <c r="AB60" s="158">
        <v>0.10589999705553055</v>
      </c>
      <c r="AC60" s="158">
        <v>0.10599999874830246</v>
      </c>
      <c r="AD60" s="158">
        <v>0.10580000281333923</v>
      </c>
      <c r="AE60" s="158">
        <v>0.10580000281333923</v>
      </c>
      <c r="AF60" s="158">
        <v>0.10580000281333923</v>
      </c>
    </row>
    <row r="61" spans="1:32" x14ac:dyDescent="0.2">
      <c r="A61" s="158" t="s">
        <v>212</v>
      </c>
      <c r="B61" s="158">
        <v>0.10700000077486038</v>
      </c>
      <c r="C61" s="158">
        <v>0.10689999908208847</v>
      </c>
      <c r="D61" s="158">
        <v>0.10679999738931656</v>
      </c>
      <c r="E61" s="158">
        <v>0.10689999908208847</v>
      </c>
      <c r="F61" s="158">
        <v>0.10670000314712524</v>
      </c>
      <c r="G61" s="158">
        <v>0.10689999908208847</v>
      </c>
      <c r="H61" s="158">
        <v>0.10660000145435333</v>
      </c>
      <c r="I61" s="158">
        <v>0.10639999806880951</v>
      </c>
      <c r="J61" s="158">
        <v>0.10639999806880951</v>
      </c>
      <c r="K61" s="158">
        <v>0.1062999963760376</v>
      </c>
      <c r="L61" s="158">
        <v>0.1062999963760376</v>
      </c>
      <c r="M61" s="158">
        <v>0.1062999963760376</v>
      </c>
      <c r="N61" s="158">
        <v>0.10620000213384628</v>
      </c>
      <c r="O61" s="158">
        <v>0.10610000044107437</v>
      </c>
      <c r="P61" s="158">
        <v>0.10599999874830246</v>
      </c>
      <c r="Q61" s="158">
        <v>0.10599999874830246</v>
      </c>
      <c r="R61" s="158">
        <v>0.10599999874830246</v>
      </c>
      <c r="S61" s="158">
        <v>0.10580000281333923</v>
      </c>
      <c r="T61" s="158">
        <v>0.10580000281333923</v>
      </c>
      <c r="U61" s="158">
        <v>0.10580000281333923</v>
      </c>
      <c r="V61" s="158">
        <f t="shared" si="1"/>
        <v>0.10575000196695328</v>
      </c>
      <c r="W61" s="158">
        <v>0.10570000112056732</v>
      </c>
      <c r="X61" s="158">
        <v>0.10559999942779541</v>
      </c>
      <c r="Y61" s="158">
        <v>0.10559999942779541</v>
      </c>
      <c r="Z61" s="158">
        <v>0.10559999942779541</v>
      </c>
      <c r="AA61" s="158">
        <v>0.10540000349283218</v>
      </c>
      <c r="AB61" s="158">
        <v>0.10540000349283218</v>
      </c>
      <c r="AC61" s="158">
        <v>0.10540000349283218</v>
      </c>
      <c r="AD61" s="158">
        <v>0.10540000349283218</v>
      </c>
      <c r="AE61" s="158">
        <v>0.10530000180006027</v>
      </c>
      <c r="AF61" s="158">
        <v>0.10530000180006027</v>
      </c>
    </row>
    <row r="62" spans="1:32" x14ac:dyDescent="0.2">
      <c r="A62" s="158" t="s">
        <v>213</v>
      </c>
      <c r="B62" s="158">
        <v>0.10570000112056732</v>
      </c>
      <c r="C62" s="158">
        <v>0.1054999977350235</v>
      </c>
      <c r="D62" s="158">
        <v>0.1054999977350235</v>
      </c>
      <c r="E62" s="158">
        <v>0.1054999977350235</v>
      </c>
      <c r="F62" s="158">
        <v>0.10540000349283218</v>
      </c>
      <c r="G62" s="158">
        <v>0.10530000180006027</v>
      </c>
      <c r="H62" s="158">
        <v>0.10520000010728836</v>
      </c>
      <c r="I62" s="158">
        <v>0.10520000010728836</v>
      </c>
      <c r="J62" s="158">
        <v>0.10499999672174454</v>
      </c>
      <c r="K62" s="158">
        <v>0.10499999672174454</v>
      </c>
      <c r="L62" s="158">
        <v>0.10499999672174454</v>
      </c>
      <c r="M62" s="158">
        <v>0.10490000247955322</v>
      </c>
      <c r="N62" s="158">
        <v>0.10490000247955322</v>
      </c>
      <c r="O62" s="158">
        <v>0.10480000078678131</v>
      </c>
      <c r="P62" s="158">
        <v>0.10459999740123749</v>
      </c>
      <c r="Q62" s="158">
        <v>0.10459999740123749</v>
      </c>
      <c r="R62" s="158">
        <v>0.10459999740123749</v>
      </c>
      <c r="S62" s="158">
        <v>0.10440000146627426</v>
      </c>
      <c r="T62" s="158">
        <v>0.10450000315904617</v>
      </c>
      <c r="U62" s="158">
        <v>0.10450000315904617</v>
      </c>
      <c r="V62" s="158">
        <f t="shared" si="1"/>
        <v>0.10445000231266022</v>
      </c>
      <c r="W62" s="158">
        <v>0.10440000146627426</v>
      </c>
      <c r="X62" s="158">
        <v>0.10440000146627426</v>
      </c>
      <c r="Y62" s="158">
        <v>0.10429999977350235</v>
      </c>
      <c r="Z62" s="158">
        <v>0.10419999808073044</v>
      </c>
      <c r="AA62" s="158">
        <v>0.10419999808073044</v>
      </c>
      <c r="AB62" s="158">
        <v>0.10419999808073044</v>
      </c>
      <c r="AC62" s="158">
        <v>0.10440000146627426</v>
      </c>
      <c r="AD62" s="158">
        <v>0.10409999638795853</v>
      </c>
      <c r="AE62" s="158">
        <v>0.10400000214576721</v>
      </c>
      <c r="AF62" s="158">
        <v>0.10400000214576721</v>
      </c>
    </row>
    <row r="63" spans="1:32" x14ac:dyDescent="0.2">
      <c r="A63" s="158" t="s">
        <v>214</v>
      </c>
      <c r="B63" s="158">
        <v>0.10689999908208847</v>
      </c>
      <c r="C63" s="158">
        <v>0.10679999738931656</v>
      </c>
      <c r="D63" s="158">
        <v>0.10679999738931656</v>
      </c>
      <c r="E63" s="158">
        <v>0.10679999738931656</v>
      </c>
      <c r="F63" s="158">
        <v>0.10670000314712524</v>
      </c>
      <c r="G63" s="158">
        <v>0.10660000145435333</v>
      </c>
      <c r="H63" s="158">
        <v>0.10649999976158142</v>
      </c>
      <c r="I63" s="158">
        <v>0.1062999963760376</v>
      </c>
      <c r="J63" s="158">
        <v>0.1062999963760376</v>
      </c>
      <c r="K63" s="158">
        <v>0.10620000213384628</v>
      </c>
      <c r="L63" s="158">
        <v>0.1062999963760376</v>
      </c>
      <c r="M63" s="158">
        <v>0.10620000213384628</v>
      </c>
      <c r="N63" s="158">
        <v>0.10610000044107437</v>
      </c>
      <c r="O63" s="158">
        <v>0.10610000044107437</v>
      </c>
      <c r="P63" s="158">
        <v>0.10580000281333923</v>
      </c>
      <c r="Q63" s="158">
        <v>0.10589999705553055</v>
      </c>
      <c r="R63" s="158">
        <v>0.10580000281333923</v>
      </c>
      <c r="S63" s="158">
        <v>0.10570000112056732</v>
      </c>
      <c r="T63" s="158">
        <v>0.10570000112056732</v>
      </c>
      <c r="U63" s="158">
        <v>0.10570000112056732</v>
      </c>
      <c r="V63" s="158">
        <f t="shared" si="1"/>
        <v>0.10565000027418137</v>
      </c>
      <c r="W63" s="158">
        <v>0.10559999942779541</v>
      </c>
      <c r="X63" s="158">
        <v>0.1054999977350235</v>
      </c>
      <c r="Y63" s="158">
        <v>0.1054999977350235</v>
      </c>
      <c r="Z63" s="158">
        <v>0.10540000349283218</v>
      </c>
      <c r="AA63" s="158">
        <v>0.10540000349283218</v>
      </c>
      <c r="AB63" s="158">
        <v>0.10540000349283218</v>
      </c>
      <c r="AC63" s="158">
        <v>0.10540000349283218</v>
      </c>
      <c r="AD63" s="158">
        <v>0.10530000180006027</v>
      </c>
      <c r="AE63" s="158">
        <v>0.10520000010728836</v>
      </c>
      <c r="AF63" s="158">
        <v>0.10530000180006027</v>
      </c>
    </row>
    <row r="64" spans="1:32" x14ac:dyDescent="0.2">
      <c r="A64" s="158" t="s">
        <v>215</v>
      </c>
      <c r="B64" s="158">
        <v>0.10819999873638153</v>
      </c>
      <c r="C64" s="158">
        <v>0.10790000110864639</v>
      </c>
      <c r="D64" s="158">
        <v>0.10779999941587448</v>
      </c>
      <c r="E64" s="158">
        <v>0.1080000028014183</v>
      </c>
      <c r="F64" s="158">
        <v>0.10760000348091125</v>
      </c>
      <c r="G64" s="158">
        <v>0.10750000178813934</v>
      </c>
      <c r="H64" s="158">
        <v>0.10740000009536743</v>
      </c>
      <c r="I64" s="158">
        <v>0.10719999670982361</v>
      </c>
      <c r="J64" s="158">
        <v>0.10719999670982361</v>
      </c>
      <c r="K64" s="158">
        <v>0.10710000246763229</v>
      </c>
      <c r="L64" s="158">
        <v>0.10719999670982361</v>
      </c>
      <c r="M64" s="158">
        <v>0.10700000077486038</v>
      </c>
      <c r="N64" s="158">
        <v>0.10700000077486038</v>
      </c>
      <c r="O64" s="158">
        <v>0.10700000077486038</v>
      </c>
      <c r="P64" s="158">
        <v>0.10679999738931656</v>
      </c>
      <c r="Q64" s="158">
        <v>0.10679999738931656</v>
      </c>
      <c r="R64" s="158">
        <v>0.10670000314712524</v>
      </c>
      <c r="S64" s="158">
        <v>0.10660000145435333</v>
      </c>
      <c r="T64" s="158">
        <v>0.10660000145435333</v>
      </c>
      <c r="U64" s="158">
        <v>0.10660000145435333</v>
      </c>
      <c r="V64" s="158">
        <f t="shared" si="1"/>
        <v>0.10655000060796738</v>
      </c>
      <c r="W64" s="158">
        <v>0.10649999976158142</v>
      </c>
      <c r="X64" s="158">
        <v>0.10649999976158142</v>
      </c>
      <c r="Y64" s="158">
        <v>0.1062999963760376</v>
      </c>
      <c r="Z64" s="158">
        <v>0.1062999963760376</v>
      </c>
      <c r="AA64" s="158">
        <v>0.1062999963760376</v>
      </c>
      <c r="AB64" s="158">
        <v>0.1062999963760376</v>
      </c>
      <c r="AC64" s="158">
        <v>0.1062999963760376</v>
      </c>
      <c r="AD64" s="158">
        <v>0.10620000213384628</v>
      </c>
      <c r="AE64" s="158">
        <v>0.10610000044107437</v>
      </c>
      <c r="AF64" s="158">
        <v>0.10610000044107437</v>
      </c>
    </row>
    <row r="65" spans="1:32" x14ac:dyDescent="0.2">
      <c r="A65" s="158" t="s">
        <v>216</v>
      </c>
      <c r="B65" s="158">
        <v>0.10639999806880951</v>
      </c>
      <c r="C65" s="158">
        <v>0.10599999874830246</v>
      </c>
      <c r="D65" s="158">
        <v>0.10589999705553055</v>
      </c>
      <c r="E65" s="158">
        <v>0.10840000212192535</v>
      </c>
      <c r="F65" s="158">
        <v>0.10869999974966049</v>
      </c>
      <c r="G65" s="158">
        <v>0.10819999873638153</v>
      </c>
      <c r="H65" s="158">
        <v>0.10819999873638153</v>
      </c>
      <c r="I65" s="158">
        <v>0.1080000028014183</v>
      </c>
      <c r="J65" s="158">
        <v>0.10779999941587448</v>
      </c>
      <c r="K65" s="158">
        <v>0.1080000028014183</v>
      </c>
      <c r="L65" s="158">
        <v>0.10830000042915344</v>
      </c>
      <c r="M65" s="158">
        <v>0.1080000028014183</v>
      </c>
      <c r="N65" s="158">
        <v>0.10809999704360962</v>
      </c>
      <c r="O65" s="158">
        <v>0.10779999941587448</v>
      </c>
      <c r="P65" s="158">
        <v>0.10740000009536743</v>
      </c>
      <c r="Q65" s="158">
        <v>0.10760000348091125</v>
      </c>
      <c r="R65" s="158">
        <v>0.10760000348091125</v>
      </c>
      <c r="S65" s="158">
        <v>0.1080000028014183</v>
      </c>
      <c r="T65" s="158">
        <v>0.10750000178813934</v>
      </c>
      <c r="U65" s="158">
        <v>0.10750000178813934</v>
      </c>
      <c r="V65" s="158">
        <f t="shared" si="1"/>
        <v>0.1075500026345253</v>
      </c>
      <c r="W65" s="158">
        <v>0.10760000348091125</v>
      </c>
      <c r="X65" s="158">
        <v>0.10779999941587448</v>
      </c>
      <c r="Y65" s="158">
        <v>0.10740000009536743</v>
      </c>
      <c r="Z65" s="158">
        <v>0.10750000178813934</v>
      </c>
      <c r="AA65" s="158">
        <v>0.10920000076293945</v>
      </c>
      <c r="AB65" s="158">
        <v>0.10830000042915344</v>
      </c>
      <c r="AC65" s="158">
        <v>0.10909999907016754</v>
      </c>
      <c r="AD65" s="158">
        <v>0.10819999873638153</v>
      </c>
      <c r="AE65" s="158">
        <v>0.10740000009536743</v>
      </c>
      <c r="AF65" s="158">
        <v>0.10849999636411667</v>
      </c>
    </row>
    <row r="66" spans="1:32" x14ac:dyDescent="0.2">
      <c r="A66" s="158" t="s">
        <v>217</v>
      </c>
      <c r="B66" s="158">
        <v>0.10580000281333923</v>
      </c>
      <c r="C66" s="158">
        <v>0.10570000112056732</v>
      </c>
      <c r="D66" s="158">
        <v>0.10570000112056732</v>
      </c>
      <c r="E66" s="158">
        <v>0.10580000281333923</v>
      </c>
      <c r="F66" s="158">
        <v>0.1054999977350235</v>
      </c>
      <c r="G66" s="158">
        <v>0.10559999942779541</v>
      </c>
      <c r="H66" s="158">
        <v>0.10540000349283218</v>
      </c>
      <c r="I66" s="158">
        <v>0.10530000180006027</v>
      </c>
      <c r="J66" s="158">
        <v>0.10520000010728836</v>
      </c>
      <c r="K66" s="158">
        <v>0.10520000010728836</v>
      </c>
      <c r="L66" s="158">
        <v>0.10520000010728836</v>
      </c>
      <c r="M66" s="158">
        <v>0.10509999841451645</v>
      </c>
      <c r="N66" s="158">
        <v>0.10509999841451645</v>
      </c>
      <c r="O66" s="158">
        <v>0.10499999672174454</v>
      </c>
      <c r="P66" s="158">
        <v>0.10480000078678131</v>
      </c>
      <c r="Q66" s="158">
        <v>0.10480000078678131</v>
      </c>
      <c r="R66" s="158">
        <v>0.10480000078678131</v>
      </c>
      <c r="S66" s="158">
        <v>0.1046999990940094</v>
      </c>
      <c r="T66" s="158">
        <v>0.1046999990940094</v>
      </c>
      <c r="U66" s="158">
        <v>0.1046999990940094</v>
      </c>
      <c r="V66" s="158">
        <f t="shared" si="1"/>
        <v>0.10464999824762344</v>
      </c>
      <c r="W66" s="158">
        <v>0.10459999740123749</v>
      </c>
      <c r="X66" s="158">
        <v>0.10459999740123749</v>
      </c>
      <c r="Y66" s="158">
        <v>0.10450000315904617</v>
      </c>
      <c r="Z66" s="158">
        <v>0.10450000315904617</v>
      </c>
      <c r="AA66" s="158">
        <v>0.10429999977350235</v>
      </c>
      <c r="AB66" s="158">
        <v>0.10429999977350235</v>
      </c>
      <c r="AC66" s="158">
        <v>0.10429999977350235</v>
      </c>
      <c r="AD66" s="158">
        <v>0.10429999977350235</v>
      </c>
      <c r="AE66" s="158">
        <v>0.10419999808073044</v>
      </c>
      <c r="AF66" s="158">
        <v>0.10419999808073044</v>
      </c>
    </row>
    <row r="67" spans="1:32" x14ac:dyDescent="0.2">
      <c r="A67" s="158" t="s">
        <v>218</v>
      </c>
      <c r="B67" s="158">
        <v>0.10999999940395355</v>
      </c>
      <c r="C67" s="158">
        <v>0.10859999805688858</v>
      </c>
      <c r="D67" s="158">
        <v>0.1088000014424324</v>
      </c>
      <c r="E67" s="158">
        <v>0.10869999974966049</v>
      </c>
      <c r="F67" s="158">
        <v>0.10859999805688858</v>
      </c>
      <c r="G67" s="158">
        <v>0.10890000313520432</v>
      </c>
      <c r="H67" s="158">
        <v>0.10849999636411667</v>
      </c>
      <c r="I67" s="158">
        <v>0.10830000042915344</v>
      </c>
      <c r="J67" s="158">
        <v>0.10840000212192535</v>
      </c>
      <c r="K67" s="158">
        <v>0.10809999704360962</v>
      </c>
      <c r="L67" s="158">
        <v>0.10869999974966049</v>
      </c>
      <c r="M67" s="158">
        <v>0.10849999636411667</v>
      </c>
      <c r="N67" s="158">
        <v>0.10859999805688858</v>
      </c>
      <c r="O67" s="158">
        <v>0.10849999636411667</v>
      </c>
      <c r="P67" s="158">
        <v>0.1080000028014183</v>
      </c>
      <c r="Q67" s="158">
        <v>0.10769999772310257</v>
      </c>
      <c r="R67" s="158">
        <v>0.10769999772310257</v>
      </c>
      <c r="S67" s="158">
        <v>0.1080000028014183</v>
      </c>
      <c r="T67" s="158">
        <v>0.10769999772310257</v>
      </c>
      <c r="U67" s="158">
        <v>0.10809999704360962</v>
      </c>
      <c r="V67" s="158">
        <f t="shared" si="1"/>
        <v>0.10794999822974205</v>
      </c>
      <c r="W67" s="158">
        <v>0.10779999941587448</v>
      </c>
      <c r="X67" s="158">
        <v>0.10740000009536743</v>
      </c>
      <c r="Y67" s="158">
        <v>0.10750000178813934</v>
      </c>
      <c r="Z67" s="158">
        <v>0.10750000178813934</v>
      </c>
      <c r="AA67" s="158">
        <v>0.10620000213384628</v>
      </c>
      <c r="AB67" s="158">
        <v>0.10670000314712524</v>
      </c>
      <c r="AC67" s="158">
        <v>0.10620000213384628</v>
      </c>
      <c r="AD67" s="158">
        <v>0.10700000077486038</v>
      </c>
      <c r="AE67" s="158">
        <v>0.10679999738931656</v>
      </c>
      <c r="AF67" s="158">
        <v>0.10639999806880951</v>
      </c>
    </row>
    <row r="68" spans="1:32" x14ac:dyDescent="0.2">
      <c r="A68" s="158" t="s">
        <v>219</v>
      </c>
      <c r="B68" s="158">
        <v>0.10649999976158142</v>
      </c>
      <c r="C68" s="158">
        <v>0.10620000213384628</v>
      </c>
      <c r="D68" s="158">
        <v>0.10610000044107437</v>
      </c>
      <c r="E68" s="158">
        <v>0.10639999806880951</v>
      </c>
      <c r="F68" s="158">
        <v>0.10620000213384628</v>
      </c>
      <c r="G68" s="158">
        <v>0.10620000213384628</v>
      </c>
      <c r="H68" s="158">
        <v>0.10610000044107437</v>
      </c>
      <c r="I68" s="158">
        <v>0.10589999705553055</v>
      </c>
      <c r="J68" s="158">
        <v>0.10610000044107437</v>
      </c>
      <c r="K68" s="158">
        <v>0.10589999705553055</v>
      </c>
      <c r="L68" s="158">
        <v>0.10589999705553055</v>
      </c>
      <c r="M68" s="158">
        <v>0.10570000112056732</v>
      </c>
      <c r="N68" s="158">
        <v>0.10570000112056732</v>
      </c>
      <c r="O68" s="158">
        <v>0.10559999942779541</v>
      </c>
      <c r="P68" s="158">
        <v>0.10540000349283218</v>
      </c>
      <c r="Q68" s="158">
        <v>0.10540000349283218</v>
      </c>
      <c r="R68" s="158">
        <v>0.10540000349283218</v>
      </c>
      <c r="S68" s="158">
        <v>0.10530000180006027</v>
      </c>
      <c r="T68" s="158">
        <v>0.10530000180006027</v>
      </c>
      <c r="U68" s="158">
        <v>0.10530000180006027</v>
      </c>
      <c r="V68" s="158">
        <f t="shared" si="1"/>
        <v>0.10525000095367432</v>
      </c>
      <c r="W68" s="158">
        <v>0.10520000010728836</v>
      </c>
      <c r="X68" s="158">
        <v>0.10509999841451645</v>
      </c>
      <c r="Y68" s="158">
        <v>0.10499999672174454</v>
      </c>
      <c r="Z68" s="158">
        <v>0.10520000010728836</v>
      </c>
      <c r="AA68" s="158">
        <v>0.10490000247955322</v>
      </c>
      <c r="AB68" s="158">
        <v>0.10490000247955322</v>
      </c>
      <c r="AC68" s="158">
        <v>0.10490000247955322</v>
      </c>
      <c r="AD68" s="158">
        <v>0.10480000078678131</v>
      </c>
      <c r="AE68" s="158">
        <v>0.10499999672174454</v>
      </c>
      <c r="AF68" s="158">
        <v>0.10480000078678131</v>
      </c>
    </row>
    <row r="69" spans="1:32" x14ac:dyDescent="0.2">
      <c r="A69" s="158" t="s">
        <v>220</v>
      </c>
      <c r="B69" s="158">
        <v>0.10679999738931656</v>
      </c>
      <c r="C69" s="158">
        <v>0.10660000145435333</v>
      </c>
      <c r="D69" s="158">
        <v>0.10649999976158142</v>
      </c>
      <c r="E69" s="158">
        <v>0.10649999976158142</v>
      </c>
      <c r="F69" s="158">
        <v>0.1062999963760376</v>
      </c>
      <c r="G69" s="158">
        <v>0.10620000213384628</v>
      </c>
      <c r="H69" s="158">
        <v>0.10610000044107437</v>
      </c>
      <c r="I69" s="158">
        <v>0.10599999874830246</v>
      </c>
      <c r="J69" s="158">
        <v>0.10589999705553055</v>
      </c>
      <c r="K69" s="158">
        <v>0.10589999705553055</v>
      </c>
      <c r="L69" s="158">
        <v>0.10589999705553055</v>
      </c>
      <c r="M69" s="158">
        <v>0.10580000281333923</v>
      </c>
      <c r="N69" s="158">
        <v>0.10570000112056732</v>
      </c>
      <c r="O69" s="158">
        <v>0.10559999942779541</v>
      </c>
      <c r="P69" s="158">
        <v>0.10540000349283218</v>
      </c>
      <c r="Q69" s="158">
        <v>0.10540000349283218</v>
      </c>
      <c r="R69" s="158">
        <v>0.10530000180006027</v>
      </c>
      <c r="S69" s="158">
        <v>0.10520000010728836</v>
      </c>
      <c r="T69" s="158">
        <v>0.10520000010728836</v>
      </c>
      <c r="U69" s="158">
        <v>0.10520000010728836</v>
      </c>
      <c r="V69" s="158">
        <f t="shared" si="1"/>
        <v>0.10509999841451645</v>
      </c>
      <c r="W69" s="158">
        <v>0.10499999672174454</v>
      </c>
      <c r="X69" s="158">
        <v>0.10499999672174454</v>
      </c>
      <c r="Y69" s="158">
        <v>0.10480000078678131</v>
      </c>
      <c r="Z69" s="158">
        <v>0.10480000078678131</v>
      </c>
      <c r="AA69" s="158">
        <v>0.10459999740123749</v>
      </c>
      <c r="AB69" s="158">
        <v>0.10459999740123749</v>
      </c>
      <c r="AC69" s="158">
        <v>0.10459999740123749</v>
      </c>
      <c r="AD69" s="158">
        <v>0.10450000315904617</v>
      </c>
      <c r="AE69" s="158">
        <v>0.10440000146627426</v>
      </c>
      <c r="AF69" s="158">
        <v>0.10440000146627426</v>
      </c>
    </row>
    <row r="70" spans="1:32" x14ac:dyDescent="0.2">
      <c r="A70" s="158" t="s">
        <v>221</v>
      </c>
      <c r="B70" s="158">
        <v>0.10620000213384628</v>
      </c>
      <c r="C70" s="158">
        <v>0.10610000044107437</v>
      </c>
      <c r="D70" s="158">
        <v>0.10599999874830246</v>
      </c>
      <c r="E70" s="158">
        <v>0.10610000044107437</v>
      </c>
      <c r="F70" s="158">
        <v>0.10589999705553055</v>
      </c>
      <c r="G70" s="158">
        <v>0.10599999874830246</v>
      </c>
      <c r="H70" s="158">
        <v>0.10589999705553055</v>
      </c>
      <c r="I70" s="158">
        <v>0.10580000281333923</v>
      </c>
      <c r="J70" s="158">
        <v>0.10570000112056732</v>
      </c>
      <c r="K70" s="158">
        <v>0.10570000112056732</v>
      </c>
      <c r="L70" s="158">
        <v>0.10580000281333923</v>
      </c>
      <c r="M70" s="158">
        <v>0.10570000112056732</v>
      </c>
      <c r="N70" s="158">
        <v>0.10559999942779541</v>
      </c>
      <c r="O70" s="158">
        <v>0.10540000349283218</v>
      </c>
      <c r="P70" s="158">
        <v>0.10530000180006027</v>
      </c>
      <c r="Q70" s="158">
        <v>0.10530000180006027</v>
      </c>
      <c r="R70" s="158">
        <v>0.10520000010728836</v>
      </c>
      <c r="S70" s="158">
        <v>0.10530000180006027</v>
      </c>
      <c r="T70" s="158">
        <v>0.10530000180006027</v>
      </c>
      <c r="U70" s="158">
        <v>0.10540000349283218</v>
      </c>
      <c r="V70" s="158">
        <f t="shared" si="1"/>
        <v>0.10530000180006027</v>
      </c>
      <c r="W70" s="158">
        <v>0.10520000010728836</v>
      </c>
      <c r="X70" s="158">
        <v>0.10520000010728836</v>
      </c>
      <c r="Y70" s="158">
        <v>0.10499999672174454</v>
      </c>
      <c r="Z70" s="158">
        <v>0.10490000247955322</v>
      </c>
      <c r="AA70" s="158">
        <v>0.10490000247955322</v>
      </c>
      <c r="AB70" s="158">
        <v>0.10480000078678131</v>
      </c>
      <c r="AC70" s="158">
        <v>0.1046999990940094</v>
      </c>
      <c r="AD70" s="158">
        <v>0.10480000078678131</v>
      </c>
      <c r="AE70" s="158">
        <v>0.1046999990940094</v>
      </c>
      <c r="AF70" s="158">
        <v>0.10480000078678131</v>
      </c>
    </row>
    <row r="71" spans="1:32" x14ac:dyDescent="0.2">
      <c r="A71" s="158" t="s">
        <v>222</v>
      </c>
      <c r="B71" s="158">
        <v>0.10649999976158142</v>
      </c>
      <c r="C71" s="158">
        <v>0.10610000044107437</v>
      </c>
      <c r="D71" s="158">
        <v>0.10599999874830246</v>
      </c>
      <c r="E71" s="158">
        <v>0.10610000044107437</v>
      </c>
      <c r="F71" s="158">
        <v>0.10589999705553055</v>
      </c>
      <c r="G71" s="158">
        <v>0.10580000281333923</v>
      </c>
      <c r="H71" s="158">
        <v>0.10570000112056732</v>
      </c>
      <c r="I71" s="158">
        <v>0.10559999942779541</v>
      </c>
      <c r="J71" s="158">
        <v>0.1054999977350235</v>
      </c>
      <c r="K71" s="158">
        <v>0.1054999977350235</v>
      </c>
      <c r="L71" s="158">
        <v>0.1054999977350235</v>
      </c>
      <c r="M71" s="158">
        <v>0.10540000349283218</v>
      </c>
      <c r="N71" s="158">
        <v>0.10540000349283218</v>
      </c>
      <c r="O71" s="158">
        <v>0.10530000180006027</v>
      </c>
      <c r="P71" s="158">
        <v>0.10499999672174454</v>
      </c>
      <c r="Q71" s="158">
        <v>0.10499999672174454</v>
      </c>
      <c r="R71" s="158">
        <v>0.10499999672174454</v>
      </c>
      <c r="S71" s="158">
        <v>0.10490000247955322</v>
      </c>
      <c r="T71" s="158">
        <v>0.10490000247955322</v>
      </c>
      <c r="U71" s="158">
        <v>0.10490000247955322</v>
      </c>
      <c r="V71" s="158">
        <f t="shared" si="1"/>
        <v>0.10485000163316727</v>
      </c>
      <c r="W71" s="158">
        <v>0.10480000078678131</v>
      </c>
      <c r="X71" s="158">
        <v>0.10480000078678131</v>
      </c>
      <c r="Y71" s="158">
        <v>0.1046999990940094</v>
      </c>
      <c r="Z71" s="158">
        <v>0.10450000315904617</v>
      </c>
      <c r="AA71" s="158">
        <v>0.10450000315904617</v>
      </c>
      <c r="AB71" s="158">
        <v>0.10450000315904617</v>
      </c>
      <c r="AC71" s="158">
        <v>0.10440000146627426</v>
      </c>
      <c r="AD71" s="158">
        <v>0.10440000146627426</v>
      </c>
      <c r="AE71" s="158">
        <v>0.10440000146627426</v>
      </c>
      <c r="AF71" s="158">
        <v>0.10429999977350235</v>
      </c>
    </row>
    <row r="72" spans="1:32" x14ac:dyDescent="0.2">
      <c r="A72" s="158" t="s">
        <v>223</v>
      </c>
      <c r="B72" s="158">
        <v>0.10710000246763229</v>
      </c>
      <c r="C72" s="158">
        <v>0.10689999908208847</v>
      </c>
      <c r="D72" s="158">
        <v>0.10679999738931656</v>
      </c>
      <c r="E72" s="158">
        <v>0.10679999738931656</v>
      </c>
      <c r="F72" s="158">
        <v>0.10689999908208847</v>
      </c>
      <c r="G72" s="158">
        <v>0.10670000314712524</v>
      </c>
      <c r="H72" s="158">
        <v>0.10670000314712524</v>
      </c>
      <c r="I72" s="158">
        <v>0.10649999976158142</v>
      </c>
      <c r="J72" s="158">
        <v>0.10649999976158142</v>
      </c>
      <c r="K72" s="158">
        <v>0.10639999806880951</v>
      </c>
      <c r="L72" s="158">
        <v>0.10649999976158142</v>
      </c>
      <c r="M72" s="158">
        <v>0.10639999806880951</v>
      </c>
      <c r="N72" s="158">
        <v>0.1062999963760376</v>
      </c>
      <c r="O72" s="158">
        <v>0.10620000213384628</v>
      </c>
      <c r="P72" s="158">
        <v>0.10610000044107437</v>
      </c>
      <c r="Q72" s="158">
        <v>0.10599999874830246</v>
      </c>
      <c r="R72" s="158">
        <v>0.10599999874830246</v>
      </c>
      <c r="S72" s="158">
        <v>0.10610000044107437</v>
      </c>
      <c r="T72" s="158">
        <v>0.10610000044107437</v>
      </c>
      <c r="U72" s="158">
        <v>0.10610000044107437</v>
      </c>
      <c r="V72" s="158">
        <f t="shared" si="1"/>
        <v>0.10610000044107437</v>
      </c>
      <c r="W72" s="158">
        <v>0.10610000044107437</v>
      </c>
      <c r="X72" s="158">
        <v>0.10599999874830246</v>
      </c>
      <c r="Y72" s="158">
        <v>0.10589999705553055</v>
      </c>
      <c r="Z72" s="158">
        <v>0.10580000281333923</v>
      </c>
      <c r="AA72" s="158">
        <v>0.10589999705553055</v>
      </c>
      <c r="AB72" s="158">
        <v>0.10559999942779541</v>
      </c>
      <c r="AC72" s="158">
        <v>0.10559999942779541</v>
      </c>
      <c r="AD72" s="158">
        <v>0.10559999942779541</v>
      </c>
      <c r="AE72" s="158">
        <v>0.10559999942779541</v>
      </c>
      <c r="AF72" s="158">
        <v>0.10589999705553055</v>
      </c>
    </row>
    <row r="73" spans="1:32" x14ac:dyDescent="0.2">
      <c r="A73" s="158" t="s">
        <v>224</v>
      </c>
      <c r="B73" s="158">
        <v>0.10710000246763229</v>
      </c>
      <c r="C73" s="158">
        <v>0.10679999738931656</v>
      </c>
      <c r="D73" s="158">
        <v>0.10670000314712524</v>
      </c>
      <c r="E73" s="158">
        <v>0.10670000314712524</v>
      </c>
      <c r="F73" s="158">
        <v>0.10660000145435333</v>
      </c>
      <c r="G73" s="158">
        <v>0.10660000145435333</v>
      </c>
      <c r="H73" s="158">
        <v>0.10639999806880951</v>
      </c>
      <c r="I73" s="158">
        <v>0.1062999963760376</v>
      </c>
      <c r="J73" s="158">
        <v>0.10620000213384628</v>
      </c>
      <c r="K73" s="158">
        <v>0.10620000213384628</v>
      </c>
      <c r="L73" s="158">
        <v>0.10620000213384628</v>
      </c>
      <c r="M73" s="158">
        <v>0.10599999874830246</v>
      </c>
      <c r="N73" s="158">
        <v>0.10589999705553055</v>
      </c>
      <c r="O73" s="158">
        <v>0.10570000112056732</v>
      </c>
      <c r="P73" s="158">
        <v>0.1054999977350235</v>
      </c>
      <c r="Q73" s="158">
        <v>0.1054999977350235</v>
      </c>
      <c r="R73" s="158">
        <v>0.1054999977350235</v>
      </c>
      <c r="S73" s="158">
        <v>0.1054999977350235</v>
      </c>
      <c r="T73" s="158">
        <v>0.10559999942779541</v>
      </c>
      <c r="U73" s="158">
        <v>0.10570000112056732</v>
      </c>
      <c r="V73" s="158">
        <f t="shared" si="1"/>
        <v>0.10559999942779541</v>
      </c>
      <c r="W73" s="158">
        <v>0.1054999977350235</v>
      </c>
      <c r="X73" s="158">
        <v>0.10540000349283218</v>
      </c>
      <c r="Y73" s="158">
        <v>0.10520000010728836</v>
      </c>
      <c r="Z73" s="158">
        <v>0.10509999841451645</v>
      </c>
      <c r="AA73" s="158">
        <v>0.10490000247955322</v>
      </c>
      <c r="AB73" s="158">
        <v>0.10480000078678131</v>
      </c>
      <c r="AC73" s="158">
        <v>0.10480000078678131</v>
      </c>
      <c r="AD73" s="158">
        <v>0.10480000078678131</v>
      </c>
      <c r="AE73" s="158">
        <v>0.1046999990940094</v>
      </c>
      <c r="AF73" s="158">
        <v>0.10490000247955322</v>
      </c>
    </row>
    <row r="74" spans="1:32" x14ac:dyDescent="0.2">
      <c r="A74" s="158" t="s">
        <v>225</v>
      </c>
      <c r="B74" s="158">
        <v>0.10719999670982361</v>
      </c>
      <c r="C74" s="158">
        <v>0.10719999670982361</v>
      </c>
      <c r="D74" s="158">
        <v>0.10719999670982361</v>
      </c>
      <c r="E74" s="158">
        <v>0.10729999840259552</v>
      </c>
      <c r="F74" s="158">
        <v>0.10729999840259552</v>
      </c>
      <c r="G74" s="158">
        <v>0.10740000009536743</v>
      </c>
      <c r="H74" s="158">
        <v>0.10729999840259552</v>
      </c>
      <c r="I74" s="158">
        <v>0.10729999840259552</v>
      </c>
      <c r="J74" s="158">
        <v>0.10719999670982361</v>
      </c>
      <c r="K74" s="158">
        <v>0.10719999670982361</v>
      </c>
      <c r="L74" s="158">
        <v>0.10719999670982361</v>
      </c>
      <c r="M74" s="158">
        <v>0.10729999840259552</v>
      </c>
      <c r="N74" s="158">
        <v>0.10689999908208847</v>
      </c>
      <c r="O74" s="158">
        <v>0.10679999738931656</v>
      </c>
      <c r="P74" s="158">
        <v>0.10660000145435333</v>
      </c>
      <c r="Q74" s="158">
        <v>0.10660000145435333</v>
      </c>
      <c r="R74" s="158">
        <v>0.10660000145435333</v>
      </c>
      <c r="S74" s="158">
        <v>0.10670000314712524</v>
      </c>
      <c r="T74" s="158">
        <v>0.10679999738931656</v>
      </c>
      <c r="U74" s="158">
        <v>0.10689999908208847</v>
      </c>
      <c r="V74" s="158">
        <f t="shared" si="1"/>
        <v>0.10684999823570251</v>
      </c>
      <c r="W74" s="158">
        <v>0.10679999738931656</v>
      </c>
      <c r="X74" s="158">
        <v>0.10679999738931656</v>
      </c>
      <c r="Y74" s="158">
        <v>0.10649999976158142</v>
      </c>
      <c r="Z74" s="158">
        <v>0.1062999963760376</v>
      </c>
      <c r="AA74" s="158">
        <v>0.10620000213384628</v>
      </c>
      <c r="AB74" s="158">
        <v>0.10610000044107437</v>
      </c>
      <c r="AC74" s="158">
        <v>0.10610000044107437</v>
      </c>
      <c r="AD74" s="158">
        <v>0.10610000044107437</v>
      </c>
      <c r="AE74" s="158">
        <v>0.10610000044107437</v>
      </c>
      <c r="AF74" s="158">
        <v>0.10620000213384628</v>
      </c>
    </row>
    <row r="75" spans="1:32" x14ac:dyDescent="0.2">
      <c r="A75" s="158" t="s">
        <v>226</v>
      </c>
      <c r="B75" s="158">
        <v>0.10740000009536743</v>
      </c>
      <c r="C75" s="158">
        <v>0.10710000246763229</v>
      </c>
      <c r="D75" s="158">
        <v>0.10710000246763229</v>
      </c>
      <c r="E75" s="158">
        <v>0.10700000077486038</v>
      </c>
      <c r="F75" s="158">
        <v>0.10689999908208847</v>
      </c>
      <c r="G75" s="158">
        <v>0.10719999670982361</v>
      </c>
      <c r="H75" s="158">
        <v>0.10679999738931656</v>
      </c>
      <c r="I75" s="158">
        <v>0.10670000314712524</v>
      </c>
      <c r="J75" s="158">
        <v>0.10670000314712524</v>
      </c>
      <c r="K75" s="158">
        <v>0.10670000314712524</v>
      </c>
      <c r="L75" s="158">
        <v>0.10670000314712524</v>
      </c>
      <c r="M75" s="158">
        <v>0.10649999976158142</v>
      </c>
      <c r="N75" s="158">
        <v>0.10639999806880951</v>
      </c>
      <c r="O75" s="158">
        <v>0.10620000213384628</v>
      </c>
      <c r="P75" s="158">
        <v>0.10599999874830246</v>
      </c>
      <c r="Q75" s="158">
        <v>0.10599999874830246</v>
      </c>
      <c r="R75" s="158">
        <v>0.10599999874830246</v>
      </c>
      <c r="S75" s="158">
        <v>0.10599999874830246</v>
      </c>
      <c r="T75" s="158">
        <v>0.10610000044107437</v>
      </c>
      <c r="U75" s="158">
        <v>0.10620000213384628</v>
      </c>
      <c r="V75" s="158">
        <f t="shared" si="1"/>
        <v>0.10615000128746033</v>
      </c>
      <c r="W75" s="158">
        <v>0.10610000044107437</v>
      </c>
      <c r="X75" s="158">
        <v>0.10599999874830246</v>
      </c>
      <c r="Y75" s="158">
        <v>0.10570000112056732</v>
      </c>
      <c r="Z75" s="158">
        <v>0.1054999977350235</v>
      </c>
      <c r="AA75" s="158">
        <v>0.10540000349283218</v>
      </c>
      <c r="AB75" s="158">
        <v>0.10540000349283218</v>
      </c>
      <c r="AC75" s="158">
        <v>0.10530000180006027</v>
      </c>
      <c r="AD75" s="158">
        <v>0.10540000349283218</v>
      </c>
      <c r="AE75" s="158">
        <v>0.10530000180006027</v>
      </c>
      <c r="AF75" s="158">
        <v>0.1054999977350235</v>
      </c>
    </row>
    <row r="76" spans="1:32" x14ac:dyDescent="0.2">
      <c r="A76" s="158" t="s">
        <v>227</v>
      </c>
      <c r="B76" s="158">
        <v>0.10859999805688858</v>
      </c>
      <c r="C76" s="158">
        <v>0.10819999873638153</v>
      </c>
      <c r="D76" s="158">
        <v>0.10809999704360962</v>
      </c>
      <c r="E76" s="158">
        <v>0.10819999873638153</v>
      </c>
      <c r="F76" s="158">
        <v>0.10809999704360962</v>
      </c>
      <c r="G76" s="158">
        <v>0.10819999873638153</v>
      </c>
      <c r="H76" s="158">
        <v>0.10809999704360962</v>
      </c>
      <c r="I76" s="158">
        <v>0.1080000028014183</v>
      </c>
      <c r="J76" s="158">
        <v>0.1080000028014183</v>
      </c>
      <c r="K76" s="158">
        <v>0.1080000028014183</v>
      </c>
      <c r="L76" s="158">
        <v>0.1080000028014183</v>
      </c>
      <c r="M76" s="158">
        <v>0.10779999941587448</v>
      </c>
      <c r="N76" s="158">
        <v>0.10769999772310257</v>
      </c>
      <c r="O76" s="158">
        <v>0.10750000178813934</v>
      </c>
      <c r="P76" s="158">
        <v>0.10729999840259552</v>
      </c>
      <c r="Q76" s="158">
        <v>0.10760000348091125</v>
      </c>
      <c r="R76" s="158">
        <v>0.10729999840259552</v>
      </c>
      <c r="S76" s="158">
        <v>0.10760000348091125</v>
      </c>
      <c r="T76" s="158">
        <v>0.10760000348091125</v>
      </c>
      <c r="U76" s="158">
        <v>0.10769999772310257</v>
      </c>
      <c r="V76" s="158">
        <f t="shared" si="1"/>
        <v>0.10799999907612801</v>
      </c>
      <c r="W76" s="158">
        <v>0.10830000042915344</v>
      </c>
      <c r="X76" s="158">
        <v>0.10819999873638153</v>
      </c>
      <c r="Y76" s="158">
        <v>0.10939999669790268</v>
      </c>
      <c r="Z76" s="158">
        <v>0.10899999737739563</v>
      </c>
      <c r="AA76" s="158">
        <v>0.10920000076293945</v>
      </c>
      <c r="AB76" s="158">
        <v>0.10930000245571136</v>
      </c>
      <c r="AC76" s="158">
        <v>0.10890000313520432</v>
      </c>
      <c r="AD76" s="158">
        <v>0.10890000313520432</v>
      </c>
      <c r="AE76" s="158">
        <v>0.1088000014424324</v>
      </c>
      <c r="AF76" s="158">
        <v>0.10830000042915344</v>
      </c>
    </row>
    <row r="77" spans="1:32" x14ac:dyDescent="0.2">
      <c r="A77" s="158" t="s">
        <v>228</v>
      </c>
      <c r="B77" s="158">
        <v>0.10719999670982361</v>
      </c>
      <c r="C77" s="158">
        <v>0.10660000145435333</v>
      </c>
      <c r="D77" s="158">
        <v>0.10660000145435333</v>
      </c>
      <c r="E77" s="158">
        <v>0.10660000145435333</v>
      </c>
      <c r="F77" s="158">
        <v>0.10639999806880951</v>
      </c>
      <c r="G77" s="158">
        <v>0.10649999976158142</v>
      </c>
      <c r="H77" s="158">
        <v>0.10660000145435333</v>
      </c>
      <c r="I77" s="158">
        <v>0.10620000213384628</v>
      </c>
      <c r="J77" s="158">
        <v>0.10620000213384628</v>
      </c>
      <c r="K77" s="158">
        <v>0.10620000213384628</v>
      </c>
      <c r="L77" s="158">
        <v>0.10610000044107437</v>
      </c>
      <c r="M77" s="158">
        <v>0.10589999705553055</v>
      </c>
      <c r="N77" s="158">
        <v>0.10580000281333923</v>
      </c>
      <c r="O77" s="158">
        <v>0.1054999977350235</v>
      </c>
      <c r="P77" s="158">
        <v>0.10530000180006027</v>
      </c>
      <c r="Q77" s="158">
        <v>0.10530000180006027</v>
      </c>
      <c r="R77" s="158">
        <v>0.10530000180006027</v>
      </c>
      <c r="S77" s="158">
        <v>0.10540000349283218</v>
      </c>
      <c r="T77" s="158">
        <v>0.10570000112056732</v>
      </c>
      <c r="U77" s="158">
        <v>0.10570000112056732</v>
      </c>
      <c r="V77" s="158">
        <f t="shared" si="1"/>
        <v>0.10610000044107437</v>
      </c>
      <c r="W77" s="158">
        <v>0.10649999976158142</v>
      </c>
      <c r="X77" s="158">
        <v>0.10639999806880951</v>
      </c>
      <c r="Y77" s="158">
        <v>0.10620000213384628</v>
      </c>
      <c r="Z77" s="158">
        <v>0.10580000281333923</v>
      </c>
      <c r="AA77" s="158">
        <v>0.10570000112056732</v>
      </c>
      <c r="AB77" s="158">
        <v>0.10559999942779541</v>
      </c>
      <c r="AC77" s="158">
        <v>0.10540000349283218</v>
      </c>
      <c r="AD77" s="158">
        <v>0.1054999977350235</v>
      </c>
      <c r="AE77" s="158">
        <v>0.1054999977350235</v>
      </c>
      <c r="AF77" s="158">
        <v>0.10580000281333923</v>
      </c>
    </row>
    <row r="78" spans="1:32" x14ac:dyDescent="0.2">
      <c r="A78" s="158" t="s">
        <v>229</v>
      </c>
      <c r="B78" s="158">
        <v>0.10790000110864639</v>
      </c>
      <c r="C78" s="158">
        <v>0.10760000348091125</v>
      </c>
      <c r="D78" s="158">
        <v>0.10750000178813934</v>
      </c>
      <c r="E78" s="158">
        <v>0.10750000178813934</v>
      </c>
      <c r="F78" s="158">
        <v>0.10750000178813934</v>
      </c>
      <c r="G78" s="158">
        <v>0.10760000348091125</v>
      </c>
      <c r="H78" s="158">
        <v>0.10750000178813934</v>
      </c>
      <c r="I78" s="158">
        <v>0.10750000178813934</v>
      </c>
      <c r="J78" s="158">
        <v>0.10740000009536743</v>
      </c>
      <c r="K78" s="158">
        <v>0.10740000009536743</v>
      </c>
      <c r="L78" s="158">
        <v>0.10740000009536743</v>
      </c>
      <c r="M78" s="158">
        <v>0.10719999670982361</v>
      </c>
      <c r="N78" s="158">
        <v>0.10700000077486038</v>
      </c>
      <c r="O78" s="158">
        <v>0.10670000314712524</v>
      </c>
      <c r="P78" s="158">
        <v>0.10679999738931656</v>
      </c>
      <c r="Q78" s="158">
        <v>0.10649999976158142</v>
      </c>
      <c r="R78" s="158">
        <v>0.10660000145435333</v>
      </c>
      <c r="S78" s="158">
        <v>0.10679999738931656</v>
      </c>
      <c r="T78" s="158">
        <v>0.10700000077486038</v>
      </c>
      <c r="U78" s="158">
        <v>0.10710000246763229</v>
      </c>
      <c r="V78" s="158">
        <f t="shared" si="1"/>
        <v>0.10710000246763229</v>
      </c>
      <c r="W78" s="158">
        <v>0.10710000246763229</v>
      </c>
      <c r="X78" s="158">
        <v>0.10679999738931656</v>
      </c>
      <c r="Y78" s="158">
        <v>0.10660000145435333</v>
      </c>
      <c r="Z78" s="158">
        <v>0.1062999963760376</v>
      </c>
      <c r="AA78" s="158">
        <v>0.10620000213384628</v>
      </c>
      <c r="AB78" s="158">
        <v>0.10599999874830246</v>
      </c>
      <c r="AC78" s="158">
        <v>0.10589999705553055</v>
      </c>
      <c r="AD78" s="158">
        <v>0.10599999874830246</v>
      </c>
      <c r="AE78" s="158">
        <v>0.10599999874830246</v>
      </c>
      <c r="AF78" s="158">
        <v>0.10610000044107437</v>
      </c>
    </row>
    <row r="79" spans="1:32" x14ac:dyDescent="0.2">
      <c r="A79" s="158" t="s">
        <v>230</v>
      </c>
      <c r="B79" s="158">
        <v>0.10639999806880951</v>
      </c>
      <c r="C79" s="158">
        <v>0.10589999705553055</v>
      </c>
      <c r="D79" s="158">
        <v>0.10570000112056732</v>
      </c>
      <c r="E79" s="158">
        <v>0.10570000112056732</v>
      </c>
      <c r="F79" s="158">
        <v>0.1054999977350235</v>
      </c>
      <c r="G79" s="158">
        <v>0.10559999942779541</v>
      </c>
      <c r="H79" s="158">
        <v>0.10540000349283218</v>
      </c>
      <c r="I79" s="158">
        <v>0.10530000180006027</v>
      </c>
      <c r="J79" s="158">
        <v>0.10509999841451645</v>
      </c>
      <c r="K79" s="158">
        <v>0.10520000010728836</v>
      </c>
      <c r="L79" s="158">
        <v>0.10520000010728836</v>
      </c>
      <c r="M79" s="158">
        <v>0.10499999672174454</v>
      </c>
      <c r="N79" s="158">
        <v>0.10480000078678131</v>
      </c>
      <c r="O79" s="158">
        <v>0.10450000315904617</v>
      </c>
      <c r="P79" s="158">
        <v>0.10429999977350235</v>
      </c>
      <c r="Q79" s="158">
        <v>0.10429999977350235</v>
      </c>
      <c r="R79" s="158">
        <v>0.10429999977350235</v>
      </c>
      <c r="S79" s="158">
        <v>0.10440000146627426</v>
      </c>
      <c r="T79" s="158">
        <v>0.10459999740123749</v>
      </c>
      <c r="U79" s="158">
        <v>0.1046999990940094</v>
      </c>
      <c r="V79" s="158">
        <f t="shared" si="1"/>
        <v>0.10520000010728836</v>
      </c>
      <c r="W79" s="158">
        <v>0.10570000112056732</v>
      </c>
      <c r="X79" s="158">
        <v>0.10540000349283218</v>
      </c>
      <c r="Y79" s="158">
        <v>0.10509999841451645</v>
      </c>
      <c r="Z79" s="158">
        <v>0.10499999672174454</v>
      </c>
      <c r="AA79" s="158">
        <v>0.10480000078678131</v>
      </c>
      <c r="AB79" s="158">
        <v>0.1046999990940094</v>
      </c>
      <c r="AC79" s="158">
        <v>0.10459999740123749</v>
      </c>
      <c r="AD79" s="158">
        <v>0.10459999740123749</v>
      </c>
      <c r="AE79" s="158">
        <v>0.1046999990940094</v>
      </c>
      <c r="AF79" s="158">
        <v>0.10400000214576721</v>
      </c>
    </row>
    <row r="80" spans="1:32" x14ac:dyDescent="0.2">
      <c r="A80" s="158" t="s">
        <v>231</v>
      </c>
      <c r="B80" s="158">
        <v>0.10719999670982361</v>
      </c>
      <c r="C80" s="158">
        <v>0.10679999738931656</v>
      </c>
      <c r="D80" s="158">
        <v>0.10670000314712524</v>
      </c>
      <c r="E80" s="158">
        <v>0.10660000145435333</v>
      </c>
      <c r="F80" s="158">
        <v>0.10660000145435333</v>
      </c>
      <c r="G80" s="158">
        <v>0.10679999738931656</v>
      </c>
      <c r="H80" s="158">
        <v>0.10670000314712524</v>
      </c>
      <c r="I80" s="158">
        <v>0.10670000314712524</v>
      </c>
      <c r="J80" s="158">
        <v>0.10660000145435333</v>
      </c>
      <c r="K80" s="158">
        <v>0.10679999738931656</v>
      </c>
      <c r="L80" s="158">
        <v>0.10660000145435333</v>
      </c>
      <c r="M80" s="158">
        <v>0.10639999806880951</v>
      </c>
      <c r="N80" s="158">
        <v>0.10620000213384628</v>
      </c>
      <c r="O80" s="158">
        <v>0.10599999874830246</v>
      </c>
      <c r="P80" s="158">
        <v>0.10580000281333923</v>
      </c>
      <c r="Q80" s="158">
        <v>0.10580000281333923</v>
      </c>
      <c r="R80" s="158">
        <v>0.10580000281333923</v>
      </c>
      <c r="S80" s="158">
        <v>0.10599999874830246</v>
      </c>
      <c r="T80" s="158">
        <v>0.10620000213384628</v>
      </c>
      <c r="U80" s="158">
        <v>0.1062999963760376</v>
      </c>
      <c r="V80" s="158">
        <f t="shared" si="1"/>
        <v>0.1062999963760376</v>
      </c>
      <c r="W80" s="158">
        <v>0.1062999963760376</v>
      </c>
      <c r="X80" s="158">
        <v>0.10610000044107437</v>
      </c>
      <c r="Y80" s="158">
        <v>0.10580000281333923</v>
      </c>
      <c r="Z80" s="158">
        <v>0.10559999942779541</v>
      </c>
      <c r="AA80" s="158">
        <v>0.10540000349283218</v>
      </c>
      <c r="AB80" s="158">
        <v>0.10530000180006027</v>
      </c>
      <c r="AC80" s="158">
        <v>0.10520000010728836</v>
      </c>
      <c r="AD80" s="158">
        <v>0.10520000010728836</v>
      </c>
      <c r="AE80" s="158">
        <v>0.10530000180006027</v>
      </c>
      <c r="AF80" s="158">
        <v>0.10530000180006027</v>
      </c>
    </row>
    <row r="81" spans="1:32" x14ac:dyDescent="0.2">
      <c r="A81" s="158" t="s">
        <v>232</v>
      </c>
      <c r="B81" s="158">
        <v>0.10719999670982361</v>
      </c>
      <c r="C81" s="158">
        <v>0.10660000145435333</v>
      </c>
      <c r="D81" s="158">
        <v>0.1062999963760376</v>
      </c>
      <c r="E81" s="158">
        <v>0.1062999963760376</v>
      </c>
      <c r="F81" s="158">
        <v>0.10620000213384628</v>
      </c>
      <c r="G81" s="158">
        <v>0.1062999963760376</v>
      </c>
      <c r="H81" s="158">
        <v>0.10620000213384628</v>
      </c>
      <c r="I81" s="158">
        <v>0.10610000044107437</v>
      </c>
      <c r="J81" s="158">
        <v>0.10599999874830246</v>
      </c>
      <c r="K81" s="158">
        <v>0.10599999874830246</v>
      </c>
      <c r="L81" s="158">
        <v>0.10599999874830246</v>
      </c>
      <c r="M81" s="158">
        <v>0.10570000112056732</v>
      </c>
      <c r="N81" s="158">
        <v>0.1054999977350235</v>
      </c>
      <c r="O81" s="158">
        <v>0.10520000010728836</v>
      </c>
      <c r="P81" s="158">
        <v>0.10499999672174454</v>
      </c>
      <c r="Q81" s="158">
        <v>0.10499999672174454</v>
      </c>
      <c r="R81" s="158">
        <v>0.10499999672174454</v>
      </c>
      <c r="S81" s="158">
        <v>0.10520000010728836</v>
      </c>
      <c r="T81" s="158">
        <v>0.10540000349283218</v>
      </c>
      <c r="U81" s="158">
        <v>0.1054999977350235</v>
      </c>
      <c r="V81" s="158">
        <f t="shared" si="1"/>
        <v>0.10545000061392784</v>
      </c>
      <c r="W81" s="158">
        <v>0.10540000349283218</v>
      </c>
      <c r="X81" s="158">
        <v>0.10520000010728836</v>
      </c>
      <c r="Y81" s="158">
        <v>0.10490000247955322</v>
      </c>
      <c r="Z81" s="158">
        <v>0.10459999740123749</v>
      </c>
      <c r="AA81" s="158">
        <v>0.10440000146627426</v>
      </c>
      <c r="AB81" s="158">
        <v>0.10429999977350235</v>
      </c>
      <c r="AC81" s="158">
        <v>0.10419999808073044</v>
      </c>
      <c r="AD81" s="158">
        <v>0.10419999808073044</v>
      </c>
      <c r="AE81" s="158">
        <v>0.10419999808073044</v>
      </c>
      <c r="AF81" s="158">
        <v>0.10440000146627426</v>
      </c>
    </row>
    <row r="82" spans="1:32" x14ac:dyDescent="0.2">
      <c r="A82" s="158" t="s">
        <v>233</v>
      </c>
      <c r="B82" s="158">
        <v>0.10769999772310257</v>
      </c>
      <c r="C82" s="158">
        <v>0.10729999840259552</v>
      </c>
      <c r="D82" s="158">
        <v>0.10689999908208847</v>
      </c>
      <c r="E82" s="158">
        <v>0.10689999908208847</v>
      </c>
      <c r="F82" s="158">
        <v>0.10689999908208847</v>
      </c>
      <c r="G82" s="158">
        <v>0.10719999670982361</v>
      </c>
      <c r="H82" s="158">
        <v>0.10710000246763229</v>
      </c>
      <c r="I82" s="158">
        <v>0.10710000246763229</v>
      </c>
      <c r="J82" s="158">
        <v>0.10700000077486038</v>
      </c>
      <c r="K82" s="158">
        <v>0.10700000077486038</v>
      </c>
      <c r="L82" s="158">
        <v>0.10689999908208847</v>
      </c>
      <c r="M82" s="158">
        <v>0.10670000314712524</v>
      </c>
      <c r="N82" s="158">
        <v>0.10639999806880951</v>
      </c>
      <c r="O82" s="158">
        <v>0.10620000213384628</v>
      </c>
      <c r="P82" s="158">
        <v>0.10599999874830246</v>
      </c>
      <c r="Q82" s="158">
        <v>0.10589999705553055</v>
      </c>
      <c r="R82" s="158">
        <v>0.10599999874830246</v>
      </c>
      <c r="S82" s="158">
        <v>0.10620000213384628</v>
      </c>
      <c r="T82" s="158">
        <v>0.10670000314712524</v>
      </c>
      <c r="U82" s="158">
        <v>0.10660000145435333</v>
      </c>
      <c r="V82" s="158">
        <f t="shared" si="1"/>
        <v>0.10660000145435333</v>
      </c>
      <c r="W82" s="158">
        <v>0.10660000145435333</v>
      </c>
      <c r="X82" s="158">
        <v>0.1062999963760376</v>
      </c>
      <c r="Y82" s="158">
        <v>0.10620000213384628</v>
      </c>
      <c r="Z82" s="158">
        <v>0.10559999942779541</v>
      </c>
      <c r="AA82" s="158">
        <v>0.1054999977350235</v>
      </c>
      <c r="AB82" s="158">
        <v>0.10530000180006027</v>
      </c>
      <c r="AC82" s="158">
        <v>0.10509999841451645</v>
      </c>
      <c r="AD82" s="158">
        <v>0.10509999841451645</v>
      </c>
      <c r="AE82" s="158">
        <v>0.10520000010728836</v>
      </c>
      <c r="AF82" s="158">
        <v>0.10530000180006027</v>
      </c>
    </row>
    <row r="83" spans="1:32" x14ac:dyDescent="0.2">
      <c r="A83" s="158" t="s">
        <v>234</v>
      </c>
      <c r="B83" s="158">
        <v>0.10710000246763229</v>
      </c>
      <c r="C83" s="158">
        <v>0.10679999738931656</v>
      </c>
      <c r="D83" s="158">
        <v>0.10639999806880951</v>
      </c>
      <c r="E83" s="158">
        <v>0.10639999806880951</v>
      </c>
      <c r="F83" s="158">
        <v>0.1062999963760376</v>
      </c>
      <c r="G83" s="158">
        <v>0.10649999976158142</v>
      </c>
      <c r="H83" s="158">
        <v>0.10639999806880951</v>
      </c>
      <c r="I83" s="158">
        <v>0.1062999963760376</v>
      </c>
      <c r="J83" s="158">
        <v>0.10639999806880951</v>
      </c>
      <c r="K83" s="158">
        <v>0.10620000213384628</v>
      </c>
      <c r="L83" s="158">
        <v>0.10620000213384628</v>
      </c>
      <c r="M83" s="158">
        <v>0.10599999874830246</v>
      </c>
      <c r="N83" s="158">
        <v>0.10580000281333923</v>
      </c>
      <c r="O83" s="158">
        <v>0.1054999977350235</v>
      </c>
      <c r="P83" s="158">
        <v>0.10530000180006027</v>
      </c>
      <c r="Q83" s="158">
        <v>0.10530000180006027</v>
      </c>
      <c r="R83" s="158">
        <v>0.10540000349283218</v>
      </c>
      <c r="S83" s="158">
        <v>0.10559999942779541</v>
      </c>
      <c r="T83" s="158">
        <v>0.10580000281333923</v>
      </c>
      <c r="U83" s="158">
        <v>0.10589999705553055</v>
      </c>
      <c r="V83" s="158">
        <f t="shared" si="1"/>
        <v>0.10589999705553055</v>
      </c>
      <c r="W83" s="158">
        <v>0.10589999705553055</v>
      </c>
      <c r="X83" s="158">
        <v>0.10570000112056732</v>
      </c>
      <c r="Y83" s="158">
        <v>0.10530000180006027</v>
      </c>
      <c r="Z83" s="158">
        <v>0.10509999841451645</v>
      </c>
      <c r="AA83" s="158">
        <v>0.10520000010728836</v>
      </c>
      <c r="AB83" s="158">
        <v>0.10480000078678131</v>
      </c>
      <c r="AC83" s="158">
        <v>0.10459999740123749</v>
      </c>
      <c r="AD83" s="158">
        <v>0.1046999990940094</v>
      </c>
      <c r="AE83" s="158">
        <v>0.1046999990940094</v>
      </c>
      <c r="AF83" s="158">
        <v>0.10509999841451645</v>
      </c>
    </row>
    <row r="84" spans="1:32" x14ac:dyDescent="0.2">
      <c r="A84" s="158" t="s">
        <v>235</v>
      </c>
      <c r="B84" s="158">
        <v>0.10719999670982361</v>
      </c>
      <c r="C84" s="158">
        <v>0.10679999738931656</v>
      </c>
      <c r="D84" s="158">
        <v>0.10670000314712524</v>
      </c>
      <c r="E84" s="158">
        <v>0.10649999976158142</v>
      </c>
      <c r="F84" s="158">
        <v>0.10639999806880951</v>
      </c>
      <c r="G84" s="158">
        <v>0.10670000314712524</v>
      </c>
      <c r="H84" s="158">
        <v>0.10660000145435333</v>
      </c>
      <c r="I84" s="158">
        <v>0.10639999806880951</v>
      </c>
      <c r="J84" s="158">
        <v>0.10639999806880951</v>
      </c>
      <c r="K84" s="158">
        <v>0.10639999806880951</v>
      </c>
      <c r="L84" s="158">
        <v>0.10639999806880951</v>
      </c>
      <c r="M84" s="158">
        <v>0.10610000044107437</v>
      </c>
      <c r="N84" s="158">
        <v>0.10580000281333923</v>
      </c>
      <c r="O84" s="158">
        <v>0.10559999942779541</v>
      </c>
      <c r="P84" s="158">
        <v>0.10540000349283218</v>
      </c>
      <c r="Q84" s="158">
        <v>0.10540000349283218</v>
      </c>
      <c r="R84" s="158">
        <v>0.1054999977350235</v>
      </c>
      <c r="S84" s="158">
        <v>0.10559999942779541</v>
      </c>
      <c r="T84" s="158">
        <v>0.10589999705553055</v>
      </c>
      <c r="U84" s="158">
        <v>0.10599999874830246</v>
      </c>
      <c r="V84" s="158">
        <f t="shared" si="1"/>
        <v>0.10604999959468842</v>
      </c>
      <c r="W84" s="158">
        <v>0.10610000044107437</v>
      </c>
      <c r="X84" s="158">
        <v>0.10580000281333923</v>
      </c>
      <c r="Y84" s="158">
        <v>0.1054999977350235</v>
      </c>
      <c r="Z84" s="158">
        <v>0.10520000010728836</v>
      </c>
      <c r="AA84" s="158">
        <v>0.10499999672174454</v>
      </c>
      <c r="AB84" s="158">
        <v>0.10490000247955322</v>
      </c>
      <c r="AC84" s="158">
        <v>0.1046999990940094</v>
      </c>
      <c r="AD84" s="158">
        <v>0.10480000078678131</v>
      </c>
      <c r="AE84" s="158">
        <v>0.10480000078678131</v>
      </c>
      <c r="AF84" s="158">
        <v>0.10499999672174454</v>
      </c>
    </row>
    <row r="85" spans="1:32" x14ac:dyDescent="0.2">
      <c r="A85" s="158" t="s">
        <v>236</v>
      </c>
      <c r="B85" s="158">
        <v>0.10639999806880951</v>
      </c>
      <c r="C85" s="158">
        <v>0.10599999874830246</v>
      </c>
      <c r="D85" s="158">
        <v>0.10580000281333923</v>
      </c>
      <c r="E85" s="158">
        <v>0.10580000281333923</v>
      </c>
      <c r="F85" s="158">
        <v>0.10610000044107437</v>
      </c>
      <c r="G85" s="158">
        <v>0.10620000213384628</v>
      </c>
      <c r="H85" s="158">
        <v>0.10610000044107437</v>
      </c>
      <c r="I85" s="158">
        <v>0.10599999874830246</v>
      </c>
      <c r="J85" s="158">
        <v>0.10580000281333923</v>
      </c>
      <c r="K85" s="158">
        <v>0.10580000281333923</v>
      </c>
      <c r="L85" s="158">
        <v>0.10580000281333923</v>
      </c>
      <c r="M85" s="158">
        <v>0.10559999942779541</v>
      </c>
      <c r="N85" s="158">
        <v>0.10530000180006027</v>
      </c>
      <c r="O85" s="158">
        <v>0.10490000247955322</v>
      </c>
      <c r="P85" s="158">
        <v>0.10490000247955322</v>
      </c>
      <c r="Q85" s="158">
        <v>0.10480000078678131</v>
      </c>
      <c r="R85" s="158">
        <v>0.10480000078678131</v>
      </c>
      <c r="S85" s="158">
        <v>0.10509999841451645</v>
      </c>
      <c r="T85" s="158">
        <v>0.10530000180006027</v>
      </c>
      <c r="U85" s="158">
        <v>0.10559999942779541</v>
      </c>
      <c r="V85" s="158">
        <f t="shared" si="1"/>
        <v>0.10619999840855598</v>
      </c>
      <c r="W85" s="158">
        <v>0.10679999738931656</v>
      </c>
      <c r="X85" s="158">
        <v>0.1062999963760376</v>
      </c>
      <c r="Y85" s="158">
        <v>0.10589999705553055</v>
      </c>
      <c r="Z85" s="158">
        <v>0.10580000281333923</v>
      </c>
      <c r="AA85" s="158">
        <v>0.10570000112056732</v>
      </c>
      <c r="AB85" s="158">
        <v>0.10540000349283218</v>
      </c>
      <c r="AC85" s="158">
        <v>0.1054999977350235</v>
      </c>
      <c r="AD85" s="158">
        <v>0.10520000010728836</v>
      </c>
      <c r="AE85" s="158">
        <v>0.10540000349283218</v>
      </c>
      <c r="AF85" s="158">
        <v>0.10480000078678131</v>
      </c>
    </row>
    <row r="86" spans="1:32" x14ac:dyDescent="0.2">
      <c r="A86" s="158" t="s">
        <v>237</v>
      </c>
      <c r="B86" s="158">
        <v>0.10670000314712524</v>
      </c>
      <c r="C86" s="158">
        <v>0.1062999963760376</v>
      </c>
      <c r="D86" s="158">
        <v>0.10620000213384628</v>
      </c>
      <c r="E86" s="158">
        <v>0.10610000044107437</v>
      </c>
      <c r="F86" s="158">
        <v>0.10599999874830246</v>
      </c>
      <c r="G86" s="158">
        <v>0.1062999963760376</v>
      </c>
      <c r="H86" s="158">
        <v>0.10620000213384628</v>
      </c>
      <c r="I86" s="158">
        <v>0.10610000044107437</v>
      </c>
      <c r="J86" s="158">
        <v>0.10649999976158142</v>
      </c>
      <c r="K86" s="158">
        <v>0.10599999874830246</v>
      </c>
      <c r="L86" s="158">
        <v>0.10610000044107437</v>
      </c>
      <c r="M86" s="158">
        <v>0.10589999705553055</v>
      </c>
      <c r="N86" s="158">
        <v>0.1054999977350235</v>
      </c>
      <c r="O86" s="158">
        <v>0.10520000010728836</v>
      </c>
      <c r="P86" s="158">
        <v>0.10499999672174454</v>
      </c>
      <c r="Q86" s="158">
        <v>0.10499999672174454</v>
      </c>
      <c r="R86" s="158">
        <v>0.10509999841451645</v>
      </c>
      <c r="S86" s="158">
        <v>0.10520000010728836</v>
      </c>
      <c r="T86" s="158">
        <v>0.1054999977350235</v>
      </c>
      <c r="U86" s="158">
        <v>0.10559999942779541</v>
      </c>
      <c r="V86" s="158">
        <f t="shared" si="1"/>
        <v>0.10559999942779541</v>
      </c>
      <c r="W86" s="158">
        <v>0.10559999942779541</v>
      </c>
      <c r="X86" s="158">
        <v>0.10540000349283218</v>
      </c>
      <c r="Y86" s="158">
        <v>0.10509999841451645</v>
      </c>
      <c r="Z86" s="158">
        <v>0.10480000078678131</v>
      </c>
      <c r="AA86" s="158">
        <v>0.10459999740123749</v>
      </c>
      <c r="AB86" s="158">
        <v>0.10440000146627426</v>
      </c>
      <c r="AC86" s="158">
        <v>0.10429999977350235</v>
      </c>
      <c r="AD86" s="158">
        <v>0.10429999977350235</v>
      </c>
      <c r="AE86" s="158">
        <v>0.10440000146627426</v>
      </c>
      <c r="AF86" s="158">
        <v>0.10459999740123749</v>
      </c>
    </row>
    <row r="87" spans="1:32" x14ac:dyDescent="0.2">
      <c r="A87" s="158" t="s">
        <v>238</v>
      </c>
      <c r="B87" s="158">
        <v>0.10679999738931656</v>
      </c>
      <c r="C87" s="158">
        <v>0.10649999976158142</v>
      </c>
      <c r="D87" s="158">
        <v>0.10639999806880951</v>
      </c>
      <c r="E87" s="158">
        <v>0.1062999963760376</v>
      </c>
      <c r="F87" s="158">
        <v>0.10620000213384628</v>
      </c>
      <c r="G87" s="158">
        <v>0.10639999806880951</v>
      </c>
      <c r="H87" s="158">
        <v>0.1062999963760376</v>
      </c>
      <c r="I87" s="158">
        <v>0.10620000213384628</v>
      </c>
      <c r="J87" s="158">
        <v>0.10610000044107437</v>
      </c>
      <c r="K87" s="158">
        <v>0.10610000044107437</v>
      </c>
      <c r="L87" s="158">
        <v>0.10610000044107437</v>
      </c>
      <c r="M87" s="158">
        <v>0.10580000281333923</v>
      </c>
      <c r="N87" s="158">
        <v>0.10559999942779541</v>
      </c>
      <c r="O87" s="158">
        <v>0.1054999977350235</v>
      </c>
      <c r="P87" s="158">
        <v>0.10509999841451645</v>
      </c>
      <c r="Q87" s="158">
        <v>0.10509999841451645</v>
      </c>
      <c r="R87" s="158">
        <v>0.10520000010728836</v>
      </c>
      <c r="S87" s="158">
        <v>0.10530000180006027</v>
      </c>
      <c r="T87" s="158">
        <v>0.10559999942779541</v>
      </c>
      <c r="U87" s="158">
        <v>0.10559999942779541</v>
      </c>
      <c r="V87" s="158">
        <f t="shared" si="1"/>
        <v>0.10565000027418137</v>
      </c>
      <c r="W87" s="158">
        <v>0.10570000112056732</v>
      </c>
      <c r="X87" s="158">
        <v>0.10540000349283218</v>
      </c>
      <c r="Y87" s="158">
        <v>0.10509999841451645</v>
      </c>
      <c r="Z87" s="158">
        <v>0.10490000247955322</v>
      </c>
      <c r="AA87" s="158">
        <v>0.10459999740123749</v>
      </c>
      <c r="AB87" s="158">
        <v>0.10450000315904617</v>
      </c>
      <c r="AC87" s="158">
        <v>0.10440000146627426</v>
      </c>
      <c r="AD87" s="158">
        <v>0.10440000146627426</v>
      </c>
      <c r="AE87" s="158">
        <v>0.10440000146627426</v>
      </c>
      <c r="AF87" s="158">
        <v>0.10459999740123749</v>
      </c>
    </row>
    <row r="88" spans="1:32" x14ac:dyDescent="0.2">
      <c r="A88" s="158" t="s">
        <v>239</v>
      </c>
      <c r="B88" s="158">
        <v>0.10679999738931656</v>
      </c>
      <c r="C88" s="158">
        <v>0.1062999963760376</v>
      </c>
      <c r="D88" s="158">
        <v>0.10620000213384628</v>
      </c>
      <c r="E88" s="158">
        <v>0.10610000044107437</v>
      </c>
      <c r="F88" s="158">
        <v>0.10610000044107437</v>
      </c>
      <c r="G88" s="158">
        <v>0.10620000213384628</v>
      </c>
      <c r="H88" s="158">
        <v>0.10620000213384628</v>
      </c>
      <c r="I88" s="158">
        <v>0.10599999874830246</v>
      </c>
      <c r="J88" s="158">
        <v>0.10589999705553055</v>
      </c>
      <c r="K88" s="158">
        <v>0.10589999705553055</v>
      </c>
      <c r="L88" s="158">
        <v>0.10589999705553055</v>
      </c>
      <c r="M88" s="158">
        <v>0.10570000112056732</v>
      </c>
      <c r="N88" s="158">
        <v>0.10540000349283218</v>
      </c>
      <c r="O88" s="158">
        <v>0.10520000010728836</v>
      </c>
      <c r="P88" s="158">
        <v>0.10490000247955322</v>
      </c>
      <c r="Q88" s="158">
        <v>0.10499999672174454</v>
      </c>
      <c r="R88" s="158">
        <v>0.10499999672174454</v>
      </c>
      <c r="S88" s="158">
        <v>0.10520000010728836</v>
      </c>
      <c r="T88" s="158">
        <v>0.1054999977350235</v>
      </c>
      <c r="U88" s="158">
        <v>0.1054999977350235</v>
      </c>
      <c r="V88" s="158">
        <f t="shared" si="1"/>
        <v>0.1054999977350235</v>
      </c>
      <c r="W88" s="158">
        <v>0.1054999977350235</v>
      </c>
      <c r="X88" s="158">
        <v>0.10520000010728836</v>
      </c>
      <c r="Y88" s="158">
        <v>0.10499999672174454</v>
      </c>
      <c r="Z88" s="158">
        <v>0.1046999990940094</v>
      </c>
      <c r="AA88" s="158">
        <v>0.10450000315904617</v>
      </c>
      <c r="AB88" s="158">
        <v>0.10440000146627426</v>
      </c>
      <c r="AC88" s="158">
        <v>0.10429999977350235</v>
      </c>
      <c r="AD88" s="158">
        <v>0.10419999808073044</v>
      </c>
      <c r="AE88" s="158">
        <v>0.10429999977350235</v>
      </c>
      <c r="AF88" s="158">
        <v>0.10450000315904617</v>
      </c>
    </row>
    <row r="89" spans="1:32" x14ac:dyDescent="0.2">
      <c r="A89" s="158" t="s">
        <v>240</v>
      </c>
      <c r="B89" s="158">
        <v>0.10649999976158142</v>
      </c>
      <c r="C89" s="158">
        <v>0.10610000044107437</v>
      </c>
      <c r="D89" s="158">
        <v>0.10589999705553055</v>
      </c>
      <c r="E89" s="158">
        <v>0.10589999705553055</v>
      </c>
      <c r="F89" s="158">
        <v>0.10589999705553055</v>
      </c>
      <c r="G89" s="158">
        <v>0.10599999874830246</v>
      </c>
      <c r="H89" s="158">
        <v>0.10620000213384628</v>
      </c>
      <c r="I89" s="158">
        <v>0.10570000112056732</v>
      </c>
      <c r="J89" s="158">
        <v>0.10570000112056732</v>
      </c>
      <c r="K89" s="158">
        <v>0.10559999942779541</v>
      </c>
      <c r="L89" s="158">
        <v>0.10570000112056732</v>
      </c>
      <c r="M89" s="158">
        <v>0.10540000349283218</v>
      </c>
      <c r="N89" s="158">
        <v>0.10520000010728836</v>
      </c>
      <c r="O89" s="158">
        <v>0.10490000247955322</v>
      </c>
      <c r="P89" s="158">
        <v>0.1046999990940094</v>
      </c>
      <c r="Q89" s="158">
        <v>0.1046999990940094</v>
      </c>
      <c r="R89" s="158">
        <v>0.1046999990940094</v>
      </c>
      <c r="S89" s="158">
        <v>0.10509999841451645</v>
      </c>
      <c r="T89" s="158">
        <v>0.10520000010728836</v>
      </c>
      <c r="U89" s="158">
        <v>0.10530000180006027</v>
      </c>
      <c r="V89" s="158">
        <f t="shared" si="1"/>
        <v>0.10530000180006027</v>
      </c>
      <c r="W89" s="158">
        <v>0.10530000180006027</v>
      </c>
      <c r="X89" s="158">
        <v>0.10499999672174454</v>
      </c>
      <c r="Y89" s="158">
        <v>0.10480000078678131</v>
      </c>
      <c r="Z89" s="158">
        <v>0.10450000315904617</v>
      </c>
      <c r="AA89" s="158">
        <v>0.10419999808073044</v>
      </c>
      <c r="AB89" s="158">
        <v>0.10409999638795853</v>
      </c>
      <c r="AC89" s="158">
        <v>0.10400000214576721</v>
      </c>
      <c r="AD89" s="158">
        <v>0.10400000214576721</v>
      </c>
      <c r="AE89" s="158">
        <v>0.10409999638795853</v>
      </c>
      <c r="AF89" s="158">
        <v>0.10419999808073044</v>
      </c>
    </row>
    <row r="90" spans="1:32" x14ac:dyDescent="0.2">
      <c r="A90" s="158" t="s">
        <v>241</v>
      </c>
      <c r="B90" s="158">
        <v>0.10740000009536743</v>
      </c>
      <c r="C90" s="158">
        <v>0.10700000077486038</v>
      </c>
      <c r="D90" s="158">
        <v>0.10700000077486038</v>
      </c>
      <c r="E90" s="158">
        <v>0.10670000314712524</v>
      </c>
      <c r="F90" s="158">
        <v>0.10660000145435333</v>
      </c>
      <c r="G90" s="158">
        <v>0.10689999908208847</v>
      </c>
      <c r="H90" s="158">
        <v>0.10670000314712524</v>
      </c>
      <c r="I90" s="158">
        <v>0.10660000145435333</v>
      </c>
      <c r="J90" s="158">
        <v>0.10649999976158142</v>
      </c>
      <c r="K90" s="158">
        <v>0.10649999976158142</v>
      </c>
      <c r="L90" s="158">
        <v>0.10679999738931656</v>
      </c>
      <c r="M90" s="158">
        <v>0.1062999963760376</v>
      </c>
      <c r="N90" s="158">
        <v>0.10599999874830246</v>
      </c>
      <c r="O90" s="158">
        <v>0.10580000281333923</v>
      </c>
      <c r="P90" s="158">
        <v>0.1054999977350235</v>
      </c>
      <c r="Q90" s="158">
        <v>0.1054999977350235</v>
      </c>
      <c r="R90" s="158">
        <v>0.10559999942779541</v>
      </c>
      <c r="S90" s="158">
        <v>0.10570000112056732</v>
      </c>
      <c r="T90" s="158">
        <v>0.10599999874830246</v>
      </c>
      <c r="U90" s="158">
        <v>0.10610000044107437</v>
      </c>
      <c r="V90" s="158">
        <f t="shared" si="1"/>
        <v>0.10610000044107437</v>
      </c>
      <c r="W90" s="158">
        <v>0.10610000044107437</v>
      </c>
      <c r="X90" s="158">
        <v>0.10580000281333923</v>
      </c>
      <c r="Y90" s="158">
        <v>0.1054999977350235</v>
      </c>
      <c r="Z90" s="158">
        <v>0.10530000180006027</v>
      </c>
      <c r="AA90" s="158">
        <v>0.10499999672174454</v>
      </c>
      <c r="AB90" s="158">
        <v>0.10490000247955322</v>
      </c>
      <c r="AC90" s="158">
        <v>0.10480000078678131</v>
      </c>
      <c r="AD90" s="158">
        <v>0.10490000247955322</v>
      </c>
      <c r="AE90" s="158">
        <v>0.10480000078678131</v>
      </c>
      <c r="AF90" s="158">
        <v>0.10499999672174454</v>
      </c>
    </row>
    <row r="91" spans="1:32" x14ac:dyDescent="0.2">
      <c r="A91" s="158" t="s">
        <v>242</v>
      </c>
      <c r="B91" s="158">
        <v>0.10719999670982361</v>
      </c>
      <c r="C91" s="158">
        <v>0.10660000145435333</v>
      </c>
      <c r="D91" s="158">
        <v>0.10639999806880951</v>
      </c>
      <c r="E91" s="158">
        <v>0.10639999806880951</v>
      </c>
      <c r="F91" s="158">
        <v>0.10620000213384628</v>
      </c>
      <c r="G91" s="158">
        <v>0.10639999806880951</v>
      </c>
      <c r="H91" s="158">
        <v>0.10620000213384628</v>
      </c>
      <c r="I91" s="158">
        <v>0.10610000044107437</v>
      </c>
      <c r="J91" s="158">
        <v>0.10599999874830246</v>
      </c>
      <c r="K91" s="158">
        <v>0.10610000044107437</v>
      </c>
      <c r="L91" s="158">
        <v>0.10599999874830246</v>
      </c>
      <c r="M91" s="158">
        <v>0.10580000281333923</v>
      </c>
      <c r="N91" s="158">
        <v>0.1054999977350235</v>
      </c>
      <c r="O91" s="158">
        <v>0.10540000349283218</v>
      </c>
      <c r="P91" s="158">
        <v>0.10499999672174454</v>
      </c>
      <c r="Q91" s="158">
        <v>0.10509999841451645</v>
      </c>
      <c r="R91" s="158">
        <v>0.10509999841451645</v>
      </c>
      <c r="S91" s="158">
        <v>0.10520000010728836</v>
      </c>
      <c r="T91" s="158">
        <v>0.1054999977350235</v>
      </c>
      <c r="U91" s="158">
        <v>0.10559999942779541</v>
      </c>
      <c r="V91" s="158">
        <f t="shared" si="1"/>
        <v>0.10559999942779541</v>
      </c>
      <c r="W91" s="158">
        <v>0.10559999942779541</v>
      </c>
      <c r="X91" s="158">
        <v>0.10540000349283218</v>
      </c>
      <c r="Y91" s="158">
        <v>0.10509999841451645</v>
      </c>
      <c r="Z91" s="158">
        <v>0.10490000247955322</v>
      </c>
      <c r="AA91" s="158">
        <v>0.10459999740123749</v>
      </c>
      <c r="AB91" s="158">
        <v>0.10440000146627426</v>
      </c>
      <c r="AC91" s="158">
        <v>0.10440000146627426</v>
      </c>
      <c r="AD91" s="158">
        <v>0.10440000146627426</v>
      </c>
      <c r="AE91" s="158">
        <v>0.10440000146627426</v>
      </c>
      <c r="AF91" s="158">
        <v>0.10459999740123749</v>
      </c>
    </row>
    <row r="92" spans="1:32" x14ac:dyDescent="0.2">
      <c r="A92" s="158" t="s">
        <v>243</v>
      </c>
      <c r="B92" s="158">
        <v>0.10740000009536743</v>
      </c>
      <c r="C92" s="158">
        <v>0.10679999738931656</v>
      </c>
      <c r="D92" s="158">
        <v>0.10660000145435333</v>
      </c>
      <c r="E92" s="158">
        <v>0.10639999806880951</v>
      </c>
      <c r="F92" s="158">
        <v>0.1062999963760376</v>
      </c>
      <c r="G92" s="158">
        <v>0.10649999976158142</v>
      </c>
      <c r="H92" s="158">
        <v>0.1062999963760376</v>
      </c>
      <c r="I92" s="158">
        <v>0.10620000213384628</v>
      </c>
      <c r="J92" s="158">
        <v>0.10610000044107437</v>
      </c>
      <c r="K92" s="158">
        <v>0.10610000044107437</v>
      </c>
      <c r="L92" s="158">
        <v>0.10599999874830246</v>
      </c>
      <c r="M92" s="158">
        <v>0.10580000281333923</v>
      </c>
      <c r="N92" s="158">
        <v>0.1054999977350235</v>
      </c>
      <c r="O92" s="158">
        <v>0.10530000180006027</v>
      </c>
      <c r="P92" s="158">
        <v>0.10499999672174454</v>
      </c>
      <c r="Q92" s="158">
        <v>0.10499999672174454</v>
      </c>
      <c r="R92" s="158">
        <v>0.10509999841451645</v>
      </c>
      <c r="S92" s="158">
        <v>0.10520000010728836</v>
      </c>
      <c r="T92" s="158">
        <v>0.1054999977350235</v>
      </c>
      <c r="U92" s="158">
        <v>0.10559999942779541</v>
      </c>
      <c r="V92" s="158">
        <f t="shared" si="1"/>
        <v>0.10559999942779541</v>
      </c>
      <c r="W92" s="158">
        <v>0.10559999942779541</v>
      </c>
      <c r="X92" s="158">
        <v>0.10530000180006027</v>
      </c>
      <c r="Y92" s="158">
        <v>0.10509999841451645</v>
      </c>
      <c r="Z92" s="158">
        <v>0.10480000078678131</v>
      </c>
      <c r="AA92" s="158">
        <v>0.10450000315904617</v>
      </c>
      <c r="AB92" s="158">
        <v>0.10440000146627426</v>
      </c>
      <c r="AC92" s="158">
        <v>0.10429999977350235</v>
      </c>
      <c r="AD92" s="158">
        <v>0.10429999977350235</v>
      </c>
      <c r="AE92" s="158">
        <v>0.10429999977350235</v>
      </c>
      <c r="AF92" s="158">
        <v>0.10450000315904617</v>
      </c>
    </row>
    <row r="93" spans="1:32" x14ac:dyDescent="0.2">
      <c r="A93" s="158" t="s">
        <v>244</v>
      </c>
      <c r="B93" s="158">
        <v>0.10750000178813934</v>
      </c>
      <c r="C93" s="158">
        <v>0.10639999806880951</v>
      </c>
      <c r="D93" s="158">
        <v>0.10639999806880951</v>
      </c>
      <c r="E93" s="158">
        <v>0.10670000314712524</v>
      </c>
      <c r="F93" s="158">
        <v>0.10639999806880951</v>
      </c>
      <c r="G93" s="158">
        <v>0.10660000145435333</v>
      </c>
      <c r="H93" s="158">
        <v>0.1062999963760376</v>
      </c>
      <c r="I93" s="158">
        <v>0.10620000213384628</v>
      </c>
      <c r="J93" s="158">
        <v>0.10599999874830246</v>
      </c>
      <c r="K93" s="158">
        <v>0.10599999874830246</v>
      </c>
      <c r="L93" s="158">
        <v>0.10599999874830246</v>
      </c>
      <c r="M93" s="158">
        <v>0.10570000112056732</v>
      </c>
      <c r="N93" s="158">
        <v>0.1054999977350235</v>
      </c>
      <c r="O93" s="158">
        <v>0.10530000180006027</v>
      </c>
      <c r="P93" s="158">
        <v>0.10490000247955322</v>
      </c>
      <c r="Q93" s="158">
        <v>0.10490000247955322</v>
      </c>
      <c r="R93" s="158">
        <v>0.10499999672174454</v>
      </c>
      <c r="S93" s="158">
        <v>0.10509999841451645</v>
      </c>
      <c r="T93" s="158">
        <v>0.10530000180006027</v>
      </c>
      <c r="U93" s="158">
        <v>0.10530000180006027</v>
      </c>
      <c r="V93" s="158">
        <f t="shared" si="1"/>
        <v>0.10530000180006027</v>
      </c>
      <c r="W93" s="158">
        <v>0.10530000180006027</v>
      </c>
      <c r="X93" s="158">
        <v>0.10499999672174454</v>
      </c>
      <c r="Y93" s="158">
        <v>0.1046999990940094</v>
      </c>
      <c r="Z93" s="158">
        <v>0.10450000315904617</v>
      </c>
      <c r="AA93" s="158">
        <v>0.10419999808073044</v>
      </c>
      <c r="AB93" s="158">
        <v>0.10400000214576721</v>
      </c>
      <c r="AC93" s="158">
        <v>0.10400000214576721</v>
      </c>
      <c r="AD93" s="158">
        <v>0.10409999638795853</v>
      </c>
      <c r="AE93" s="158">
        <v>0.1039000004529953</v>
      </c>
      <c r="AF93" s="158">
        <v>0.10350000113248825</v>
      </c>
    </row>
    <row r="94" spans="1:32" x14ac:dyDescent="0.2">
      <c r="A94" s="156" t="s">
        <v>444</v>
      </c>
      <c r="B94" s="156">
        <f>$B$55-AVERAGE($B$58,$B$59,$B$60,$B$61,$B$62,$B$63,$B$64,$B$65,$B$66,$B$68,$B$69,$B$70,$B$71,$B$72,$B$73,$B$74,$B$75,$B$76,$B$77,$B$78,$B$79,$B$80,$B$81,$B$82,$B$83,$B$84,$B$85,$B$86,$B$87,$B$88,$B$89,$B$90,$B$91,$B$92,$B$93)</f>
        <v>1.962860780102868E-3</v>
      </c>
      <c r="C94" s="156">
        <f>$C$55-AVERAGE($C$58,$C$59,$C$60,$C$61,$C$62,$C$63,$C$64,$C$65,$C$66,$C$68,$C$69,$C$70,$C$71,$C$72,$C$73,$C$74,$C$75,$C$76,$C$77,$C$78,$C$79,$C$80,$C$81,$C$82,$C$83,$C$84,$C$85,$C$86,$C$87,$C$88,$C$89,$C$90,$C$91,$C$92,$C$93)</f>
        <v>2.1000004240444708E-3</v>
      </c>
      <c r="D94" s="156">
        <f>$D$55-AVERAGE($D$58,$D$59,$D$60,$D$61,$D$62,$D$63,$D$64,$D$65,$D$66,$D$68,$D$69,$D$70,$D$71,$D$72,$D$73,$D$74,$D$75,$D$76,$D$77,$D$78,$D$79,$D$80,$D$81,$D$82,$D$83,$D$84,$D$85,$D$86,$D$87,$D$88,$D$89,$D$90,$D$91,$D$92,$D$93)</f>
        <v>2.3085732545171517E-3</v>
      </c>
      <c r="E94" s="156">
        <f>$E$55-AVERAGE($E$58,$E$59,$E$60,$E$61,$E$62,$E$63,$E$64,$E$65,$E$66,$E$68,$E$69,$E$70,$E$71,$E$72,$E$73,$E$74,$E$75,$E$76,$E$77,$E$78,$E$79,$E$80,$E$81,$E$82,$E$83,$E$84,$E$85,$E$86,$E$87,$E$88,$E$89,$E$90,$E$91,$E$92,$E$93)</f>
        <v>3.028571605682373E-3</v>
      </c>
      <c r="F94" s="156">
        <f>$F$55-AVERAGE($F$58,$F$59,$F$60,$F$61,$F$62,$F$63,$F$64,$F$65,$F$66,$F$68,$F$69,$F$70,$F$71,$F$72,$F$73,$F$74,$F$75,$F$76,$F$77,$F$78,$F$79,$F$80,$F$81,$F$82,$F$83,$F$84,$F$85,$F$86,$F$87,$F$88,$F$89,$F$90,$F$91,$F$92,$F$93)</f>
        <v>4.2285682899611404E-3</v>
      </c>
      <c r="G94" s="156">
        <f>$G$55-AVERAGE($G$58,$G$59,$G$60,$G$61,$G$62,$G$63,$G$64,$G$65,$G$66,$G$68,$G$69,$G$70,$G$71,$G$72,$G$73,$G$74,$G$75,$G$76,$G$77,$G$78,$G$79,$G$80,$G$81,$G$82,$G$83,$G$84,$G$85,$G$86,$G$87,$G$88,$G$89,$G$90,$G$91,$G$92,$G$93)</f>
        <v>6.6542872360774441E-3</v>
      </c>
      <c r="H94" s="156">
        <f>$H$55-AVERAGE($H$58,$H$59,$H$60,$H$61,$H$62,$H$63,$H$64,$H$65,$H$66,$H$68,$H$69,$H$70,$H$71,$H$72,$H$73,$H$74,$H$75,$H$76,$H$77,$H$78,$H$79,$H$80,$H$81,$H$82,$H$83,$H$84,$H$85,$H$86,$H$87,$H$88,$H$89,$H$90,$H$91,$H$92,$H$93)</f>
        <v>1.0865710249968935E-2</v>
      </c>
      <c r="I94" s="156">
        <f>$I$55-AVERAGE($I$58,$I$59,$I$60,$I$61,$I$62,$I$63,$I$64,$I$65,$I$66,$I$68,$I$69,$I$70,$I$71,$I$72,$I$73,$I$74,$I$75,$I$76,$I$77,$I$78,$I$79,$I$80,$I$81,$I$82,$I$83,$I$84,$I$85,$I$86,$I$87,$I$88,$I$89,$I$90,$I$91,$I$92,$I$93)</f>
        <v>1.7900001151221145E-2</v>
      </c>
      <c r="J94" s="156">
        <f>$J$55-AVERAGE($J$58,$J$59,$J$60,$J$61,$J$62,$J$63,$J$64,$J$65,$J$66,$J$68,$J$69,$J$70,$J$71,$J$72,$J$73,$J$74,$J$75,$J$76,$J$77,$J$78,$J$79,$J$80,$J$81,$J$82,$J$83,$J$84,$J$85,$J$86,$J$87,$J$88,$J$89,$J$90,$J$91,$J$92,$J$93)</f>
        <v>2.8854293269770487E-2</v>
      </c>
      <c r="K94" s="156">
        <f>$K$55-AVERAGE($K$58,$K$59,$K$60,$K$61,$K$62,$K$63,$K$64,$K$65,$K$66,$K$68,$K$69,$K$70,$K$71,$K$72,$K$73,$K$74,$K$75,$K$76,$K$77,$K$78,$K$79,$K$80,$K$81,$K$82,$K$83,$K$84,$K$85,$K$86,$K$87,$K$88,$K$89,$K$90,$K$91,$K$92,$K$93)</f>
        <v>4.4571433322770249E-2</v>
      </c>
      <c r="L94" s="156">
        <f>$L$55-AVERAGE($L$58,$L$59,$L$60,$L$61,$L$62,$L$63,$L$64,$L$65,$L$66,$L$68,$L$69,$L$70,$L$71,$L$72,$L$73,$L$74,$L$75,$L$76,$L$77,$L$78,$L$79,$L$80,$L$81,$L$82,$L$83,$L$84,$L$85,$L$86,$L$87,$L$88,$L$89,$L$90,$L$91,$L$92,$L$93)</f>
        <v>6.6762850752898631E-2</v>
      </c>
      <c r="M94" s="156">
        <f>$M$55-AVERAGE($M$58,$M$59,$M$60,$M$61,$M$62,$M$63,$M$64,$M$65,$M$66,$M$68,$M$69,$M$70,$M$71,$M$72,$M$73,$M$74,$M$75,$M$76,$M$77,$M$78,$M$79,$M$80,$M$81,$M$82,$M$83,$M$84,$M$85,$M$86,$M$87,$M$88,$M$89,$M$90,$M$91,$M$92,$M$93)</f>
        <v>9.6045708017689843E-2</v>
      </c>
      <c r="N94" s="156">
        <f>$N$55-AVERAGE($N$58,$N$59,$N$60,$N$61,$N$62,$N$63,$N$64,$N$65,$N$66,$N$68,$N$69,$N$70,$N$71,$N$72,$N$73,$N$74,$N$75,$N$76,$N$77,$N$78,$N$79,$N$80,$N$81,$N$82,$N$83,$N$84,$N$85,$N$86,$N$87,$N$88,$N$89,$N$90,$N$91,$N$92,$N$93)</f>
        <v>0.13180285756077087</v>
      </c>
      <c r="O94" s="156">
        <f>$O$55-AVERAGE($O$58,$O$59,$O$60,$O$61,$O$62,$O$63,$O$64,$O$65,$O$66,$O$68,$O$69,$O$70,$O$71,$O$72,$O$73,$O$74,$O$75,$O$76,$O$77,$O$78,$O$79,$O$80,$O$81,$O$82,$O$83,$O$84,$O$85,$O$86,$O$87,$O$88,$O$89,$O$90,$O$91,$O$92,$O$93)</f>
        <v>0.17247999991689411</v>
      </c>
      <c r="P94" s="156">
        <f>$P$55-AVERAGE($P$58,$P$59,$P$60,$P$61,$P$62,$P$63,$P$64,$P$65,$P$66,$P$68,$P$69,$P$70,$P$71,$P$72,$P$73,$P$74,$P$75,$P$76,$P$77,$P$78,$P$79,$P$80,$P$81,$P$82,$P$83,$P$84,$P$85,$P$86,$P$87,$P$88,$P$89,$P$90,$P$91,$P$92,$P$93)</f>
        <v>0.21698856204748154</v>
      </c>
      <c r="Q94" s="156">
        <f>$Q$55-AVERAGE($Q$58,$Q$59,$Q$60,$Q$61,$Q$62,$Q$63,$Q$64,$Q$65,$Q$66,$Q$68,$Q$69,$Q$70,$Q$71,$Q$72,$Q$73,$Q$74,$Q$75,$Q$76,$Q$77,$Q$78,$Q$79,$Q$80,$Q$81,$Q$82,$Q$83,$Q$84,$Q$85,$Q$86,$Q$87,$Q$88,$Q$89,$Q$90,$Q$91,$Q$92,$Q$93)</f>
        <v>0.26068285746233805</v>
      </c>
      <c r="R94" s="156">
        <f>$R$55-AVERAGE($R$58,$R$59,$R$60,$R$61,$R$62,$R$63,$R$64,$R$65,$R$66,$R$68,$R$69,$R$70,$R$71,$R$72,$R$73,$R$74,$R$75,$R$76,$R$77,$R$78,$R$79,$R$80,$R$81,$R$82,$R$83,$R$84,$R$85,$R$86,$R$87,$R$88,$R$89,$R$90,$R$91,$R$92,$R$93)</f>
        <v>0.30117712829794202</v>
      </c>
      <c r="S94" s="156">
        <f>$S$55-AVERAGE($S$58,$S$59,$S$60,$S$61,$S$62,$S$63,$S$64,$S$65,$S$66,$S$68,$S$69,$S$70,$S$71,$S$72,$S$73,$S$74,$S$75,$S$76,$S$77,$S$78,$S$79,$S$80,$S$81,$S$82,$S$83,$S$84,$S$85,$S$86,$S$87,$S$88,$S$89,$S$90,$S$91,$S$92,$S$93)</f>
        <v>0.33661143311432429</v>
      </c>
      <c r="T94" s="156">
        <f>$T$55-AVERAGE($T$58,$T$59,$T$60,$T$61,$T$62,$T$63,$T$64,$T$65,$T$66,$T$68,$T$69,$T$70,$T$71,$T$72,$T$73,$T$74,$T$75,$T$76,$T$77,$T$78,$T$79,$T$80,$T$81,$T$82,$T$83,$T$84,$T$85,$T$86,$T$87,$T$88,$T$89,$T$90,$T$91,$T$92,$T$93)</f>
        <v>0.36788857110909051</v>
      </c>
      <c r="U94" s="156">
        <f>$U$55-AVERAGE($U$58,$U$59,$U$60,$U$61,$U$62,$U$63,$U$64,$U$65,$U$66,$U$68,$U$69,$U$70,$U$71,$U$72,$U$73,$U$74,$U$75,$U$76,$U$77,$U$78,$U$79,$U$80,$U$81,$U$82,$U$83,$U$84,$U$85,$U$86,$U$87,$U$88,$U$89,$U$90,$U$91,$U$92,$U$93)</f>
        <v>0.38003142646380833</v>
      </c>
      <c r="V94" s="156">
        <f>$V$55-AVERAGE($V$58,$V$59,$V$60,$V$61,$V$62,$V$63,$V$64,$V$65,$V$66,$V$68,$V$69,$V$70,$V$71,$V$72,$V$73,$V$74,$V$75,$V$76,$V$77,$V$78,$V$79,$V$80,$V$81,$V$82,$V$83,$V$84,$V$85,$V$86,$V$87,$V$88,$V$89,$V$90,$V$91,$V$92,$V$93)</f>
        <v>0.39040858149528501</v>
      </c>
      <c r="W94" s="156">
        <f>$W$55-AVERAGE($W$58,$W$59,$W$60,$W$61,$W$62,$W$63,$W$64,$W$65,$W$66,$W$68,$W$69,$W$70,$W$71,$W$72,$W$73,$W$74,$W$75,$W$76,$W$77,$W$78,$W$79,$W$80,$W$81,$W$82,$W$83,$W$84,$W$85,$W$86,$W$87,$W$88,$W$89,$W$90,$W$91,$W$92,$W$93)</f>
        <v>0.40078573652676175</v>
      </c>
      <c r="X94" s="156">
        <f>$X$55-AVERAGE($X$58,$X$59,$X$60,$X$61,$X$62,$X$63,$X$64,$X$65,$X$66,$X$68,$X$69,$X$70,$X$71,$X$72,$X$73,$X$74,$X$75,$X$76,$X$77,$X$78,$X$79,$X$80,$X$81,$X$82,$X$83,$X$84,$X$85,$X$86,$X$87,$X$88,$X$89,$X$90,$X$91,$X$92,$X$93)</f>
        <v>0.41243716627359389</v>
      </c>
      <c r="Y94" s="156">
        <f>$Y$55-AVERAGE($Y$58,$Y$59,$Y$60,$Y$61,$Y$62,$Y$63,$Y$64,$Y$65,$Y$66,$Y$68,$Y$69,$Y$70,$Y$71,$Y$72,$Y$73,$Y$74,$Y$75,$Y$76,$Y$77,$Y$78,$Y$79,$Y$80,$Y$81,$Y$82,$Y$83,$Y$84,$Y$85,$Y$86,$Y$87,$Y$88,$Y$89,$Y$90,$Y$91,$Y$92,$Y$93)</f>
        <v>0.42060569460902897</v>
      </c>
      <c r="Z94" s="156">
        <f>$Z$55-AVERAGE($Z$58,$Z$59,$Z$60,$Z$61,$Z$62,$Z$63,$Z$64,$Z$65,$Z$66,$Z$68,$Z$69,$Z$70,$Z$71,$Z$72,$Z$73,$Z$74,$Z$75,$Z$76,$Z$77,$Z$78,$Z$79,$Z$80,$Z$81,$Z$82,$Z$83,$Z$84,$Z$85,$Z$86,$Z$87,$Z$88,$Z$89,$Z$90,$Z$91,$Z$92,$Z$93)</f>
        <v>0.4234714388847351</v>
      </c>
      <c r="AA94" s="156">
        <f>$AA$55-AVERAGE($AA$58,$AA$59,$AA$60,$AA$61,$AA$62,$AA$63,$AA$64,$AA$65,$AA$66,$AA$68,$AA$69,$AA$70,$AA$71,$AA$72,$AA$73,$AA$74,$AA$75,$AA$76,$AA$77,$AA$78,$AA$79,$AA$80,$AA$81,$AA$82,$AA$83,$AA$84,$AA$85,$AA$86,$AA$87,$AA$88,$AA$89,$AA$90,$AA$91,$AA$92,$AA$93)</f>
        <v>0.42695426430021011</v>
      </c>
      <c r="AB94" s="156">
        <f>$AB$55-AVERAGE($AB$58,$AB$59,$AB$60,$AB$61,$AB$62,$AB$63,$AB$64,$AB$65,$AB$66,$AB$68,$AB$69,$AB$70,$AB$71,$AB$72,$AB$73,$AB$74,$AB$75,$AB$76,$AB$77,$AB$78,$AB$79,$AB$80,$AB$81,$AB$82,$AB$83,$AB$84,$AB$85,$AB$86,$AB$87,$AB$88,$AB$89,$AB$90,$AB$91,$AB$92,$AB$93)</f>
        <v>0.43197144482816968</v>
      </c>
      <c r="AC94" s="156">
        <f>$AC$55-AVERAGE($AC$58,$AC$59,$AC$60,$AC$61,$AC$62,$AC$63,$AC$64,$AC$65,$AC$66,$AC$68,$AC$69,$AC$70,$AC$71,$AC$72,$AC$73,$AC$74,$AC$75,$AC$76,$AC$77,$AC$78,$AC$79,$AC$80,$AC$81,$AC$82,$AC$83,$AC$84,$AC$85,$AC$86,$AC$87,$AC$88,$AC$89,$AC$90,$AC$91,$AC$92,$AC$93)</f>
        <v>0.43401141975607194</v>
      </c>
      <c r="AD94" s="156">
        <f>$AD$55-AVERAGE($AD$58,$AD$59,$AD$60,$AD$61,$AD$62,$AD$63,$AD$64,$AD$65,$AD$66,$AD$68,$AD$69,$AD$70,$AD$71,$AD$72,$AD$73,$AD$74,$AD$75,$AD$76,$AD$77,$AD$78,$AD$79,$AD$80,$AD$81,$AD$82,$AD$83,$AD$84,$AD$85,$AD$86,$AD$87,$AD$88,$AD$89,$AD$90,$AD$91,$AD$92,$AD$93)</f>
        <v>0.4389543150152479</v>
      </c>
      <c r="AE94" s="156">
        <f>$AE$55-AVERAGE($AE$58,$AE$59,$AE$60,$AE$61,$AE$62,$AE$63,$AE$64,$AE$65,$AE$66,$AE$68,$AE$69,$AE$70,$AE$71,$AE$72,$AE$73,$AE$74,$AE$75,$AE$76,$AE$77,$AE$78,$AE$79,$AE$80,$AE$81,$AE$82,$AE$83,$AE$84,$AE$85,$AE$86,$AE$87,$AE$88,$AE$89,$AE$90,$AE$91,$AE$92,$AE$93)</f>
        <v>0.44258854261466435</v>
      </c>
      <c r="AF94" s="156">
        <f>$AF$55-AVERAGE($AF$58,$AF$59,$AF$60,$AF$61,$AF$62,$AF$63,$AF$64,$AF$65,$AF$66,$AF$68,$AF$69,$AF$70,$AF$71,$AF$72,$AF$73,$AF$74,$AF$75,$AF$76,$AF$77,$AF$78,$AF$79,$AF$80,$AF$81,$AF$82,$AF$83,$AF$84,$AF$85,$AF$86,$AF$87,$AF$88,$AF$89,$AF$90,$AF$91,$AF$92,$AF$93)</f>
        <v>0.44772571389164245</v>
      </c>
    </row>
    <row r="95" spans="1:32" x14ac:dyDescent="0.2">
      <c r="A95" s="157" t="s">
        <v>445</v>
      </c>
      <c r="B95" s="157">
        <f>$B$56-AVERAGE($B$58,$B$59,$B$60,$B$61,$B$62,$B$63,$B$64,$B$65,$B$66,$B$68,$B$69,$B$70,$B$71,$B$72,$B$73,$B$74,$B$75,$B$77,$B$78,$B$79,$B$80,$B$81,$B$82,$B$83,$B$84,$B$85,$B$86,$B$87,$B$88,$B$89,$B$90,$B$91,$B$92,$B$93)</f>
        <v>1.6117615296560167E-3</v>
      </c>
      <c r="C95" s="157">
        <f>$C$56-AVERAGE($C$58,$C$59,$C$60,$C$61,$C$62,$C$63,$C$64,$C$65,$C$66,$C$68,$C$69,$C$70,$C$71,$C$72,$C$73,$C$74,$C$75,$C$77,$C$78,$C$79,$C$80,$C$81,$C$82,$C$83,$C$84,$C$85,$C$86,$C$87,$C$88,$C$89,$C$90,$C$91,$C$92,$C$93)</f>
        <v>1.8470616025083181E-3</v>
      </c>
      <c r="D95" s="157">
        <f>$D$56-AVERAGE($D$58,$D$59,$D$60,$D$61,$D$62,$D$63,$D$64,$D$65,$D$66,$D$68,$D$69,$D$70,$D$71,$D$72,$D$73,$D$74,$D$75,$D$77,$D$78,$D$79,$D$80,$D$81,$D$82,$D$83,$D$84,$D$85,$D$86,$D$87,$D$88,$D$89,$D$90,$D$91,$D$92,$D$93)</f>
        <v>2.1558807176702138E-3</v>
      </c>
      <c r="E95" s="157">
        <f>$E$56-AVERAGE($E$58,$E$59,$E$60,$E$61,$E$62,$E$63,$E$64,$E$65,$E$66,$E$68,$E$69,$E$70,$E$71,$E$72,$E$73,$E$74,$E$75,$E$77,$E$78,$E$79,$E$80,$E$81,$E$82,$E$83,$E$84,$E$85,$E$86,$E$87,$E$88,$E$89,$E$90,$E$91,$E$92,$E$93)</f>
        <v>2.676471410428774E-3</v>
      </c>
      <c r="F95" s="157">
        <f>$F$56-AVERAGE($F$58,$F$59,$F$60,$F$61,$F$62,$F$63,$F$64,$F$65,$F$66,$F$68,$F$69,$F$70,$F$71,$F$72,$F$73,$F$74,$F$75,$F$77,$F$78,$F$79,$F$80,$F$81,$F$82,$F$83,$F$84,$F$85,$F$86,$F$87,$F$88,$F$89,$F$90,$F$91,$F$92,$F$93)</f>
        <v>3.7764738149502763E-3</v>
      </c>
      <c r="G95" s="157">
        <f>$G$56-AVERAGE($G$58,$G$59,$G$60,$G$61,$G$62,$G$63,$G$64,$G$65,$G$66,$G$68,$G$69,$G$70,$G$71,$G$72,$G$73,$G$74,$G$75,$G$77,$G$78,$G$79,$G$80,$G$81,$G$82,$G$83,$G$84,$G$85,$G$86,$G$87,$G$88,$G$89,$G$90,$G$91,$G$92,$G$93)</f>
        <v>6.2029416508534441E-3</v>
      </c>
      <c r="H95" s="157">
        <f>$H$56-AVERAGE($H$58,$H$59,$H$60,$H$61,$H$62,$H$63,$H$64,$H$65,$H$66,$H$68,$H$69,$H$70,$H$71,$H$72,$H$73,$H$74,$H$75,$H$77,$H$78,$H$79,$H$80,$H$81,$H$82,$H$83,$H$84,$H$85,$H$86,$H$87,$H$88,$H$89,$H$90,$H$91,$H$92,$H$93)</f>
        <v>1.0314706493826473E-2</v>
      </c>
      <c r="I95" s="157">
        <f>$I$56-AVERAGE($I$58,$I$59,$I$60,$I$61,$I$62,$I$63,$I$64,$I$65,$I$66,$I$68,$I$69,$I$70,$I$71,$I$72,$I$73,$I$74,$I$75,$I$77,$I$78,$I$79,$I$80,$I$81,$I$82,$I$83,$I$84,$I$85,$I$86,$I$87,$I$88,$I$89,$I$90,$I$91,$I$92,$I$93)</f>
        <v>1.7150002586490964E-2</v>
      </c>
      <c r="J95" s="157">
        <f>$J$56-AVERAGE($J$58,$J$59,$J$60,$J$61,$J$62,$J$63,$J$64,$J$65,$J$66,$J$68,$J$69,$J$70,$J$71,$J$72,$J$73,$J$74,$J$75,$J$77,$J$78,$J$79,$J$80,$J$81,$J$82,$J$83,$J$84,$J$85,$J$86,$J$87,$J$88,$J$89,$J$90,$J$91,$J$92,$J$93)</f>
        <v>2.8105876463301038E-2</v>
      </c>
      <c r="K95" s="157">
        <f>$K$56-AVERAGE($K$58,$K$59,$K$60,$K$61,$K$62,$K$63,$K$64,$K$65,$K$66,$K$68,$K$69,$K$70,$K$71,$K$72,$K$73,$K$74,$K$75,$K$77,$K$78,$K$79,$K$80,$K$81,$K$82,$K$83,$K$84,$K$85,$K$86,$K$87,$K$88,$K$89,$K$90,$K$91,$K$92,$K$93)</f>
        <v>4.3823535608894681E-2</v>
      </c>
      <c r="L95" s="157">
        <f>$L$56-AVERAGE($L$58,$L$59,$L$60,$L$61,$L$62,$L$63,$L$64,$L$65,$L$66,$L$68,$L$69,$L$70,$L$71,$L$72,$L$73,$L$74,$L$75,$L$77,$L$78,$L$79,$L$80,$L$81,$L$82,$L$83,$L$84,$L$85,$L$86,$L$87,$L$88,$L$89,$L$90,$L$91,$L$92,$L$93)</f>
        <v>6.6214704338242031E-2</v>
      </c>
      <c r="M95" s="157">
        <f>$M$56-AVERAGE($M$58,$M$59,$M$60,$M$61,$M$62,$M$63,$M$64,$M$65,$M$66,$M$68,$M$69,$M$70,$M$71,$M$72,$M$73,$M$74,$M$75,$M$77,$M$78,$M$79,$M$80,$M$81,$M$82,$M$83,$M$84,$M$85,$M$86,$M$87,$M$88,$M$89,$M$90,$M$91,$M$92,$M$93)</f>
        <v>9.5297053894575906E-2</v>
      </c>
      <c r="N95" s="157">
        <f>$N$56-AVERAGE($N$58,$N$59,$N$60,$N$61,$N$62,$N$63,$N$64,$N$65,$N$66,$N$68,$N$69,$N$70,$N$71,$N$72,$N$73,$N$74,$N$75,$N$77,$N$78,$N$79,$N$80,$N$81,$N$82,$N$83,$N$84,$N$85,$N$86,$N$87,$N$88,$N$89,$N$90,$N$91,$N$92,$N$93)</f>
        <v>0.13225588947534561</v>
      </c>
      <c r="O95" s="157">
        <f>$O$56-AVERAGE($O$58,$O$59,$O$60,$O$61,$O$62,$O$63,$O$64,$O$65,$O$66,$O$68,$O$69,$O$70,$O$71,$O$72,$O$73,$O$74,$O$75,$O$77,$O$78,$O$79,$O$80,$O$81,$O$82,$O$83,$O$84,$O$85,$O$86,$O$87,$O$88,$O$89,$O$90,$O$91,$O$92,$O$93)</f>
        <v>0.174932363716995</v>
      </c>
      <c r="P95" s="157">
        <f>$P$56-AVERAGE($P$58,$P$59,$P$60,$P$61,$P$62,$P$63,$P$64,$P$65,$P$66,$P$68,$P$69,$P$70,$P$71,$P$72,$P$73,$P$74,$P$75,$P$77,$P$78,$P$79,$P$80,$P$81,$P$82,$P$83,$P$84,$P$85,$P$86,$P$87,$P$88,$P$89,$P$90,$P$91,$P$92,$P$93)</f>
        <v>0.22064116838223793</v>
      </c>
      <c r="Q95" s="157">
        <f>$Q$56-AVERAGE($Q$58,$Q$59,$Q$60,$Q$61,$Q$62,$Q$63,$Q$64,$Q$65,$Q$66,$Q$68,$Q$69,$Q$70,$Q$71,$Q$72,$Q$73,$Q$74,$Q$75,$Q$77,$Q$78,$Q$79,$Q$80,$Q$81,$Q$82,$Q$83,$Q$84,$Q$85,$Q$86,$Q$87,$Q$88,$Q$89,$Q$90,$Q$91,$Q$92,$Q$93)</f>
        <v>0.26614412007962956</v>
      </c>
      <c r="R95" s="157">
        <f>$R$56-AVERAGE($R$58,$R$59,$R$60,$R$61,$R$62,$R$63,$R$64,$R$65,$R$66,$R$68,$R$69,$R$70,$R$71,$R$72,$R$73,$R$74,$R$75,$R$77,$R$78,$R$79,$R$80,$R$81,$R$82,$R$83,$R$84,$R$85,$R$86,$R$87,$R$88,$R$89,$R$90,$R$91,$R$92,$R$93)</f>
        <v>0.30512941847829256</v>
      </c>
      <c r="S95" s="157">
        <f>$S$56-AVERAGE($S$58,$S$59,$S$60,$S$61,$S$62,$S$63,$S$64,$S$65,$S$66,$S$68,$S$69,$S$70,$S$71,$S$72,$S$73,$S$74,$S$75,$S$77,$S$78,$S$79,$S$80,$S$81,$S$82,$S$83,$S$84,$S$85,$S$86,$S$87,$S$88,$S$89,$S$90,$S$91,$S$92,$S$93)</f>
        <v>0.33917059048133735</v>
      </c>
      <c r="T95" s="157">
        <f>$T$56-AVERAGE($T$58,$T$59,$T$60,$T$61,$T$62,$T$63,$T$64,$T$65,$T$66,$T$68,$T$69,$T$70,$T$71,$T$72,$T$73,$T$74,$T$75,$T$77,$T$78,$T$79,$T$80,$T$81,$T$82,$T$83,$T$84,$T$85,$T$86,$T$87,$T$88,$T$89,$T$90,$T$91,$T$92,$T$93)</f>
        <v>0.36874413095852909</v>
      </c>
      <c r="U95" s="157">
        <f>$U$56-AVERAGE($U$58,$U$59,$U$60,$U$61,$U$62,$U$63,$U$64,$U$65,$U$66,$U$68,$U$69,$U$70,$U$71,$U$72,$U$73,$U$74,$U$75,$U$77,$U$78,$U$79,$U$80,$U$81,$U$82,$U$83,$U$84,$U$85,$U$86,$U$87,$U$88,$U$89,$U$90,$U$91,$U$92,$U$93)</f>
        <v>0.38008823311504197</v>
      </c>
      <c r="V95" s="157">
        <f>$V$56-AVERAGE($V$58,$V$59,$V$60,$V$61,$V$62,$V$63,$V$64,$V$65,$V$66,$V$68,$V$69,$V$70,$V$71,$V$72,$V$73,$V$74,$V$75,$V$77,$V$78,$V$79,$V$80,$V$81,$V$82,$V$83,$V$84,$V$85,$V$86,$V$87,$V$88,$V$89,$V$90,$V$91,$V$92,$V$93)</f>
        <v>0.39107351980226879</v>
      </c>
      <c r="W95" s="157">
        <f>$W$56-AVERAGE($W$58,$W$59,$W$60,$W$61,$W$62,$W$63,$W$64,$W$65,$W$66,$W$68,$W$69,$W$70,$W$71,$W$72,$W$73,$W$74,$W$75,$W$77,$W$78,$W$79,$W$80,$W$81,$W$82,$W$83,$W$84,$W$85,$W$86,$W$87,$W$88,$W$89,$W$90,$W$91,$W$92,$W$93)</f>
        <v>0.40205880648949566</v>
      </c>
      <c r="X95" s="157">
        <f>$X$56-AVERAGE($X$58,$X$59,$X$60,$X$61,$X$62,$X$63,$X$64,$X$65,$X$66,$X$68,$X$69,$X$70,$X$71,$X$72,$X$73,$X$74,$X$75,$X$77,$X$78,$X$79,$X$80,$X$81,$X$82,$X$83,$X$84,$X$85,$X$86,$X$87,$X$88,$X$89,$X$90,$X$91,$X$92,$X$93)</f>
        <v>0.4121117813183981</v>
      </c>
      <c r="Y95" s="157">
        <f>$Y$56-AVERAGE($Y$58,$Y$59,$Y$60,$Y$61,$Y$62,$Y$63,$Y$64,$Y$65,$Y$66,$Y$68,$Y$69,$Y$70,$Y$71,$Y$72,$Y$73,$Y$74,$Y$75,$Y$77,$Y$78,$Y$79,$Y$80,$Y$81,$Y$82,$Y$83,$Y$84,$Y$85,$Y$86,$Y$87,$Y$88,$Y$89,$Y$90,$Y$91,$Y$92,$Y$93)</f>
        <v>0.42132060843355512</v>
      </c>
      <c r="Z95" s="157">
        <f>$Z$56-AVERAGE($Z$58,$Z$59,$Z$60,$Z$61,$Z$62,$Z$63,$Z$64,$Z$65,$Z$66,$Z$68,$Z$69,$Z$70,$Z$71,$Z$72,$Z$73,$Z$74,$Z$75,$Z$77,$Z$78,$Z$79,$Z$80,$Z$81,$Z$82,$Z$83,$Z$84,$Z$85,$Z$86,$Z$87,$Z$88,$Z$89,$Z$90,$Z$91,$Z$92,$Z$93)</f>
        <v>0.42487939929260926</v>
      </c>
      <c r="AA95" s="157">
        <f>$AA$56-AVERAGE($AA$58,$AA$59,$AA$60,$AA$61,$AA$62,$AA$63,$AA$64,$AA$65,$AA$66,$AA$68,$AA$69,$AA$70,$AA$71,$AA$72,$AA$73,$AA$74,$AA$75,$AA$77,$AA$78,$AA$79,$AA$80,$AA$81,$AA$82,$AA$83,$AA$84,$AA$85,$AA$86,$AA$87,$AA$88,$AA$89,$AA$90,$AA$91,$AA$92,$AA$93)</f>
        <v>0.42607057971112872</v>
      </c>
      <c r="AB95" s="157">
        <f>$AB$56-AVERAGE($AB$58,$AB$59,$AB$60,$AB$61,$AB$62,$AB$63,$AB$64,$AB$65,$AB$66,$AB$68,$AB$69,$AB$70,$AB$71,$AB$72,$AB$73,$AB$74,$AB$75,$AB$77,$AB$78,$AB$79,$AB$80,$AB$81,$AB$82,$AB$83,$AB$84,$AB$85,$AB$86,$AB$87,$AB$88,$AB$89,$AB$90,$AB$91,$AB$92,$AB$93)</f>
        <v>0.43029413328451271</v>
      </c>
      <c r="AC95" s="157">
        <f>$AC$56-AVERAGE($AC$58,$AC$59,$AC$60,$AC$61,$AC$62,$AC$63,$AC$64,$AC$65,$AC$66,$AC$68,$AC$69,$AC$70,$AC$71,$AC$72,$AC$73,$AC$74,$AC$75,$AC$77,$AC$78,$AC$79,$AC$80,$AC$81,$AC$82,$AC$83,$AC$84,$AC$85,$AC$86,$AC$87,$AC$88,$AC$89,$AC$90,$AC$91,$AC$92,$AC$93)</f>
        <v>0.43332350714241757</v>
      </c>
      <c r="AD95" s="157">
        <f>$AD$56-AVERAGE($AD$58,$AD$59,$AD$60,$AD$61,$AD$62,$AD$63,$AD$64,$AD$65,$AD$66,$AD$68,$AD$69,$AD$70,$AD$71,$AD$72,$AD$73,$AD$74,$AD$75,$AD$77,$AD$78,$AD$79,$AD$80,$AD$81,$AD$82,$AD$83,$AD$84,$AD$85,$AD$86,$AD$87,$AD$88,$AD$89,$AD$90,$AD$91,$AD$92,$AD$93)</f>
        <v>0.43676765241167126</v>
      </c>
      <c r="AE95" s="157">
        <f>$AE$56-AVERAGE($AE$58,$AE$59,$AE$60,$AE$61,$AE$62,$AE$63,$AE$64,$AE$65,$AE$66,$AE$68,$AE$69,$AE$70,$AE$71,$AE$72,$AE$73,$AE$74,$AE$75,$AE$77,$AE$78,$AE$79,$AE$80,$AE$81,$AE$82,$AE$83,$AE$84,$AE$85,$AE$86,$AE$87,$AE$88,$AE$89,$AE$90,$AE$91,$AE$92,$AE$93)</f>
        <v>0.44089997055775976</v>
      </c>
      <c r="AF95" s="157">
        <f>$AF$56-AVERAGE($AF$58,$AF$59,$AF$60,$AF$61,$AF$62,$AF$63,$AF$64,$AF$65,$AF$66,$AF$68,$AF$69,$AF$70,$AF$71,$AF$72,$AF$73,$AF$74,$AF$75,$AF$77,$AF$78,$AF$79,$AF$80,$AF$81,$AF$82,$AF$83,$AF$84,$AF$85,$AF$86,$AF$87,$AF$88,$AF$89,$AF$90,$AF$91,$AF$92,$AF$93)</f>
        <v>0.44722060749635978</v>
      </c>
    </row>
    <row r="96" spans="1:32" x14ac:dyDescent="0.2">
      <c r="A96" s="168" t="s">
        <v>446</v>
      </c>
      <c r="B96" s="168">
        <f>$B$57-AVERAGE($B$58,$B$59,$B$60,$B$61,$B$62,$B$63,$B$64,$B$65,$B$66,$B$67,$B$68,$B$69,$B$70,$B$71,$B$72,$B$73,$B$74,$B$75,$B$76,$B$77,$B$78,$B$79,$B$80,$B$81,$B$82,$B$83,$B$84,$B$85,$B$86,$B$87,$B$88,$B$89,$B$90,$B$91,$B$92,$B$93)</f>
        <v>3.6777746346261797E-3</v>
      </c>
      <c r="C96" s="168">
        <f>$C$57-AVERAGE($C$58,$C$59,$C$60,$C$61,$C$62,$C$63,$C$64,$C$65,$C$66,$C$67,$C$68,$C$69,$C$70,$C$71,$C$72,$C$73,$C$74,$C$75,$C$76,$C$77,$C$78,$C$79,$C$80,$C$81,$C$82,$C$83,$C$84,$C$85,$C$86,$C$87,$C$88,$C$89,$C$90,$C$91,$C$92,$C$93)</f>
        <v>4.0444415062665939E-3</v>
      </c>
      <c r="D96" s="168">
        <f>$D$57-AVERAGE($D$58,$D$59,$D$60,$D$61,$D$62,$D$63,$D$64,$D$65,$D$66,$D$67,$D$68,$D$69,$D$70,$D$71,$D$72,$D$73,$D$74,$D$75,$D$76,$D$77,$D$78,$D$79,$D$80,$D$81,$D$82,$D$83,$D$84,$D$85,$D$86,$D$87,$D$88,$D$89,$D$90,$D$91,$D$92,$D$93)</f>
        <v>4.1444411294327826E-3</v>
      </c>
      <c r="E96" s="168">
        <f>$E$57-AVERAGE($E$58,$E$59,$E$60,$E$61,$E$62,$E$63,$E$64,$E$65,$E$66,$E$67,$E$68,$E$69,$E$70,$E$71,$E$72,$E$73,$E$74,$E$75,$E$76,$E$77,$E$78,$E$79,$E$80,$E$81,$E$82,$E$83,$E$84,$E$85,$E$86,$E$87,$E$88,$E$89,$E$90,$E$91,$E$92,$E$93)</f>
        <v>4.7694452934795017E-3</v>
      </c>
      <c r="F96" s="168">
        <f>$F$57-AVERAGE($F$58,$F$59,$F$60,$F$61,$F$62,$F$63,$F$64,$F$65,$F$66,$F$67,$F$68,$F$69,$F$70,$F$71,$F$72,$F$73,$F$74,$F$75,$F$76,$F$77,$F$78,$F$79,$F$80,$F$81,$F$82,$F$83,$F$84,$F$85,$F$86,$F$87,$F$88,$F$89,$F$90,$F$91,$F$92,$F$93)</f>
        <v>5.9694420132372084E-3</v>
      </c>
      <c r="G96" s="168">
        <f>$G$57-AVERAGE($G$58,$G$59,$G$60,$G$61,$G$62,$G$63,$G$64,$G$65,$G$66,$G$67,$G$68,$G$69,$G$70,$G$71,$G$72,$G$73,$G$74,$G$75,$G$76,$G$77,$G$78,$G$79,$G$80,$G$81,$G$82,$G$83,$G$84,$G$85,$G$86,$G$87,$G$88,$G$89,$G$90,$G$91,$G$92,$G$93)</f>
        <v>8.5888869232601528E-3</v>
      </c>
      <c r="H96" s="168">
        <f>$H$57-AVERAGE($H$58,$H$59,$H$60,$H$61,$H$62,$H$63,$H$64,$H$65,$H$66,$H$67,$H$68,$H$69,$H$70,$H$71,$H$72,$H$73,$H$74,$H$75,$H$76,$H$77,$H$78,$H$79,$H$80,$H$81,$H$82,$H$83,$H$84,$H$85,$H$86,$H$87,$H$88,$H$89,$H$90,$H$91,$H$92,$H$93)</f>
        <v>1.2908335154255227E-2</v>
      </c>
      <c r="I96" s="168">
        <f>$I$57-AVERAGE($I$58,$I$59,$I$60,$I$61,$I$62,$I$63,$I$64,$I$65,$I$66,$I$67,$I$68,$I$69,$I$70,$I$71,$I$72,$I$73,$I$74,$I$75,$I$76,$I$77,$I$78,$I$79,$I$80,$I$81,$I$82,$I$83,$I$84,$I$85,$I$86,$I$87,$I$88,$I$89,$I$90,$I$91,$I$92,$I$93)</f>
        <v>2.0144439819786281E-2</v>
      </c>
      <c r="J96" s="168">
        <f>$J$57-AVERAGE($J$58,$J$59,$J$60,$J$61,$J$62,$J$63,$J$64,$J$65,$J$66,$J$67,$J$68,$J$69,$J$70,$J$71,$J$72,$J$73,$J$74,$J$75,$J$76,$J$77,$J$78,$J$79,$J$80,$J$81,$J$82,$J$83,$J$84,$J$85,$J$86,$J$87,$J$88,$J$89,$J$90,$J$91,$J$92,$J$93)</f>
        <v>3.1294449542959527E-2</v>
      </c>
      <c r="K96" s="168">
        <f>$K$57-AVERAGE($K$58,$K$59,$K$60,$K$61,$K$62,$K$63,$K$64,$K$65,$K$66,$K$67,$K$68,$K$69,$K$70,$K$71,$K$72,$K$73,$K$74,$K$75,$K$76,$K$77,$K$78,$K$79,$K$80,$K$81,$K$82,$K$83,$K$84,$K$85,$K$86,$K$87,$K$88,$K$89,$K$90,$K$91,$K$92,$K$93)</f>
        <v>4.7819445530573532E-2</v>
      </c>
      <c r="L96" s="168">
        <f>$L$57-AVERAGE($L$58,$L$59,$L$60,$L$61,$L$62,$L$63,$L$64,$L$65,$L$66,$L$67,$L$68,$L$69,$L$70,$L$71,$L$72,$L$73,$L$74,$L$75,$L$76,$L$77,$L$78,$L$79,$L$80,$L$81,$L$82,$L$83,$L$84,$L$85,$L$86,$L$87,$L$88,$L$89,$L$90,$L$91,$L$92,$L$93)</f>
        <v>7.1394443098041743E-2</v>
      </c>
      <c r="M96" s="168">
        <f>$M$57-AVERAGE($M$58,$M$59,$M$60,$M$61,$M$62,$M$63,$M$64,$M$65,$M$66,$M$67,$M$68,$M$69,$M$70,$M$71,$M$72,$M$73,$M$74,$M$75,$M$76,$M$77,$M$78,$M$79,$M$80,$M$81,$M$82,$M$83,$M$84,$M$85,$M$86,$M$87,$M$88,$M$89,$M$90,$M$91,$M$92,$M$93)</f>
        <v>0.10177778038713667</v>
      </c>
      <c r="N96" s="168">
        <f>$N$57-AVERAGE($N$58,$N$59,$N$60,$N$61,$N$62,$N$63,$N$64,$N$65,$N$66,$N$67,$N$68,$N$69,$N$70,$N$71,$N$72,$N$73,$N$74,$N$75,$N$76,$N$77,$N$78,$N$79,$N$80,$N$81,$N$82,$N$83,$N$84,$N$85,$N$86,$N$87,$N$88,$N$89,$N$90,$N$91,$N$92,$N$93)</f>
        <v>0.14082778327994877</v>
      </c>
      <c r="O96" s="168">
        <f>$O$57-AVERAGE($O$58,$O$59,$O$60,$O$61,$O$62,$O$63,$O$64,$O$65,$O$66,$O$67,$O$68,$O$69,$O$70,$O$71,$O$72,$O$73,$O$74,$O$75,$O$76,$O$77,$O$78,$O$79,$O$80,$O$81,$O$82,$O$83,$O$84,$O$85,$O$86,$O$87,$O$88,$O$89,$O$90,$O$91,$O$92,$O$93)</f>
        <v>0.18800277366406387</v>
      </c>
      <c r="P96" s="168">
        <f>$P$57-AVERAGE($P$58,$P$59,$P$60,$P$61,$P$62,$P$63,$P$64,$P$65,$P$66,$P$67,$P$68,$P$69,$P$70,$P$71,$P$72,$P$73,$P$74,$P$75,$P$76,$P$77,$P$78,$P$79,$P$80,$P$81,$P$82,$P$83,$P$84,$P$85,$P$86,$P$87,$P$88,$P$89,$P$90,$P$91,$P$92,$P$93)</f>
        <v>0.2365194389389621</v>
      </c>
      <c r="Q96" s="168">
        <f>$Q$57-AVERAGE($Q$58,$Q$59,$Q$60,$Q$61,$Q$62,$Q$63,$Q$64,$Q$65,$Q$66,$Q$67,$Q$68,$Q$69,$Q$70,$Q$71,$Q$72,$Q$73,$Q$74,$Q$75,$Q$76,$Q$77,$Q$78,$Q$79,$Q$80,$Q$81,$Q$82,$Q$83,$Q$84,$Q$85,$Q$86,$Q$87,$Q$88,$Q$89,$Q$90,$Q$91,$Q$92,$Q$93)</f>
        <v>0.28262223737935227</v>
      </c>
      <c r="R96" s="168">
        <f>$R$57-AVERAGE($R$58,$R$59,$R$60,$R$61,$R$62,$R$63,$R$64,$R$65,$R$66,$R$67,$R$68,$R$69,$R$70,$R$71,$R$72,$R$73,$R$74,$R$75,$R$76,$R$77,$R$78,$R$79,$R$80,$R$81,$R$82,$R$83,$R$84,$R$85,$R$86,$R$87,$R$88,$R$89,$R$90,$R$91,$R$92,$R$93)</f>
        <v>0.32601667133470374</v>
      </c>
      <c r="S96" s="168">
        <f>$S$57-AVERAGE($S$58,$S$59,$S$60,$S$61,$S$62,$S$63,$S$64,$S$65,$S$66,$S$67,$S$68,$S$69,$S$70,$S$71,$S$72,$S$73,$S$74,$S$75,$S$76,$S$77,$S$78,$S$79,$S$80,$S$81,$S$82,$S$83,$S$84,$S$85,$S$86,$S$87,$S$88,$S$89,$S$90,$S$91,$S$92,$S$93)</f>
        <v>0.36194443185296321</v>
      </c>
      <c r="T96" s="168">
        <f>$T$57-AVERAGE($T$58,$T$59,$T$60,$T$61,$T$62,$T$63,$T$64,$T$65,$T$66,$T$67,$T$68,$T$69,$T$70,$T$71,$T$72,$T$73,$T$74,$T$75,$T$76,$T$77,$T$78,$T$79,$T$80,$T$81,$T$82,$T$83,$T$84,$T$85,$T$86,$T$87,$T$88,$T$89,$T$90,$T$91,$T$92,$T$93)</f>
        <v>0.39203332550823689</v>
      </c>
      <c r="U96" s="168">
        <f>$U$57-AVERAGE($U$58,$U$59,$U$60,$U$61,$U$62,$U$63,$U$64,$U$65,$U$66,$U$67,$U$68,$U$69,$U$70,$U$71,$U$72,$U$73,$U$74,$U$75,$U$76,$U$77,$U$78,$U$79,$U$80,$U$81,$U$82,$U$83,$U$84,$U$85,$U$86,$U$87,$U$88,$U$89,$U$90,$U$91,$U$92,$U$93)</f>
        <v>0.39936669501993394</v>
      </c>
      <c r="V96" s="168">
        <f>$V$57-AVERAGE($V$58,$V$59,$V$60,$V$61,$V$62,$V$63,$V$64,$V$65,$V$66,$V$67,$V$68,$V$69,$V$70,$V$71,$V$72,$V$73,$V$74,$V$75,$V$76,$V$77,$V$78,$V$79,$V$80,$V$81,$V$82,$V$83,$V$84,$V$85,$V$86,$V$87,$V$88,$V$89,$V$90,$V$91,$V$92,$V$93)</f>
        <v>0.40694861910823321</v>
      </c>
      <c r="W96" s="168">
        <f>$W$57-AVERAGE($W$58,$W$59,$W$60,$W$61,$W$62,$W$63,$W$64,$W$65,$W$66,$W$67,$W$68,$W$69,$W$70,$W$71,$W$72,$W$73,$W$74,$W$75,$W$76,$W$77,$W$78,$W$79,$W$80,$W$81,$W$82,$W$83,$W$84,$W$85,$W$86,$W$87,$W$88,$W$89,$W$90,$W$91,$W$92,$W$93)</f>
        <v>0.41453054319653249</v>
      </c>
      <c r="X96" s="168">
        <f>$X$57-AVERAGE($X$58,$X$59,$X$60,$X$61,$X$62,$X$63,$X$64,$X$65,$X$66,$X$67,$X$68,$X$69,$X$70,$X$71,$X$72,$X$73,$X$74,$X$75,$X$76,$X$77,$X$78,$X$79,$X$80,$X$81,$X$82,$X$83,$X$84,$X$85,$X$86,$X$87,$X$88,$X$89,$X$90,$X$91,$X$92,$X$93)</f>
        <v>0.42798887834780747</v>
      </c>
      <c r="Y96" s="168">
        <f>$Y$57-AVERAGE($Y$58,$Y$59,$Y$60,$Y$61,$Y$62,$Y$63,$Y$64,$Y$65,$Y$66,$Y$67,$Y$68,$Y$69,$Y$70,$Y$71,$Y$72,$Y$73,$Y$74,$Y$75,$Y$76,$Y$77,$Y$78,$Y$79,$Y$80,$Y$81,$Y$82,$Y$83,$Y$84,$Y$85,$Y$86,$Y$87,$Y$88,$Y$89,$Y$90,$Y$91,$Y$92,$Y$93)</f>
        <v>0.43384998188250595</v>
      </c>
      <c r="Z96" s="168">
        <f>$Z$57-AVERAGE($Z$58,$Z$59,$Z$60,$Z$61,$Z$62,$Z$63,$Z$64,$Z$65,$Z$66,$Z$67,$Z$68,$Z$69,$Z$70,$Z$71,$Z$72,$Z$73,$Z$74,$Z$75,$Z$76,$Z$77,$Z$78,$Z$79,$Z$80,$Z$81,$Z$82,$Z$83,$Z$84,$Z$85,$Z$86,$Z$87,$Z$88,$Z$89,$Z$90,$Z$91,$Z$92,$Z$93)</f>
        <v>0.43591110946403611</v>
      </c>
      <c r="AA96" s="168">
        <f>$AA$57-AVERAGE($AA$58,$AA$59,$AA$60,$AA$61,$AA$62,$AA$63,$AA$64,$AA$65,$AA$66,$AA$67,$AA$68,$AA$69,$AA$70,$AA$71,$AA$72,$AA$73,$AA$74,$AA$75,$AA$76,$AA$77,$AA$78,$AA$79,$AA$80,$AA$81,$AA$82,$AA$83,$AA$84,$AA$85,$AA$86,$AA$87,$AA$88,$AA$89,$AA$90,$AA$91,$AA$92,$AA$93)</f>
        <v>0.43692780637906659</v>
      </c>
      <c r="AB96" s="168">
        <f>$AB$57-AVERAGE($AB$58,$AB$59,$AB$60,$AB$61,$AB$62,$AB$63,$AB$64,$AB$65,$AB$66,$AB$67,$AB$68,$AB$69,$AB$70,$AB$71,$AB$72,$AB$73,$AB$74,$AB$75,$AB$76,$AB$77,$AB$78,$AB$79,$AB$80,$AB$81,$AB$82,$AB$83,$AB$84,$AB$85,$AB$86,$AB$87,$AB$88,$AB$89,$AB$90,$AB$91,$AB$92,$AB$93)</f>
        <v>0.43752776955564815</v>
      </c>
      <c r="AC96" s="168">
        <f>$AC$57-AVERAGE($AC$58,$AC$59,$AC$60,$AC$61,$AC$62,$AC$63,$AC$64,$AC$65,$AC$66,$AC$67,$AC$68,$AC$69,$AC$70,$AC$71,$AC$72,$AC$73,$AC$74,$AC$75,$AC$76,$AC$77,$AC$78,$AC$79,$AC$80,$AC$81,$AC$82,$AC$83,$AC$84,$AC$85,$AC$86,$AC$87,$AC$88,$AC$89,$AC$90,$AC$91,$AC$92,$AC$93)</f>
        <v>0.44008054563568699</v>
      </c>
      <c r="AD96" s="168">
        <f>$AD$57-AVERAGE($AD$58,$AD$59,$AD$60,$AD$61,$AD$62,$AD$63,$AD$64,$AD$65,$AD$66,$AD$67,$AD$68,$AD$69,$AD$70,$AD$71,$AD$72,$AD$73,$AD$74,$AD$75,$AD$76,$AD$77,$AD$78,$AD$79,$AD$80,$AD$81,$AD$82,$AD$83,$AD$84,$AD$85,$AD$86,$AD$87,$AD$88,$AD$89,$AD$90,$AD$91,$AD$92,$AD$93)</f>
        <v>0.44500002823770046</v>
      </c>
      <c r="AE96" s="168">
        <f>$AE$57-AVERAGE($AE$58,$AE$59,$AE$60,$AE$61,$AE$62,$AE$63,$AE$64,$AE$65,$AE$66,$AE$67,$AE$68,$AE$69,$AE$70,$AE$71,$AE$72,$AE$73,$AE$74,$AE$75,$AE$76,$AE$77,$AE$78,$AE$79,$AE$80,$AE$81,$AE$82,$AE$83,$AE$84,$AE$85,$AE$86,$AE$87,$AE$88,$AE$89,$AE$90,$AE$91,$AE$92,$AE$93)</f>
        <v>0.44853890211217934</v>
      </c>
      <c r="AF96" s="168">
        <f>$AF$57-AVERAGE($AF$58,$AF$59,$AF$60,$AF$61,$AF$62,$AF$63,$AF$64,$AF$65,$AF$66,$AF$67,$AF$68,$AF$69,$AF$70,$AF$71,$AF$72,$AF$73,$AF$74,$AF$75,$AF$76,$AF$77,$AF$78,$AF$79,$AF$80,$AF$81,$AF$82,$AF$83,$AF$84,$AF$85,$AF$86,$AF$87,$AF$88,$AF$89,$AF$90,$AF$91,$AF$92,$AF$93)</f>
        <v>0.45328886413739788</v>
      </c>
    </row>
    <row r="97" spans="1:32" x14ac:dyDescent="0.2">
      <c r="A97" t="s">
        <v>447</v>
      </c>
      <c r="H97">
        <f>INDEX(LOGEST($B$94:$H$94,$B$54:$H$54,TRUE,TRUE), 3)</f>
        <v>0.92201622491753643</v>
      </c>
      <c r="I97">
        <f>INDEX(LOGEST($B$94:$I$94,$B$54:$I$54,TRUE,TRUE), 3)</f>
        <v>0.93477183966947042</v>
      </c>
      <c r="J97">
        <f>INDEX(LOGEST($B$94:$J$94,$B$54:$J$54,TRUE,TRUE), 3)</f>
        <v>0.94730422513519963</v>
      </c>
      <c r="K97">
        <f>INDEX(LOGEST($B$94:$K$94,$B$54:$K$54,TRUE,TRUE), 3)</f>
        <v>0.95862191492092752</v>
      </c>
      <c r="L97">
        <f>INDEX(LOGEST($B$94:$L$94,$B$54:$L$54,TRUE,TRUE), 3)</f>
        <v>0.96784686857592861</v>
      </c>
      <c r="M97">
        <f>INDEX(LOGEST($B$94:$M$94,$B$54:$M$54,TRUE,TRUE), 3)</f>
        <v>0.9750631013324853</v>
      </c>
      <c r="N97">
        <f>INDEX(LOGEST($B$94:$N$94,$B$54:$N$54,TRUE,TRUE), 3)</f>
        <v>0.98039171137793435</v>
      </c>
      <c r="O97">
        <f>INDEX(LOGEST($B$94:$O$94,$B$54:$O$54,TRUE,TRUE), 3)</f>
        <v>0.98386908716604149</v>
      </c>
      <c r="P97" s="155">
        <f>INDEX(LOGEST($B$94:$P$94,$B$54:$P$54,TRUE,TRUE), 3)</f>
        <v>0.98555943462192641</v>
      </c>
      <c r="Q97">
        <f>INDEX(LOGEST($B$94:$Q$94,$B$54:$Q$54,TRUE,TRUE), 3)</f>
        <v>0.98541873131763513</v>
      </c>
      <c r="R97">
        <f>INDEX(LOGEST($B$94:$R$94,$B$54:$R$54,TRUE,TRUE), 3)</f>
        <v>0.98343439143351474</v>
      </c>
      <c r="S97">
        <f>INDEX(LOGEST($B$94:$S$94,$B$54:$S$54,TRUE,TRUE), 3)</f>
        <v>0.97963473297010728</v>
      </c>
      <c r="T97">
        <f>INDEX(LOGEST($B$94:$T$94,$B$54:$T$54,TRUE,TRUE), 3)</f>
        <v>0.97419737025216979</v>
      </c>
      <c r="U97">
        <f>INDEX(LOGEST($B$94:$U$94,$B$54:$U$54,TRUE,TRUE), 3)</f>
        <v>0.96644951485735464</v>
      </c>
      <c r="V97">
        <f>INDEX(LOGEST($B$94:$V$94,$B$54:$V$54,TRUE,TRUE), 3)</f>
        <v>0.95689862639499135</v>
      </c>
      <c r="W97">
        <f>INDEX(LOGEST($B$94:$W$94,$B$54:$W$54,TRUE,TRUE), 3)</f>
        <v>0.94607455783177441</v>
      </c>
      <c r="X97">
        <f>INDEX(LOGEST($B$94:$X$94,$B$54:$X$54,TRUE,TRUE), 3)</f>
        <v>0.93447911763387326</v>
      </c>
      <c r="Y97">
        <f>INDEX(LOGEST($B$94:$Y$94,$B$54:$Y$54,TRUE,TRUE), 3)</f>
        <v>0.92219560425867497</v>
      </c>
      <c r="Z97">
        <f>INDEX(LOGEST($B$94:$Z$94,$B$54:$Z$54,TRUE,TRUE), 3)</f>
        <v>0.90915805053848064</v>
      </c>
      <c r="AA97">
        <f>INDEX(LOGEST($B$94:$AA$94,$B$54:$AA$54,TRUE,TRUE), 3)</f>
        <v>0.89567780713800271</v>
      </c>
      <c r="AB97">
        <f>INDEX(LOGEST($B$94:$AB$94,$B$54:$AB$54,TRUE,TRUE), 3)</f>
        <v>0.88205850757919146</v>
      </c>
      <c r="AC97">
        <f>INDEX(LOGEST($B$94:$AC$94,$B$54:$AC$54,TRUE,TRUE), 3)</f>
        <v>0.8682477218485285</v>
      </c>
      <c r="AD97">
        <f>INDEX(LOGEST($B$94:$AD$94,$B$54:$AD$54,TRUE,TRUE), 3)</f>
        <v>0.85456809015187796</v>
      </c>
      <c r="AE97">
        <f>INDEX(LOGEST($B$94:$AE$94,$B$54:$AE$54,TRUE,TRUE), 3)</f>
        <v>0.84101253185614344</v>
      </c>
      <c r="AF97">
        <f>INDEX(LOGEST($B$94:$AF$94,$B$54:$AF$54,TRUE,TRUE), 3)</f>
        <v>0.8277425546749696</v>
      </c>
    </row>
    <row r="98" spans="1:32" x14ac:dyDescent="0.2">
      <c r="A98" t="s">
        <v>448</v>
      </c>
      <c r="H98">
        <f>INDEX(LOGEST($B$95:$H$95,$B$54:$H$54,TRUE,TRUE), 3)</f>
        <v>0.9360598319960608</v>
      </c>
      <c r="I98">
        <f>INDEX(LOGEST($B$95:$I$95,$B$54:$I$54,TRUE,TRUE), 3)</f>
        <v>0.94470082486027496</v>
      </c>
      <c r="J98">
        <f>INDEX(LOGEST($B$95:$J$95,$B$54:$J$54,TRUE,TRUE), 3)</f>
        <v>0.95450198032203848</v>
      </c>
      <c r="K98">
        <f>INDEX(LOGEST($B$95:$K$95,$B$54:$K$54,TRUE,TRUE), 3)</f>
        <v>0.96410283155026932</v>
      </c>
      <c r="L98">
        <f>INDEX(LOGEST($B$95:$L$95,$B$54:$L$54,TRUE,TRUE), 3)</f>
        <v>0.97211235855625167</v>
      </c>
      <c r="M98">
        <f>INDEX(LOGEST($B$95:$M$95,$B$54:$M$54,TRUE,TRUE), 3)</f>
        <v>0.97843281877883004</v>
      </c>
      <c r="N98">
        <f>INDEX(LOGEST($B$95:$N$95,$B$54:$N$54,TRUE,TRUE), 3)</f>
        <v>0.98301786308181749</v>
      </c>
      <c r="O98">
        <f>INDEX(LOGEST($B$95:$O$95,$B$54:$O$54,TRUE,TRUE), 3)</f>
        <v>0.98591691709142792</v>
      </c>
      <c r="P98" s="155">
        <f>INDEX(LOGEST($B$95:$P$95,$B$54:$P$54,TRUE,TRUE), 3)</f>
        <v>0.98710804385445239</v>
      </c>
      <c r="Q98">
        <f>INDEX(LOGEST($B$95:$Q$95,$B$54:$Q$54,TRUE,TRUE), 3)</f>
        <v>0.98654642715742735</v>
      </c>
      <c r="R98">
        <f>INDEX(LOGEST($B$95:$R$95,$B$54:$R$54,TRUE,TRUE), 3)</f>
        <v>0.98402679021597139</v>
      </c>
      <c r="S98">
        <f>INDEX(LOGEST($B$95:$S$95,$B$54:$S$54,TRUE,TRUE), 3)</f>
        <v>0.97962851686240693</v>
      </c>
      <c r="T98">
        <f>INDEX(LOGEST($B$95:$T$95,$B$54:$T$54,TRUE,TRUE), 3)</f>
        <v>0.97354536330233088</v>
      </c>
      <c r="U98">
        <f>INDEX(LOGEST($B$95:$U$95,$B$54:$U$54,TRUE,TRUE), 3)</f>
        <v>0.96517985355640623</v>
      </c>
      <c r="V98">
        <f>INDEX(LOGEST($B$95:$V$95,$B$54:$V$54,TRUE,TRUE), 3)</f>
        <v>0.95513387917868409</v>
      </c>
      <c r="W98">
        <f>INDEX(LOGEST($B$95:$W$95,$B$54:$W$54,TRUE,TRUE), 3)</f>
        <v>0.94392103519720905</v>
      </c>
      <c r="X98">
        <f>INDEX(LOGEST($B$95:$X$95,$B$54:$X$54,TRUE,TRUE), 3)</f>
        <v>0.93188407580698307</v>
      </c>
      <c r="Y98">
        <f>INDEX(LOGEST($B$95:$Y$95,$B$54:$Y$54,TRUE,TRUE), 3)</f>
        <v>0.91929015466239428</v>
      </c>
      <c r="Z98">
        <f>INDEX(LOGEST($B$95:$Z$95,$B$54:$Z$54,TRUE,TRUE), 3)</f>
        <v>0.90603433291107116</v>
      </c>
      <c r="AA98">
        <f>INDEX(LOGEST($B$95:$AA$95,$B$54:$AA$54,TRUE,TRUE), 3)</f>
        <v>0.89222023061488853</v>
      </c>
      <c r="AB98">
        <f>INDEX(LOGEST($B$95:$AB$95,$B$54:$AB$54,TRUE,TRUE), 3)</f>
        <v>0.87826577597306821</v>
      </c>
      <c r="AC98">
        <f>INDEX(LOGEST($B$95:$AC$95,$B$54:$AC$54,TRUE,TRUE), 3)</f>
        <v>0.86423527877360085</v>
      </c>
      <c r="AD98">
        <f>INDEX(LOGEST($B$95:$AD$95,$B$54:$AD$54,TRUE,TRUE), 3)</f>
        <v>0.85027356795167119</v>
      </c>
      <c r="AE98">
        <f>INDEX(LOGEST($B$95:$AE$95,$B$54:$AE$54,TRUE,TRUE), 3)</f>
        <v>0.83650931026501385</v>
      </c>
      <c r="AF98">
        <f>INDEX(LOGEST($B$95:$AF$95,$B$54:$AF$54,TRUE,TRUE), 3)</f>
        <v>0.82313337571727441</v>
      </c>
    </row>
    <row r="99" spans="1:32" x14ac:dyDescent="0.2">
      <c r="A99" t="s">
        <v>449</v>
      </c>
      <c r="H99">
        <f>INDEX(LOGEST($B$96:$H$96,$B$54:$H$54,TRUE,TRUE), 3)</f>
        <v>0.88586646149816328</v>
      </c>
      <c r="I99">
        <f>INDEX(LOGEST($B$96:$I$96,$B$54:$I$54,TRUE,TRUE), 3)</f>
        <v>0.89973172810225821</v>
      </c>
      <c r="J99">
        <f>INDEX(LOGEST($B$96:$J$96,$B$54:$J$54,TRUE,TRUE), 3)</f>
        <v>0.91569836673705263</v>
      </c>
      <c r="K99">
        <f>INDEX(LOGEST($B$96:$K$96,$B$54:$K$54,TRUE,TRUE), 3)</f>
        <v>0.93073489548895316</v>
      </c>
      <c r="L99">
        <f>INDEX(LOGEST($B$96:$L$96,$B$54:$L$54,TRUE,TRUE), 3)</f>
        <v>0.94381459031734893</v>
      </c>
      <c r="M99">
        <f>INDEX(LOGEST($B$96:$M$96,$B$54:$M$54,TRUE,TRUE), 3)</f>
        <v>0.95509113526968825</v>
      </c>
      <c r="N99">
        <f>INDEX(LOGEST($B$96:$N$96,$B$54:$N$54,TRUE,TRUE), 3)</f>
        <v>0.96423140749191771</v>
      </c>
      <c r="O99">
        <f>INDEX(LOGEST($B$96:$O$96,$B$54:$O$54,TRUE,TRUE), 3)</f>
        <v>0.9713608800078789</v>
      </c>
      <c r="P99">
        <f>INDEX(LOGEST($B$96:$P$96,$B$54:$P$54,TRUE,TRUE), 3)</f>
        <v>0.97652896684562107</v>
      </c>
      <c r="Q99">
        <f>INDEX(LOGEST($B$96:$Q$96,$B$54:$Q$54,TRUE,TRUE), 3)</f>
        <v>0.97956529807412762</v>
      </c>
      <c r="R99" s="155">
        <f>INDEX(LOGEST($B$96:$R$96,$B$54:$R$54,TRUE,TRUE), 3)</f>
        <v>0.98044800543776545</v>
      </c>
      <c r="S99">
        <f>INDEX(LOGEST($B$96:$S$96,$B$54:$S$54,TRUE,TRUE), 3)</f>
        <v>0.9791107854873583</v>
      </c>
      <c r="T99">
        <f>INDEX(LOGEST($B$96:$T$96,$B$54:$T$54,TRUE,TRUE), 3)</f>
        <v>0.97568836049111973</v>
      </c>
      <c r="U99">
        <f>INDEX(LOGEST($B$96:$U$96,$B$54:$U$54,TRUE,TRUE), 3)</f>
        <v>0.96941606441379591</v>
      </c>
      <c r="V99">
        <f>INDEX(LOGEST($B$96:$V$96,$B$54:$V$54,TRUE,TRUE), 3)</f>
        <v>0.9609607359016078</v>
      </c>
      <c r="W99">
        <f>INDEX(LOGEST($B$96:$W$96,$B$54:$W$54,TRUE,TRUE), 3)</f>
        <v>0.95089699704688113</v>
      </c>
      <c r="X99">
        <f>INDEX(LOGEST($B$96:$X$96,$B$54:$X$54,TRUE,TRUE), 3)</f>
        <v>0.94008661802144311</v>
      </c>
      <c r="Y99">
        <f>INDEX(LOGEST($B$96:$Y$96,$B$54:$Y$54,TRUE,TRUE), 3)</f>
        <v>0.92832535811550565</v>
      </c>
      <c r="Z99">
        <f>INDEX(LOGEST($B$96:$Z$96,$B$54:$Z$54,TRUE,TRUE), 3)</f>
        <v>0.91567747283848355</v>
      </c>
      <c r="AA99">
        <f>INDEX(LOGEST($B$96:$AA$96,$B$54:$AA$54,TRUE,TRUE), 3)</f>
        <v>0.90236055912437618</v>
      </c>
      <c r="AB99">
        <f>INDEX(LOGEST($B$96:$AB$96,$B$54:$AB$54,TRUE,TRUE), 3)</f>
        <v>0.88858239803039174</v>
      </c>
      <c r="AC99">
        <f>INDEX(LOGEST($B$96:$AC$96,$B$54:$AC$54,TRUE,TRUE), 3)</f>
        <v>0.8746682561314485</v>
      </c>
      <c r="AD99">
        <f>INDEX(LOGEST($B$96:$AD$96,$B$54:$AD$54,TRUE,TRUE), 3)</f>
        <v>0.86090854653626814</v>
      </c>
      <c r="AE99">
        <f>INDEX(LOGEST($B$96:$AE$96,$B$54:$AE$54,TRUE,TRUE), 3)</f>
        <v>0.84728209769556928</v>
      </c>
      <c r="AF99">
        <f>INDEX(LOGEST($B$96:$AF$96,$B$54:$AF$54,TRUE,TRUE), 3)</f>
        <v>0.83393674369636184</v>
      </c>
    </row>
    <row r="100" spans="1:32" s="160" customFormat="1" x14ac:dyDescent="0.2">
      <c r="A100" s="160" t="s">
        <v>450</v>
      </c>
      <c r="B100" s="160">
        <f>$K$43*EXP($J$49*$B$54)</f>
        <v>1.2518316503473588E-3</v>
      </c>
      <c r="C100" s="160">
        <f>$K$43*EXP($J$49*$C$54)</f>
        <v>1.8311660023333422E-3</v>
      </c>
      <c r="D100" s="160">
        <f>$K$43*EXP($J$49*$D$54)</f>
        <v>2.6786101207546841E-3</v>
      </c>
      <c r="E100" s="160">
        <f>$K$43*EXP($J$49*$E$54)</f>
        <v>3.9182423493374294E-3</v>
      </c>
      <c r="F100" s="160">
        <f>$K$43*EXP($J$49*$F$54)</f>
        <v>5.7315631674742466E-3</v>
      </c>
      <c r="G100" s="160">
        <f>$K$43*EXP($J$49*$G$54)</f>
        <v>8.3840695428914619E-3</v>
      </c>
      <c r="H100" s="160">
        <f>$K$43*EXP($J$49*$H$54)</f>
        <v>1.2264127611633115E-2</v>
      </c>
      <c r="I100" s="160">
        <f>$K$43*EXP($J$49*$I$54)</f>
        <v>1.7939835220229974E-2</v>
      </c>
      <c r="J100" s="160">
        <f>$K$43*EXP($J$49*$J$54)</f>
        <v>2.6242199846626311E-2</v>
      </c>
      <c r="K100" s="160">
        <f>$K$43*EXP($J$49*$K$54)</f>
        <v>3.8386810376814906E-2</v>
      </c>
      <c r="L100" s="160">
        <f>$K$43*EXP($J$49*$L$54)</f>
        <v>5.6151817283526431E-2</v>
      </c>
      <c r="M100" s="160">
        <f>$K$43*EXP($J$49*$M$54)</f>
        <v>8.2138280135588479E-2</v>
      </c>
      <c r="N100" s="160">
        <f>$K$43*EXP($J$49*$N$54)</f>
        <v>0.1201510011611276</v>
      </c>
      <c r="O100" s="160">
        <f>$K$43*EXP($J$49*$O$54)</f>
        <v>0.17575560452679098</v>
      </c>
      <c r="P100" s="160">
        <f>$K$43*EXP($J$49*$P$54)</f>
        <v>0.25709342597281359</v>
      </c>
    </row>
    <row r="101" spans="1:32" s="161" customFormat="1" x14ac:dyDescent="0.2">
      <c r="A101" s="161" t="s">
        <v>451</v>
      </c>
      <c r="B101" s="161">
        <f>$Q$43*EXP($P$49*$B$54)</f>
        <v>1.082626384051531E-3</v>
      </c>
      <c r="C101" s="161">
        <f>$Q$43*EXP($P$49*$C$54)</f>
        <v>1.6042638792405977E-3</v>
      </c>
      <c r="D101" s="161">
        <f>$Q$43*EXP($P$49*$D$54)</f>
        <v>2.3772398605367714E-3</v>
      </c>
      <c r="E101" s="161">
        <f>$Q$43*EXP($P$49*$E$54)</f>
        <v>3.5226557349156314E-3</v>
      </c>
      <c r="F101" s="161">
        <f>$Q$43*EXP($P$49*$F$54)</f>
        <v>5.2199627108440207E-3</v>
      </c>
      <c r="G101" s="161">
        <f>$Q$43*EXP($P$49*$G$54)</f>
        <v>7.7350762473116473E-3</v>
      </c>
      <c r="H101" s="161">
        <f>$Q$43*EXP($P$49*$H$54)</f>
        <v>1.1462036774214932E-2</v>
      </c>
      <c r="I101" s="161">
        <f>$Q$43*EXP($P$49*$I$54)</f>
        <v>1.6984743629271454E-2</v>
      </c>
      <c r="J101" s="161">
        <f>$Q$43*EXP($P$49*$J$54)</f>
        <v>2.5168434008259955E-2</v>
      </c>
      <c r="K101" s="161">
        <f>$Q$43*EXP($P$49*$K$54)</f>
        <v>3.729523884814194E-2</v>
      </c>
      <c r="L101" s="161">
        <f>$Q$43*EXP($P$49*$L$54)</f>
        <v>5.5265053053498249E-2</v>
      </c>
      <c r="M101" s="161">
        <f>$Q$43*EXP($P$49*$M$54)</f>
        <v>8.1893190212351724E-2</v>
      </c>
      <c r="N101" s="161">
        <f>$Q$43*EXP($P$49*$N$54)</f>
        <v>0.12135145508074198</v>
      </c>
      <c r="O101" s="161">
        <f>$Q$43*EXP($P$49*$O$54)</f>
        <v>0.17982173623994716</v>
      </c>
      <c r="P101" s="161">
        <f>$Q$43*EXP($P$49*$P$54)</f>
        <v>0.26646451666223769</v>
      </c>
    </row>
    <row r="102" spans="1:32" s="169" customFormat="1" x14ac:dyDescent="0.2">
      <c r="A102" s="169" t="s">
        <v>452</v>
      </c>
      <c r="B102" s="169">
        <f>$W$43*EXP($V$49*$B$54)</f>
        <v>2.3148558649296784E-3</v>
      </c>
      <c r="C102" s="169">
        <f>$W$43*EXP($V$49*$C$54)</f>
        <v>3.2037286716663622E-3</v>
      </c>
      <c r="D102" s="169">
        <f>$W$43*EXP($V$49*$D$54)</f>
        <v>4.4339164079958441E-3</v>
      </c>
      <c r="E102" s="169">
        <f>$W$43*EXP($V$49*$E$54)</f>
        <v>6.1364793114234524E-3</v>
      </c>
      <c r="F102" s="169">
        <f>$W$43*EXP($V$49*$F$54)</f>
        <v>8.492802947665164E-3</v>
      </c>
      <c r="G102" s="169">
        <f>$W$43*EXP($V$49*$G$54)</f>
        <v>1.1753922444356607E-2</v>
      </c>
      <c r="H102" s="169">
        <f>$W$43*EXP($V$49*$H$54)</f>
        <v>1.626726696466347E-2</v>
      </c>
      <c r="I102" s="169">
        <f>$W$43*EXP($V$49*$I$54)</f>
        <v>2.2513673690835425E-2</v>
      </c>
      <c r="J102" s="169">
        <f>$W$43*EXP($V$49*$J$54)</f>
        <v>3.1158614668244679E-2</v>
      </c>
      <c r="K102" s="169">
        <f>$W$43*EXP($V$49*$K$54)</f>
        <v>4.3123094052809195E-2</v>
      </c>
      <c r="L102" s="169">
        <f>$W$43*EXP($V$49*$L$54)</f>
        <v>5.9681768926095502E-2</v>
      </c>
      <c r="M102" s="169">
        <f>$W$43*EXP($V$49*$M$54)</f>
        <v>8.2598747153575874E-2</v>
      </c>
      <c r="N102" s="169">
        <f>$W$43*EXP($V$49*$N$54)</f>
        <v>0.11431552975228994</v>
      </c>
      <c r="O102" s="169">
        <f>$W$43*EXP($V$49*$O$54)</f>
        <v>0.15821112054217062</v>
      </c>
      <c r="P102" s="169">
        <f>$W$43*EXP($V$49*$P$54)</f>
        <v>0.21896201432516102</v>
      </c>
      <c r="Q102" s="169">
        <f>$W$43*EXP($V$49*$Q$54)</f>
        <v>0.30304041557276357</v>
      </c>
      <c r="R102" s="169">
        <f>$W$43*EXP($V$49*$R$54)</f>
        <v>0.41940376623563369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BEBD0-E299-5142-ABCD-59FA6D0DC826}">
  <sheetPr codeName="Sheet55"/>
  <dimension ref="A42:AF102"/>
  <sheetViews>
    <sheetView workbookViewId="0"/>
  </sheetViews>
  <sheetFormatPr baseColWidth="10" defaultRowHeight="15" x14ac:dyDescent="0.2"/>
  <sheetData>
    <row r="42" spans="9:24" x14ac:dyDescent="0.2">
      <c r="I42" t="s">
        <v>249</v>
      </c>
      <c r="O42" t="s">
        <v>249</v>
      </c>
      <c r="U42" t="s">
        <v>249</v>
      </c>
    </row>
    <row r="43" spans="9:24" x14ac:dyDescent="0.2">
      <c r="I43" t="s">
        <v>250</v>
      </c>
      <c r="J43" s="159">
        <f t="array" ref="J43:K47">LOGEST($B$94:$Q$94,$B$54:$Q$54,TRUE,TRUE)</f>
        <v>1.0004032716973295</v>
      </c>
      <c r="K43" s="159">
        <v>1.2347024842433243E-3</v>
      </c>
      <c r="L43" t="s">
        <v>255</v>
      </c>
      <c r="O43" t="s">
        <v>250</v>
      </c>
      <c r="P43" s="159">
        <f t="array" ref="P43:Q47">LOGEST($B$95:$P$95,$B$54:$P$54,TRUE,TRUE)</f>
        <v>1.0004318167727264</v>
      </c>
      <c r="Q43" s="159">
        <v>9.592915875583167E-4</v>
      </c>
      <c r="R43" t="s">
        <v>255</v>
      </c>
      <c r="U43" t="s">
        <v>250</v>
      </c>
      <c r="V43" s="159">
        <f t="array" ref="V43:W47">LOGEST($B$96:$Q$96,$B$54:$Q$54,TRUE,TRUE)</f>
        <v>1.0004190419949186</v>
      </c>
      <c r="W43" s="159">
        <v>1.0238363788715697E-3</v>
      </c>
      <c r="X43" t="s">
        <v>255</v>
      </c>
    </row>
    <row r="44" spans="9:24" x14ac:dyDescent="0.2">
      <c r="I44" t="s">
        <v>251</v>
      </c>
      <c r="J44" s="159">
        <v>1.250858885948459E-5</v>
      </c>
      <c r="K44" s="159">
        <v>9.9117406782692347E-2</v>
      </c>
      <c r="L44" t="s">
        <v>256</v>
      </c>
      <c r="O44" t="s">
        <v>251</v>
      </c>
      <c r="P44" s="159">
        <v>1.3390833054836045E-5</v>
      </c>
      <c r="Q44" s="159">
        <v>9.9148408850592021E-2</v>
      </c>
      <c r="R44" t="s">
        <v>256</v>
      </c>
      <c r="U44" t="s">
        <v>251</v>
      </c>
      <c r="V44" s="159">
        <v>1.371979020254148E-5</v>
      </c>
      <c r="W44" s="159">
        <v>0.10871490315611296</v>
      </c>
      <c r="X44" t="s">
        <v>256</v>
      </c>
    </row>
    <row r="45" spans="9:24" x14ac:dyDescent="0.2">
      <c r="I45" t="s">
        <v>252</v>
      </c>
      <c r="J45" s="159">
        <v>0.98670429672658433</v>
      </c>
      <c r="K45" s="159">
        <v>0.2076053486566477</v>
      </c>
      <c r="L45" t="s">
        <v>257</v>
      </c>
      <c r="O45" t="s">
        <v>252</v>
      </c>
      <c r="P45" s="159">
        <v>0.98764766469365073</v>
      </c>
      <c r="Q45" s="159">
        <v>0.20168675245098297</v>
      </c>
      <c r="R45" t="s">
        <v>257</v>
      </c>
      <c r="U45" t="s">
        <v>252</v>
      </c>
      <c r="V45" s="159">
        <v>0.9852083064778856</v>
      </c>
      <c r="W45" s="159">
        <v>0.22770768633385602</v>
      </c>
      <c r="X45" t="s">
        <v>257</v>
      </c>
    </row>
    <row r="46" spans="9:24" x14ac:dyDescent="0.2">
      <c r="I46" t="s">
        <v>253</v>
      </c>
      <c r="J46" s="159">
        <v>1038.9717542653457</v>
      </c>
      <c r="K46" s="159">
        <v>14</v>
      </c>
      <c r="L46" t="s">
        <v>258</v>
      </c>
      <c r="O46" t="s">
        <v>253</v>
      </c>
      <c r="P46" s="159">
        <v>1039.4325706506506</v>
      </c>
      <c r="Q46" s="159">
        <v>13</v>
      </c>
      <c r="R46" t="s">
        <v>258</v>
      </c>
      <c r="U46" t="s">
        <v>253</v>
      </c>
      <c r="V46" s="159">
        <v>932.47715483485752</v>
      </c>
      <c r="W46" s="159">
        <v>14</v>
      </c>
      <c r="X46" t="s">
        <v>258</v>
      </c>
    </row>
    <row r="47" spans="9:24" x14ac:dyDescent="0.2">
      <c r="I47" t="s">
        <v>254</v>
      </c>
      <c r="J47" s="159">
        <v>44.779662651070304</v>
      </c>
      <c r="K47" s="159">
        <v>0.6033997310718755</v>
      </c>
      <c r="L47" t="s">
        <v>259</v>
      </c>
      <c r="O47" t="s">
        <v>254</v>
      </c>
      <c r="P47" s="159">
        <v>42.281566325268329</v>
      </c>
      <c r="Q47" s="159">
        <v>0.52880809948491314</v>
      </c>
      <c r="R47" t="s">
        <v>259</v>
      </c>
      <c r="U47" t="s">
        <v>254</v>
      </c>
      <c r="V47" s="159">
        <v>48.349677522600494</v>
      </c>
      <c r="W47" s="159">
        <v>0.72591106581724851</v>
      </c>
      <c r="X47" t="s">
        <v>259</v>
      </c>
    </row>
    <row r="49" spans="1:32" x14ac:dyDescent="0.2">
      <c r="I49" t="s">
        <v>260</v>
      </c>
      <c r="J49">
        <f>LN($J$43)</f>
        <v>4.0319040515300966E-4</v>
      </c>
      <c r="O49" t="s">
        <v>260</v>
      </c>
      <c r="P49">
        <f>LN($P$43)</f>
        <v>4.3172356669479478E-4</v>
      </c>
      <c r="U49" t="s">
        <v>260</v>
      </c>
      <c r="V49">
        <f>LN($V$43)</f>
        <v>4.189542213415353E-4</v>
      </c>
    </row>
    <row r="50" spans="1:32" x14ac:dyDescent="0.2">
      <c r="I50" t="s">
        <v>261</v>
      </c>
      <c r="J50">
        <f>ROUND(LN(2)/$J$49, 1)</f>
        <v>1719.2</v>
      </c>
      <c r="O50" t="s">
        <v>261</v>
      </c>
      <c r="P50">
        <f>ROUND(LN(2)/$P$49, 1)</f>
        <v>1605.5</v>
      </c>
      <c r="U50" t="s">
        <v>261</v>
      </c>
      <c r="V50">
        <f>ROUND(LN(2)/$V$49, 1)</f>
        <v>1654.5</v>
      </c>
    </row>
    <row r="51" spans="1:32" x14ac:dyDescent="0.2">
      <c r="I51" t="s">
        <v>204</v>
      </c>
      <c r="J51" s="155">
        <f>ROUND($J$50/60, 1)</f>
        <v>28.7</v>
      </c>
      <c r="O51" t="s">
        <v>204</v>
      </c>
      <c r="P51" s="155">
        <f>ROUND($P$50/60, 1)</f>
        <v>26.8</v>
      </c>
      <c r="U51" t="s">
        <v>204</v>
      </c>
      <c r="V51" s="155">
        <f>ROUND($V$50/60, 1)</f>
        <v>27.6</v>
      </c>
    </row>
    <row r="54" spans="1:32" x14ac:dyDescent="0.2">
      <c r="A54" t="s">
        <v>206</v>
      </c>
      <c r="B54" s="166">
        <v>0</v>
      </c>
      <c r="C54" s="166">
        <v>900.1</v>
      </c>
      <c r="D54" s="166">
        <v>1800.2</v>
      </c>
      <c r="E54" s="166">
        <v>2700.3</v>
      </c>
      <c r="F54" s="166">
        <v>3600.4</v>
      </c>
      <c r="G54" s="166">
        <v>4500.5</v>
      </c>
      <c r="H54" s="166">
        <v>5400.6</v>
      </c>
      <c r="I54" s="166">
        <v>6300.7</v>
      </c>
      <c r="J54" s="166">
        <v>7200.8</v>
      </c>
      <c r="K54" s="166">
        <v>8100.9</v>
      </c>
      <c r="L54" s="166">
        <v>9001</v>
      </c>
      <c r="M54" s="166">
        <v>9901.1</v>
      </c>
      <c r="N54" s="166">
        <v>10801.2</v>
      </c>
      <c r="O54" s="166">
        <v>11701.3</v>
      </c>
      <c r="P54" s="166">
        <v>12601.4</v>
      </c>
      <c r="Q54" s="166">
        <v>13501.5</v>
      </c>
      <c r="R54" s="166">
        <v>14401.6</v>
      </c>
      <c r="S54" s="166">
        <v>15301.7</v>
      </c>
      <c r="T54" s="166">
        <v>16201.8</v>
      </c>
      <c r="U54" s="166">
        <v>17101.900000000001</v>
      </c>
      <c r="V54" s="166">
        <v>18002</v>
      </c>
      <c r="W54" s="166">
        <v>18902.099999999999</v>
      </c>
      <c r="X54" s="166">
        <v>19802.2</v>
      </c>
      <c r="Y54" s="166">
        <v>20702.3</v>
      </c>
      <c r="Z54" s="166">
        <v>21602.400000000001</v>
      </c>
      <c r="AA54" s="166">
        <v>22502.5</v>
      </c>
      <c r="AB54" s="166">
        <v>23402.6</v>
      </c>
      <c r="AC54" s="166">
        <v>24302.7</v>
      </c>
      <c r="AD54" s="166">
        <v>25202.799999999999</v>
      </c>
      <c r="AE54" s="166">
        <v>26102.9</v>
      </c>
      <c r="AF54" s="166">
        <v>27003</v>
      </c>
    </row>
    <row r="55" spans="1:32" x14ac:dyDescent="0.2">
      <c r="A55" s="156" t="s">
        <v>453</v>
      </c>
      <c r="B55" s="156">
        <v>0.10859999805688858</v>
      </c>
      <c r="C55" s="156">
        <v>0.10859999805688858</v>
      </c>
      <c r="D55" s="156">
        <v>0.10899999737739563</v>
      </c>
      <c r="E55" s="156">
        <v>0.10930000245571136</v>
      </c>
      <c r="F55" s="156">
        <v>0.11020000278949738</v>
      </c>
      <c r="G55" s="156">
        <v>0.11240000277757645</v>
      </c>
      <c r="H55" s="156">
        <v>0.11590000241994858</v>
      </c>
      <c r="I55" s="156">
        <v>0.12160000205039978</v>
      </c>
      <c r="J55" s="156">
        <v>0.13089999556541443</v>
      </c>
      <c r="K55" s="156">
        <v>0.14460000395774841</v>
      </c>
      <c r="L55" s="156">
        <v>0.16359999775886536</v>
      </c>
      <c r="M55" s="156">
        <v>0.18799999356269836</v>
      </c>
      <c r="N55" s="156">
        <v>0.21639999747276306</v>
      </c>
      <c r="O55" s="156">
        <v>0.24969999492168427</v>
      </c>
      <c r="P55" s="156">
        <v>0.289000004529953</v>
      </c>
      <c r="Q55" s="156">
        <v>0.33140000700950623</v>
      </c>
      <c r="R55" s="156">
        <v>0.37610000371932983</v>
      </c>
      <c r="S55" s="156">
        <v>0.41539999842643738</v>
      </c>
      <c r="T55" s="156">
        <v>0.4546000063419342</v>
      </c>
      <c r="U55" s="156">
        <v>0.47530001401901245</v>
      </c>
      <c r="V55" s="156">
        <f t="shared" ref="V55:V57" si="0">AVERAGE(U55,W55)</f>
        <v>0.48765000700950623</v>
      </c>
      <c r="W55" s="156">
        <v>0.5</v>
      </c>
      <c r="X55" s="156">
        <v>0.51050001382827759</v>
      </c>
      <c r="Y55" s="156">
        <v>0.52120000123977661</v>
      </c>
      <c r="Z55" s="156">
        <v>0.53259998559951782</v>
      </c>
      <c r="AA55" s="156">
        <v>0.54079997539520264</v>
      </c>
      <c r="AB55" s="156">
        <v>0.54559999704360962</v>
      </c>
      <c r="AC55" s="156">
        <v>0.55220001935958862</v>
      </c>
      <c r="AD55" s="156">
        <v>0.5591999888420105</v>
      </c>
      <c r="AE55" s="156">
        <v>0.56550002098083496</v>
      </c>
      <c r="AF55" s="156">
        <v>0.57209998369216919</v>
      </c>
    </row>
    <row r="56" spans="1:32" x14ac:dyDescent="0.2">
      <c r="A56" s="157" t="s">
        <v>454</v>
      </c>
      <c r="B56" s="157">
        <v>0.10819999873638153</v>
      </c>
      <c r="C56" s="157">
        <v>0.10819999873638153</v>
      </c>
      <c r="D56" s="157">
        <v>0.10830000042915344</v>
      </c>
      <c r="E56" s="157">
        <v>0.1088000014424324</v>
      </c>
      <c r="F56" s="157">
        <v>0.10980000346899033</v>
      </c>
      <c r="G56" s="157">
        <v>0.11180000007152557</v>
      </c>
      <c r="H56" s="157">
        <v>0.11519999802112579</v>
      </c>
      <c r="I56" s="157">
        <v>0.12099999934434891</v>
      </c>
      <c r="J56" s="157">
        <v>0.13009999692440033</v>
      </c>
      <c r="K56" s="157">
        <v>0.14360000193119049</v>
      </c>
      <c r="L56" s="157">
        <v>0.16259999573230743</v>
      </c>
      <c r="M56" s="157">
        <v>0.18719999492168427</v>
      </c>
      <c r="N56" s="157">
        <v>0.21529999375343323</v>
      </c>
      <c r="O56" s="157">
        <v>0.24869999289512634</v>
      </c>
      <c r="P56" s="157">
        <v>0.28839999437332153</v>
      </c>
      <c r="Q56" s="157">
        <v>0.33039999008178711</v>
      </c>
      <c r="R56" s="157">
        <v>0.37560001015663147</v>
      </c>
      <c r="S56" s="157">
        <v>0.41490000486373901</v>
      </c>
      <c r="T56" s="157">
        <v>0.45390000939369202</v>
      </c>
      <c r="U56" s="157">
        <v>0.47459998726844788</v>
      </c>
      <c r="V56" s="157">
        <f t="shared" si="0"/>
        <v>0.48709999024868011</v>
      </c>
      <c r="W56" s="157">
        <v>0.49959999322891235</v>
      </c>
      <c r="X56" s="157">
        <v>0.50919997692108154</v>
      </c>
      <c r="Y56" s="157">
        <v>0.52029997110366821</v>
      </c>
      <c r="Z56" s="157">
        <v>0.53140002489089966</v>
      </c>
      <c r="AA56" s="157">
        <v>0.53909999132156372</v>
      </c>
      <c r="AB56" s="157">
        <v>0.54439997673034668</v>
      </c>
      <c r="AC56" s="157">
        <v>0.5504000186920166</v>
      </c>
      <c r="AD56" s="157">
        <v>0.55610001087188721</v>
      </c>
      <c r="AE56" s="157">
        <v>0.56410002708435059</v>
      </c>
      <c r="AF56" s="157">
        <v>0.57039999961853027</v>
      </c>
    </row>
    <row r="57" spans="1:32" x14ac:dyDescent="0.2">
      <c r="A57" s="168" t="s">
        <v>455</v>
      </c>
      <c r="B57" s="168">
        <v>0.10840000212192535</v>
      </c>
      <c r="C57" s="168">
        <v>0.10830000042915344</v>
      </c>
      <c r="D57" s="168">
        <v>0.10830000042915344</v>
      </c>
      <c r="E57" s="168">
        <v>0.10890000313520432</v>
      </c>
      <c r="F57" s="168">
        <v>0.10970000177621841</v>
      </c>
      <c r="G57" s="168">
        <v>0.11190000176429749</v>
      </c>
      <c r="H57" s="168">
        <v>0.11509999632835388</v>
      </c>
      <c r="I57" s="168">
        <v>0.120899997651577</v>
      </c>
      <c r="J57" s="168">
        <v>0.12980000674724579</v>
      </c>
      <c r="K57" s="168">
        <v>0.14329999685287476</v>
      </c>
      <c r="L57" s="168">
        <v>0.16210000216960907</v>
      </c>
      <c r="M57" s="168">
        <v>0.1867000013589859</v>
      </c>
      <c r="N57" s="168">
        <v>0.21490000188350677</v>
      </c>
      <c r="O57" s="168">
        <v>0.24740000069141388</v>
      </c>
      <c r="P57" s="168">
        <v>0.28690001368522644</v>
      </c>
      <c r="Q57" s="168">
        <v>0.32989999651908875</v>
      </c>
      <c r="R57" s="168">
        <v>0.37349998950958252</v>
      </c>
      <c r="S57" s="168">
        <v>0.41290000081062317</v>
      </c>
      <c r="T57" s="168">
        <v>0.45230001211166382</v>
      </c>
      <c r="U57" s="168">
        <v>0.4731999933719635</v>
      </c>
      <c r="V57" s="168">
        <f t="shared" si="0"/>
        <v>0.4857499897480011</v>
      </c>
      <c r="W57" s="168">
        <v>0.4982999861240387</v>
      </c>
      <c r="X57" s="168">
        <v>0.50819998979568481</v>
      </c>
      <c r="Y57" s="168">
        <v>0.51829999685287476</v>
      </c>
      <c r="Z57" s="168">
        <v>0.52950000762939453</v>
      </c>
      <c r="AA57" s="168">
        <v>0.53769999742507935</v>
      </c>
      <c r="AB57" s="168">
        <v>0.54180002212524414</v>
      </c>
      <c r="AC57" s="168">
        <v>0.54799997806549072</v>
      </c>
      <c r="AD57" s="168">
        <v>0.55470001697540283</v>
      </c>
      <c r="AE57" s="168">
        <v>0.56209999322891235</v>
      </c>
      <c r="AF57" s="168">
        <v>0.5680999755859375</v>
      </c>
    </row>
    <row r="58" spans="1:32" x14ac:dyDescent="0.2">
      <c r="A58" s="158" t="s">
        <v>209</v>
      </c>
      <c r="B58" s="158">
        <v>0.10480000078678131</v>
      </c>
      <c r="C58" s="158">
        <v>0.1046999990940094</v>
      </c>
      <c r="D58" s="158">
        <v>0.1046999990940094</v>
      </c>
      <c r="E58" s="158">
        <v>0.10480000078678131</v>
      </c>
      <c r="F58" s="158">
        <v>0.10459999740123749</v>
      </c>
      <c r="G58" s="158">
        <v>0.10450000315904617</v>
      </c>
      <c r="H58" s="158">
        <v>0.10440000146627426</v>
      </c>
      <c r="I58" s="158">
        <v>0.10429999977350235</v>
      </c>
      <c r="J58" s="158">
        <v>0.10419999808073044</v>
      </c>
      <c r="K58" s="158">
        <v>0.10419999808073044</v>
      </c>
      <c r="L58" s="158">
        <v>0.10419999808073044</v>
      </c>
      <c r="M58" s="158">
        <v>0.10409999638795853</v>
      </c>
      <c r="N58" s="158">
        <v>0.10400000214576721</v>
      </c>
      <c r="O58" s="158">
        <v>0.1039000004529953</v>
      </c>
      <c r="P58" s="158">
        <v>0.10379999876022339</v>
      </c>
      <c r="Q58" s="158">
        <v>0.10379999876022339</v>
      </c>
      <c r="R58" s="158">
        <v>0.1039000004529953</v>
      </c>
      <c r="S58" s="158">
        <v>0.10360000282526016</v>
      </c>
      <c r="T58" s="158">
        <v>0.10360000282526016</v>
      </c>
      <c r="U58" s="158">
        <v>0.10379999876022339</v>
      </c>
      <c r="V58" s="158">
        <f>AVERAGE(U58,W58)</f>
        <v>0.10359999909996986</v>
      </c>
      <c r="W58" s="158">
        <v>0.10339999943971634</v>
      </c>
      <c r="X58" s="158">
        <v>0.10329999774694443</v>
      </c>
      <c r="Y58" s="158">
        <v>0.10320000350475311</v>
      </c>
      <c r="Z58" s="158">
        <v>0.10320000350475311</v>
      </c>
      <c r="AA58" s="158">
        <v>0.1031000018119812</v>
      </c>
      <c r="AB58" s="158">
        <v>0.1031000018119812</v>
      </c>
      <c r="AC58" s="158">
        <v>0.10300000011920929</v>
      </c>
      <c r="AD58" s="158">
        <v>0.10300000011920929</v>
      </c>
      <c r="AE58" s="158">
        <v>0.10289999842643738</v>
      </c>
      <c r="AF58" s="158">
        <v>0.10289999842643738</v>
      </c>
    </row>
    <row r="59" spans="1:32" x14ac:dyDescent="0.2">
      <c r="A59" s="158" t="s">
        <v>210</v>
      </c>
      <c r="B59" s="158">
        <v>0.10660000145435333</v>
      </c>
      <c r="C59" s="158">
        <v>0.10649999976158142</v>
      </c>
      <c r="D59" s="158">
        <v>0.10649999976158142</v>
      </c>
      <c r="E59" s="158">
        <v>0.10649999976158142</v>
      </c>
      <c r="F59" s="158">
        <v>0.10639999806880951</v>
      </c>
      <c r="G59" s="158">
        <v>0.1062999963760376</v>
      </c>
      <c r="H59" s="158">
        <v>0.1062999963760376</v>
      </c>
      <c r="I59" s="158">
        <v>0.10610000044107437</v>
      </c>
      <c r="J59" s="158">
        <v>0.10610000044107437</v>
      </c>
      <c r="K59" s="158">
        <v>0.10610000044107437</v>
      </c>
      <c r="L59" s="158">
        <v>0.10610000044107437</v>
      </c>
      <c r="M59" s="158">
        <v>0.10599999874830246</v>
      </c>
      <c r="N59" s="158">
        <v>0.10589999705553055</v>
      </c>
      <c r="O59" s="158">
        <v>0.10589999705553055</v>
      </c>
      <c r="P59" s="158">
        <v>0.10570000112056732</v>
      </c>
      <c r="Q59" s="158">
        <v>0.10570000112056732</v>
      </c>
      <c r="R59" s="158">
        <v>0.10570000112056732</v>
      </c>
      <c r="S59" s="158">
        <v>0.10559999942779541</v>
      </c>
      <c r="T59" s="158">
        <v>0.10559999942779541</v>
      </c>
      <c r="U59" s="158">
        <v>0.10559999942779541</v>
      </c>
      <c r="V59" s="158">
        <f t="shared" ref="V59:V93" si="1">AVERAGE(U59,W59)</f>
        <v>0.1055000014603138</v>
      </c>
      <c r="W59" s="158">
        <v>0.10540000349283218</v>
      </c>
      <c r="X59" s="158">
        <v>0.10540000349283218</v>
      </c>
      <c r="Y59" s="158">
        <v>0.10530000180006027</v>
      </c>
      <c r="Z59" s="158">
        <v>0.10530000180006027</v>
      </c>
      <c r="AA59" s="158">
        <v>0.10520000010728836</v>
      </c>
      <c r="AB59" s="158">
        <v>0.10520000010728836</v>
      </c>
      <c r="AC59" s="158">
        <v>0.10520000010728836</v>
      </c>
      <c r="AD59" s="158">
        <v>0.10509999841451645</v>
      </c>
      <c r="AE59" s="158">
        <v>0.10509999841451645</v>
      </c>
      <c r="AF59" s="158">
        <v>0.10509999841451645</v>
      </c>
    </row>
    <row r="60" spans="1:32" x14ac:dyDescent="0.2">
      <c r="A60" s="158" t="s">
        <v>211</v>
      </c>
      <c r="B60" s="158">
        <v>0.10740000009536743</v>
      </c>
      <c r="C60" s="158">
        <v>0.10740000009536743</v>
      </c>
      <c r="D60" s="158">
        <v>0.10729999840259552</v>
      </c>
      <c r="E60" s="158">
        <v>0.10729999840259552</v>
      </c>
      <c r="F60" s="158">
        <v>0.10719999670982361</v>
      </c>
      <c r="G60" s="158">
        <v>0.10719999670982361</v>
      </c>
      <c r="H60" s="158">
        <v>0.10710000246763229</v>
      </c>
      <c r="I60" s="158">
        <v>0.10689999908208847</v>
      </c>
      <c r="J60" s="158">
        <v>0.10689999908208847</v>
      </c>
      <c r="K60" s="158">
        <v>0.10710000246763229</v>
      </c>
      <c r="L60" s="158">
        <v>0.10679999738931656</v>
      </c>
      <c r="M60" s="158">
        <v>0.10670000314712524</v>
      </c>
      <c r="N60" s="158">
        <v>0.10670000314712524</v>
      </c>
      <c r="O60" s="158">
        <v>0.10660000145435333</v>
      </c>
      <c r="P60" s="158">
        <v>0.10649999976158142</v>
      </c>
      <c r="Q60" s="158">
        <v>0.10649999976158142</v>
      </c>
      <c r="R60" s="158">
        <v>0.10639999806880951</v>
      </c>
      <c r="S60" s="158">
        <v>0.1062999963760376</v>
      </c>
      <c r="T60" s="158">
        <v>0.1062999963760376</v>
      </c>
      <c r="U60" s="158">
        <v>0.1062999963760376</v>
      </c>
      <c r="V60" s="158">
        <f t="shared" si="1"/>
        <v>0.10624999925494194</v>
      </c>
      <c r="W60" s="158">
        <v>0.10620000213384628</v>
      </c>
      <c r="X60" s="158">
        <v>0.10610000044107437</v>
      </c>
      <c r="Y60" s="158">
        <v>0.10610000044107437</v>
      </c>
      <c r="Z60" s="158">
        <v>0.10599999874830246</v>
      </c>
      <c r="AA60" s="158">
        <v>0.10589999705553055</v>
      </c>
      <c r="AB60" s="158">
        <v>0.10589999705553055</v>
      </c>
      <c r="AC60" s="158">
        <v>0.10599999874830246</v>
      </c>
      <c r="AD60" s="158">
        <v>0.10580000281333923</v>
      </c>
      <c r="AE60" s="158">
        <v>0.10580000281333923</v>
      </c>
      <c r="AF60" s="158">
        <v>0.10580000281333923</v>
      </c>
    </row>
    <row r="61" spans="1:32" x14ac:dyDescent="0.2">
      <c r="A61" s="158" t="s">
        <v>212</v>
      </c>
      <c r="B61" s="158">
        <v>0.10700000077486038</v>
      </c>
      <c r="C61" s="158">
        <v>0.10689999908208847</v>
      </c>
      <c r="D61" s="158">
        <v>0.10679999738931656</v>
      </c>
      <c r="E61" s="158">
        <v>0.10689999908208847</v>
      </c>
      <c r="F61" s="158">
        <v>0.10670000314712524</v>
      </c>
      <c r="G61" s="158">
        <v>0.10689999908208847</v>
      </c>
      <c r="H61" s="158">
        <v>0.10660000145435333</v>
      </c>
      <c r="I61" s="158">
        <v>0.10639999806880951</v>
      </c>
      <c r="J61" s="158">
        <v>0.10639999806880951</v>
      </c>
      <c r="K61" s="158">
        <v>0.1062999963760376</v>
      </c>
      <c r="L61" s="158">
        <v>0.1062999963760376</v>
      </c>
      <c r="M61" s="158">
        <v>0.1062999963760376</v>
      </c>
      <c r="N61" s="158">
        <v>0.10620000213384628</v>
      </c>
      <c r="O61" s="158">
        <v>0.10610000044107437</v>
      </c>
      <c r="P61" s="158">
        <v>0.10599999874830246</v>
      </c>
      <c r="Q61" s="158">
        <v>0.10599999874830246</v>
      </c>
      <c r="R61" s="158">
        <v>0.10599999874830246</v>
      </c>
      <c r="S61" s="158">
        <v>0.10580000281333923</v>
      </c>
      <c r="T61" s="158">
        <v>0.10580000281333923</v>
      </c>
      <c r="U61" s="158">
        <v>0.10580000281333923</v>
      </c>
      <c r="V61" s="158">
        <f t="shared" si="1"/>
        <v>0.10575000196695328</v>
      </c>
      <c r="W61" s="158">
        <v>0.10570000112056732</v>
      </c>
      <c r="X61" s="158">
        <v>0.10559999942779541</v>
      </c>
      <c r="Y61" s="158">
        <v>0.10559999942779541</v>
      </c>
      <c r="Z61" s="158">
        <v>0.10559999942779541</v>
      </c>
      <c r="AA61" s="158">
        <v>0.10540000349283218</v>
      </c>
      <c r="AB61" s="158">
        <v>0.10540000349283218</v>
      </c>
      <c r="AC61" s="158">
        <v>0.10540000349283218</v>
      </c>
      <c r="AD61" s="158">
        <v>0.10540000349283218</v>
      </c>
      <c r="AE61" s="158">
        <v>0.10530000180006027</v>
      </c>
      <c r="AF61" s="158">
        <v>0.10530000180006027</v>
      </c>
    </row>
    <row r="62" spans="1:32" x14ac:dyDescent="0.2">
      <c r="A62" s="158" t="s">
        <v>213</v>
      </c>
      <c r="B62" s="158">
        <v>0.10570000112056732</v>
      </c>
      <c r="C62" s="158">
        <v>0.1054999977350235</v>
      </c>
      <c r="D62" s="158">
        <v>0.1054999977350235</v>
      </c>
      <c r="E62" s="158">
        <v>0.1054999977350235</v>
      </c>
      <c r="F62" s="158">
        <v>0.10540000349283218</v>
      </c>
      <c r="G62" s="158">
        <v>0.10530000180006027</v>
      </c>
      <c r="H62" s="158">
        <v>0.10520000010728836</v>
      </c>
      <c r="I62" s="158">
        <v>0.10520000010728836</v>
      </c>
      <c r="J62" s="158">
        <v>0.10499999672174454</v>
      </c>
      <c r="K62" s="158">
        <v>0.10499999672174454</v>
      </c>
      <c r="L62" s="158">
        <v>0.10499999672174454</v>
      </c>
      <c r="M62" s="158">
        <v>0.10490000247955322</v>
      </c>
      <c r="N62" s="158">
        <v>0.10490000247955322</v>
      </c>
      <c r="O62" s="158">
        <v>0.10480000078678131</v>
      </c>
      <c r="P62" s="158">
        <v>0.10459999740123749</v>
      </c>
      <c r="Q62" s="158">
        <v>0.10459999740123749</v>
      </c>
      <c r="R62" s="158">
        <v>0.10459999740123749</v>
      </c>
      <c r="S62" s="158">
        <v>0.10440000146627426</v>
      </c>
      <c r="T62" s="158">
        <v>0.10450000315904617</v>
      </c>
      <c r="U62" s="158">
        <v>0.10450000315904617</v>
      </c>
      <c r="V62" s="158">
        <f t="shared" si="1"/>
        <v>0.10445000231266022</v>
      </c>
      <c r="W62" s="158">
        <v>0.10440000146627426</v>
      </c>
      <c r="X62" s="158">
        <v>0.10440000146627426</v>
      </c>
      <c r="Y62" s="158">
        <v>0.10429999977350235</v>
      </c>
      <c r="Z62" s="158">
        <v>0.10419999808073044</v>
      </c>
      <c r="AA62" s="158">
        <v>0.10419999808073044</v>
      </c>
      <c r="AB62" s="158">
        <v>0.10419999808073044</v>
      </c>
      <c r="AC62" s="158">
        <v>0.10440000146627426</v>
      </c>
      <c r="AD62" s="158">
        <v>0.10409999638795853</v>
      </c>
      <c r="AE62" s="158">
        <v>0.10400000214576721</v>
      </c>
      <c r="AF62" s="158">
        <v>0.10400000214576721</v>
      </c>
    </row>
    <row r="63" spans="1:32" x14ac:dyDescent="0.2">
      <c r="A63" s="158" t="s">
        <v>214</v>
      </c>
      <c r="B63" s="158">
        <v>0.10689999908208847</v>
      </c>
      <c r="C63" s="158">
        <v>0.10679999738931656</v>
      </c>
      <c r="D63" s="158">
        <v>0.10679999738931656</v>
      </c>
      <c r="E63" s="158">
        <v>0.10679999738931656</v>
      </c>
      <c r="F63" s="158">
        <v>0.10670000314712524</v>
      </c>
      <c r="G63" s="158">
        <v>0.10660000145435333</v>
      </c>
      <c r="H63" s="158">
        <v>0.10649999976158142</v>
      </c>
      <c r="I63" s="158">
        <v>0.1062999963760376</v>
      </c>
      <c r="J63" s="158">
        <v>0.1062999963760376</v>
      </c>
      <c r="K63" s="158">
        <v>0.10620000213384628</v>
      </c>
      <c r="L63" s="158">
        <v>0.1062999963760376</v>
      </c>
      <c r="M63" s="158">
        <v>0.10620000213384628</v>
      </c>
      <c r="N63" s="158">
        <v>0.10610000044107437</v>
      </c>
      <c r="O63" s="158">
        <v>0.10610000044107437</v>
      </c>
      <c r="P63" s="158">
        <v>0.10580000281333923</v>
      </c>
      <c r="Q63" s="158">
        <v>0.10589999705553055</v>
      </c>
      <c r="R63" s="158">
        <v>0.10580000281333923</v>
      </c>
      <c r="S63" s="158">
        <v>0.10570000112056732</v>
      </c>
      <c r="T63" s="158">
        <v>0.10570000112056732</v>
      </c>
      <c r="U63" s="158">
        <v>0.10570000112056732</v>
      </c>
      <c r="V63" s="158">
        <f t="shared" si="1"/>
        <v>0.10565000027418137</v>
      </c>
      <c r="W63" s="158">
        <v>0.10559999942779541</v>
      </c>
      <c r="X63" s="158">
        <v>0.1054999977350235</v>
      </c>
      <c r="Y63" s="158">
        <v>0.1054999977350235</v>
      </c>
      <c r="Z63" s="158">
        <v>0.10540000349283218</v>
      </c>
      <c r="AA63" s="158">
        <v>0.10540000349283218</v>
      </c>
      <c r="AB63" s="158">
        <v>0.10540000349283218</v>
      </c>
      <c r="AC63" s="158">
        <v>0.10540000349283218</v>
      </c>
      <c r="AD63" s="158">
        <v>0.10530000180006027</v>
      </c>
      <c r="AE63" s="158">
        <v>0.10520000010728836</v>
      </c>
      <c r="AF63" s="158">
        <v>0.10530000180006027</v>
      </c>
    </row>
    <row r="64" spans="1:32" x14ac:dyDescent="0.2">
      <c r="A64" s="158" t="s">
        <v>215</v>
      </c>
      <c r="B64" s="158">
        <v>0.10819999873638153</v>
      </c>
      <c r="C64" s="158">
        <v>0.10790000110864639</v>
      </c>
      <c r="D64" s="158">
        <v>0.10779999941587448</v>
      </c>
      <c r="E64" s="158">
        <v>0.1080000028014183</v>
      </c>
      <c r="F64" s="158">
        <v>0.10760000348091125</v>
      </c>
      <c r="G64" s="158">
        <v>0.10750000178813934</v>
      </c>
      <c r="H64" s="158">
        <v>0.10740000009536743</v>
      </c>
      <c r="I64" s="158">
        <v>0.10719999670982361</v>
      </c>
      <c r="J64" s="158">
        <v>0.10719999670982361</v>
      </c>
      <c r="K64" s="158">
        <v>0.10710000246763229</v>
      </c>
      <c r="L64" s="158">
        <v>0.10719999670982361</v>
      </c>
      <c r="M64" s="158">
        <v>0.10700000077486038</v>
      </c>
      <c r="N64" s="158">
        <v>0.10700000077486038</v>
      </c>
      <c r="O64" s="158">
        <v>0.10700000077486038</v>
      </c>
      <c r="P64" s="158">
        <v>0.10679999738931656</v>
      </c>
      <c r="Q64" s="158">
        <v>0.10679999738931656</v>
      </c>
      <c r="R64" s="158">
        <v>0.10670000314712524</v>
      </c>
      <c r="S64" s="158">
        <v>0.10660000145435333</v>
      </c>
      <c r="T64" s="158">
        <v>0.10660000145435333</v>
      </c>
      <c r="U64" s="158">
        <v>0.10660000145435333</v>
      </c>
      <c r="V64" s="158">
        <f t="shared" si="1"/>
        <v>0.10655000060796738</v>
      </c>
      <c r="W64" s="158">
        <v>0.10649999976158142</v>
      </c>
      <c r="X64" s="158">
        <v>0.10649999976158142</v>
      </c>
      <c r="Y64" s="158">
        <v>0.1062999963760376</v>
      </c>
      <c r="Z64" s="158">
        <v>0.1062999963760376</v>
      </c>
      <c r="AA64" s="158">
        <v>0.1062999963760376</v>
      </c>
      <c r="AB64" s="158">
        <v>0.1062999963760376</v>
      </c>
      <c r="AC64" s="158">
        <v>0.1062999963760376</v>
      </c>
      <c r="AD64" s="158">
        <v>0.10620000213384628</v>
      </c>
      <c r="AE64" s="158">
        <v>0.10610000044107437</v>
      </c>
      <c r="AF64" s="158">
        <v>0.10610000044107437</v>
      </c>
    </row>
    <row r="65" spans="1:32" x14ac:dyDescent="0.2">
      <c r="A65" s="158" t="s">
        <v>216</v>
      </c>
      <c r="B65" s="158">
        <v>0.10639999806880951</v>
      </c>
      <c r="C65" s="158">
        <v>0.10599999874830246</v>
      </c>
      <c r="D65" s="158">
        <v>0.10589999705553055</v>
      </c>
      <c r="E65" s="158">
        <v>0.10840000212192535</v>
      </c>
      <c r="F65" s="158">
        <v>0.10869999974966049</v>
      </c>
      <c r="G65" s="158">
        <v>0.10819999873638153</v>
      </c>
      <c r="H65" s="158">
        <v>0.10819999873638153</v>
      </c>
      <c r="I65" s="158">
        <v>0.1080000028014183</v>
      </c>
      <c r="J65" s="158">
        <v>0.10779999941587448</v>
      </c>
      <c r="K65" s="158">
        <v>0.1080000028014183</v>
      </c>
      <c r="L65" s="158">
        <v>0.10830000042915344</v>
      </c>
      <c r="M65" s="158">
        <v>0.1080000028014183</v>
      </c>
      <c r="N65" s="158">
        <v>0.10809999704360962</v>
      </c>
      <c r="O65" s="158">
        <v>0.10779999941587448</v>
      </c>
      <c r="P65" s="158">
        <v>0.10740000009536743</v>
      </c>
      <c r="Q65" s="158">
        <v>0.10760000348091125</v>
      </c>
      <c r="R65" s="158">
        <v>0.10760000348091125</v>
      </c>
      <c r="S65" s="158">
        <v>0.1080000028014183</v>
      </c>
      <c r="T65" s="158">
        <v>0.10750000178813934</v>
      </c>
      <c r="U65" s="158">
        <v>0.10750000178813934</v>
      </c>
      <c r="V65" s="158">
        <f t="shared" si="1"/>
        <v>0.1075500026345253</v>
      </c>
      <c r="W65" s="158">
        <v>0.10760000348091125</v>
      </c>
      <c r="X65" s="158">
        <v>0.10779999941587448</v>
      </c>
      <c r="Y65" s="158">
        <v>0.10740000009536743</v>
      </c>
      <c r="Z65" s="158">
        <v>0.10750000178813934</v>
      </c>
      <c r="AA65" s="158">
        <v>0.10920000076293945</v>
      </c>
      <c r="AB65" s="158">
        <v>0.10830000042915344</v>
      </c>
      <c r="AC65" s="158">
        <v>0.10909999907016754</v>
      </c>
      <c r="AD65" s="158">
        <v>0.10819999873638153</v>
      </c>
      <c r="AE65" s="158">
        <v>0.10740000009536743</v>
      </c>
      <c r="AF65" s="158">
        <v>0.10849999636411667</v>
      </c>
    </row>
    <row r="66" spans="1:32" x14ac:dyDescent="0.2">
      <c r="A66" s="158" t="s">
        <v>217</v>
      </c>
      <c r="B66" s="158">
        <v>0.10580000281333923</v>
      </c>
      <c r="C66" s="158">
        <v>0.10570000112056732</v>
      </c>
      <c r="D66" s="158">
        <v>0.10570000112056732</v>
      </c>
      <c r="E66" s="158">
        <v>0.10580000281333923</v>
      </c>
      <c r="F66" s="158">
        <v>0.1054999977350235</v>
      </c>
      <c r="G66" s="158">
        <v>0.10559999942779541</v>
      </c>
      <c r="H66" s="158">
        <v>0.10540000349283218</v>
      </c>
      <c r="I66" s="158">
        <v>0.10530000180006027</v>
      </c>
      <c r="J66" s="158">
        <v>0.10520000010728836</v>
      </c>
      <c r="K66" s="158">
        <v>0.10520000010728836</v>
      </c>
      <c r="L66" s="158">
        <v>0.10520000010728836</v>
      </c>
      <c r="M66" s="158">
        <v>0.10509999841451645</v>
      </c>
      <c r="N66" s="158">
        <v>0.10509999841451645</v>
      </c>
      <c r="O66" s="158">
        <v>0.10499999672174454</v>
      </c>
      <c r="P66" s="158">
        <v>0.10480000078678131</v>
      </c>
      <c r="Q66" s="158">
        <v>0.10480000078678131</v>
      </c>
      <c r="R66" s="158">
        <v>0.10480000078678131</v>
      </c>
      <c r="S66" s="158">
        <v>0.1046999990940094</v>
      </c>
      <c r="T66" s="158">
        <v>0.1046999990940094</v>
      </c>
      <c r="U66" s="158">
        <v>0.1046999990940094</v>
      </c>
      <c r="V66" s="158">
        <f t="shared" si="1"/>
        <v>0.10464999824762344</v>
      </c>
      <c r="W66" s="158">
        <v>0.10459999740123749</v>
      </c>
      <c r="X66" s="158">
        <v>0.10459999740123749</v>
      </c>
      <c r="Y66" s="158">
        <v>0.10450000315904617</v>
      </c>
      <c r="Z66" s="158">
        <v>0.10450000315904617</v>
      </c>
      <c r="AA66" s="158">
        <v>0.10429999977350235</v>
      </c>
      <c r="AB66" s="158">
        <v>0.10429999977350235</v>
      </c>
      <c r="AC66" s="158">
        <v>0.10429999977350235</v>
      </c>
      <c r="AD66" s="158">
        <v>0.10429999977350235</v>
      </c>
      <c r="AE66" s="158">
        <v>0.10419999808073044</v>
      </c>
      <c r="AF66" s="158">
        <v>0.10419999808073044</v>
      </c>
    </row>
    <row r="67" spans="1:32" x14ac:dyDescent="0.2">
      <c r="A67" s="158" t="s">
        <v>218</v>
      </c>
      <c r="B67" s="158">
        <v>0.10999999940395355</v>
      </c>
      <c r="C67" s="158">
        <v>0.10859999805688858</v>
      </c>
      <c r="D67" s="158">
        <v>0.1088000014424324</v>
      </c>
      <c r="E67" s="158">
        <v>0.10869999974966049</v>
      </c>
      <c r="F67" s="158">
        <v>0.10859999805688858</v>
      </c>
      <c r="G67" s="158">
        <v>0.10890000313520432</v>
      </c>
      <c r="H67" s="158">
        <v>0.10849999636411667</v>
      </c>
      <c r="I67" s="158">
        <v>0.10830000042915344</v>
      </c>
      <c r="J67" s="158">
        <v>0.10840000212192535</v>
      </c>
      <c r="K67" s="158">
        <v>0.10809999704360962</v>
      </c>
      <c r="L67" s="158">
        <v>0.10869999974966049</v>
      </c>
      <c r="M67" s="158">
        <v>0.10849999636411667</v>
      </c>
      <c r="N67" s="158">
        <v>0.10859999805688858</v>
      </c>
      <c r="O67" s="158">
        <v>0.10849999636411667</v>
      </c>
      <c r="P67" s="158">
        <v>0.1080000028014183</v>
      </c>
      <c r="Q67" s="158">
        <v>0.10769999772310257</v>
      </c>
      <c r="R67" s="158">
        <v>0.10769999772310257</v>
      </c>
      <c r="S67" s="158">
        <v>0.1080000028014183</v>
      </c>
      <c r="T67" s="158">
        <v>0.10769999772310257</v>
      </c>
      <c r="U67" s="158">
        <v>0.10809999704360962</v>
      </c>
      <c r="V67" s="158">
        <f t="shared" si="1"/>
        <v>0.10794999822974205</v>
      </c>
      <c r="W67" s="158">
        <v>0.10779999941587448</v>
      </c>
      <c r="X67" s="158">
        <v>0.10740000009536743</v>
      </c>
      <c r="Y67" s="158">
        <v>0.10750000178813934</v>
      </c>
      <c r="Z67" s="158">
        <v>0.10750000178813934</v>
      </c>
      <c r="AA67" s="158">
        <v>0.10620000213384628</v>
      </c>
      <c r="AB67" s="158">
        <v>0.10670000314712524</v>
      </c>
      <c r="AC67" s="158">
        <v>0.10620000213384628</v>
      </c>
      <c r="AD67" s="158">
        <v>0.10700000077486038</v>
      </c>
      <c r="AE67" s="158">
        <v>0.10679999738931656</v>
      </c>
      <c r="AF67" s="158">
        <v>0.10639999806880951</v>
      </c>
    </row>
    <row r="68" spans="1:32" x14ac:dyDescent="0.2">
      <c r="A68" s="158" t="s">
        <v>219</v>
      </c>
      <c r="B68" s="158">
        <v>0.10649999976158142</v>
      </c>
      <c r="C68" s="158">
        <v>0.10620000213384628</v>
      </c>
      <c r="D68" s="158">
        <v>0.10610000044107437</v>
      </c>
      <c r="E68" s="158">
        <v>0.10639999806880951</v>
      </c>
      <c r="F68" s="158">
        <v>0.10620000213384628</v>
      </c>
      <c r="G68" s="158">
        <v>0.10620000213384628</v>
      </c>
      <c r="H68" s="158">
        <v>0.10610000044107437</v>
      </c>
      <c r="I68" s="158">
        <v>0.10589999705553055</v>
      </c>
      <c r="J68" s="158">
        <v>0.10610000044107437</v>
      </c>
      <c r="K68" s="158">
        <v>0.10589999705553055</v>
      </c>
      <c r="L68" s="158">
        <v>0.10589999705553055</v>
      </c>
      <c r="M68" s="158">
        <v>0.10570000112056732</v>
      </c>
      <c r="N68" s="158">
        <v>0.10570000112056732</v>
      </c>
      <c r="O68" s="158">
        <v>0.10559999942779541</v>
      </c>
      <c r="P68" s="158">
        <v>0.10540000349283218</v>
      </c>
      <c r="Q68" s="158">
        <v>0.10540000349283218</v>
      </c>
      <c r="R68" s="158">
        <v>0.10540000349283218</v>
      </c>
      <c r="S68" s="158">
        <v>0.10530000180006027</v>
      </c>
      <c r="T68" s="158">
        <v>0.10530000180006027</v>
      </c>
      <c r="U68" s="158">
        <v>0.10530000180006027</v>
      </c>
      <c r="V68" s="158">
        <f t="shared" si="1"/>
        <v>0.10525000095367432</v>
      </c>
      <c r="W68" s="158">
        <v>0.10520000010728836</v>
      </c>
      <c r="X68" s="158">
        <v>0.10509999841451645</v>
      </c>
      <c r="Y68" s="158">
        <v>0.10499999672174454</v>
      </c>
      <c r="Z68" s="158">
        <v>0.10520000010728836</v>
      </c>
      <c r="AA68" s="158">
        <v>0.10490000247955322</v>
      </c>
      <c r="AB68" s="158">
        <v>0.10490000247955322</v>
      </c>
      <c r="AC68" s="158">
        <v>0.10490000247955322</v>
      </c>
      <c r="AD68" s="158">
        <v>0.10480000078678131</v>
      </c>
      <c r="AE68" s="158">
        <v>0.10499999672174454</v>
      </c>
      <c r="AF68" s="158">
        <v>0.10480000078678131</v>
      </c>
    </row>
    <row r="69" spans="1:32" x14ac:dyDescent="0.2">
      <c r="A69" s="158" t="s">
        <v>220</v>
      </c>
      <c r="B69" s="158">
        <v>0.10679999738931656</v>
      </c>
      <c r="C69" s="158">
        <v>0.10660000145435333</v>
      </c>
      <c r="D69" s="158">
        <v>0.10649999976158142</v>
      </c>
      <c r="E69" s="158">
        <v>0.10649999976158142</v>
      </c>
      <c r="F69" s="158">
        <v>0.1062999963760376</v>
      </c>
      <c r="G69" s="158">
        <v>0.10620000213384628</v>
      </c>
      <c r="H69" s="158">
        <v>0.10610000044107437</v>
      </c>
      <c r="I69" s="158">
        <v>0.10599999874830246</v>
      </c>
      <c r="J69" s="158">
        <v>0.10589999705553055</v>
      </c>
      <c r="K69" s="158">
        <v>0.10589999705553055</v>
      </c>
      <c r="L69" s="158">
        <v>0.10589999705553055</v>
      </c>
      <c r="M69" s="158">
        <v>0.10580000281333923</v>
      </c>
      <c r="N69" s="158">
        <v>0.10570000112056732</v>
      </c>
      <c r="O69" s="158">
        <v>0.10559999942779541</v>
      </c>
      <c r="P69" s="158">
        <v>0.10540000349283218</v>
      </c>
      <c r="Q69" s="158">
        <v>0.10540000349283218</v>
      </c>
      <c r="R69" s="158">
        <v>0.10530000180006027</v>
      </c>
      <c r="S69" s="158">
        <v>0.10520000010728836</v>
      </c>
      <c r="T69" s="158">
        <v>0.10520000010728836</v>
      </c>
      <c r="U69" s="158">
        <v>0.10520000010728836</v>
      </c>
      <c r="V69" s="158">
        <f t="shared" si="1"/>
        <v>0.10509999841451645</v>
      </c>
      <c r="W69" s="158">
        <v>0.10499999672174454</v>
      </c>
      <c r="X69" s="158">
        <v>0.10499999672174454</v>
      </c>
      <c r="Y69" s="158">
        <v>0.10480000078678131</v>
      </c>
      <c r="Z69" s="158">
        <v>0.10480000078678131</v>
      </c>
      <c r="AA69" s="158">
        <v>0.10459999740123749</v>
      </c>
      <c r="AB69" s="158">
        <v>0.10459999740123749</v>
      </c>
      <c r="AC69" s="158">
        <v>0.10459999740123749</v>
      </c>
      <c r="AD69" s="158">
        <v>0.10450000315904617</v>
      </c>
      <c r="AE69" s="158">
        <v>0.10440000146627426</v>
      </c>
      <c r="AF69" s="158">
        <v>0.10440000146627426</v>
      </c>
    </row>
    <row r="70" spans="1:32" x14ac:dyDescent="0.2">
      <c r="A70" s="158" t="s">
        <v>221</v>
      </c>
      <c r="B70" s="158">
        <v>0.10620000213384628</v>
      </c>
      <c r="C70" s="158">
        <v>0.10610000044107437</v>
      </c>
      <c r="D70" s="158">
        <v>0.10599999874830246</v>
      </c>
      <c r="E70" s="158">
        <v>0.10610000044107437</v>
      </c>
      <c r="F70" s="158">
        <v>0.10589999705553055</v>
      </c>
      <c r="G70" s="158">
        <v>0.10599999874830246</v>
      </c>
      <c r="H70" s="158">
        <v>0.10589999705553055</v>
      </c>
      <c r="I70" s="158">
        <v>0.10580000281333923</v>
      </c>
      <c r="J70" s="158">
        <v>0.10570000112056732</v>
      </c>
      <c r="K70" s="158">
        <v>0.10570000112056732</v>
      </c>
      <c r="L70" s="158">
        <v>0.10580000281333923</v>
      </c>
      <c r="M70" s="158">
        <v>0.10570000112056732</v>
      </c>
      <c r="N70" s="158">
        <v>0.10559999942779541</v>
      </c>
      <c r="O70" s="158">
        <v>0.10540000349283218</v>
      </c>
      <c r="P70" s="158">
        <v>0.10530000180006027</v>
      </c>
      <c r="Q70" s="158">
        <v>0.10530000180006027</v>
      </c>
      <c r="R70" s="158">
        <v>0.10520000010728836</v>
      </c>
      <c r="S70" s="158">
        <v>0.10530000180006027</v>
      </c>
      <c r="T70" s="158">
        <v>0.10530000180006027</v>
      </c>
      <c r="U70" s="158">
        <v>0.10540000349283218</v>
      </c>
      <c r="V70" s="158">
        <f t="shared" si="1"/>
        <v>0.10530000180006027</v>
      </c>
      <c r="W70" s="158">
        <v>0.10520000010728836</v>
      </c>
      <c r="X70" s="158">
        <v>0.10520000010728836</v>
      </c>
      <c r="Y70" s="158">
        <v>0.10499999672174454</v>
      </c>
      <c r="Z70" s="158">
        <v>0.10490000247955322</v>
      </c>
      <c r="AA70" s="158">
        <v>0.10490000247955322</v>
      </c>
      <c r="AB70" s="158">
        <v>0.10480000078678131</v>
      </c>
      <c r="AC70" s="158">
        <v>0.1046999990940094</v>
      </c>
      <c r="AD70" s="158">
        <v>0.10480000078678131</v>
      </c>
      <c r="AE70" s="158">
        <v>0.1046999990940094</v>
      </c>
      <c r="AF70" s="158">
        <v>0.10480000078678131</v>
      </c>
    </row>
    <row r="71" spans="1:32" x14ac:dyDescent="0.2">
      <c r="A71" s="158" t="s">
        <v>222</v>
      </c>
      <c r="B71" s="158">
        <v>0.10649999976158142</v>
      </c>
      <c r="C71" s="158">
        <v>0.10610000044107437</v>
      </c>
      <c r="D71" s="158">
        <v>0.10599999874830246</v>
      </c>
      <c r="E71" s="158">
        <v>0.10610000044107437</v>
      </c>
      <c r="F71" s="158">
        <v>0.10589999705553055</v>
      </c>
      <c r="G71" s="158">
        <v>0.10580000281333923</v>
      </c>
      <c r="H71" s="158">
        <v>0.10570000112056732</v>
      </c>
      <c r="I71" s="158">
        <v>0.10559999942779541</v>
      </c>
      <c r="J71" s="158">
        <v>0.1054999977350235</v>
      </c>
      <c r="K71" s="158">
        <v>0.1054999977350235</v>
      </c>
      <c r="L71" s="158">
        <v>0.1054999977350235</v>
      </c>
      <c r="M71" s="158">
        <v>0.10540000349283218</v>
      </c>
      <c r="N71" s="158">
        <v>0.10540000349283218</v>
      </c>
      <c r="O71" s="158">
        <v>0.10530000180006027</v>
      </c>
      <c r="P71" s="158">
        <v>0.10499999672174454</v>
      </c>
      <c r="Q71" s="158">
        <v>0.10499999672174454</v>
      </c>
      <c r="R71" s="158">
        <v>0.10499999672174454</v>
      </c>
      <c r="S71" s="158">
        <v>0.10490000247955322</v>
      </c>
      <c r="T71" s="158">
        <v>0.10490000247955322</v>
      </c>
      <c r="U71" s="158">
        <v>0.10490000247955322</v>
      </c>
      <c r="V71" s="158">
        <f t="shared" si="1"/>
        <v>0.10485000163316727</v>
      </c>
      <c r="W71" s="158">
        <v>0.10480000078678131</v>
      </c>
      <c r="X71" s="158">
        <v>0.10480000078678131</v>
      </c>
      <c r="Y71" s="158">
        <v>0.1046999990940094</v>
      </c>
      <c r="Z71" s="158">
        <v>0.10450000315904617</v>
      </c>
      <c r="AA71" s="158">
        <v>0.10450000315904617</v>
      </c>
      <c r="AB71" s="158">
        <v>0.10450000315904617</v>
      </c>
      <c r="AC71" s="158">
        <v>0.10440000146627426</v>
      </c>
      <c r="AD71" s="158">
        <v>0.10440000146627426</v>
      </c>
      <c r="AE71" s="158">
        <v>0.10440000146627426</v>
      </c>
      <c r="AF71" s="158">
        <v>0.10429999977350235</v>
      </c>
    </row>
    <row r="72" spans="1:32" x14ac:dyDescent="0.2">
      <c r="A72" s="158" t="s">
        <v>223</v>
      </c>
      <c r="B72" s="158">
        <v>0.10710000246763229</v>
      </c>
      <c r="C72" s="158">
        <v>0.10689999908208847</v>
      </c>
      <c r="D72" s="158">
        <v>0.10679999738931656</v>
      </c>
      <c r="E72" s="158">
        <v>0.10679999738931656</v>
      </c>
      <c r="F72" s="158">
        <v>0.10689999908208847</v>
      </c>
      <c r="G72" s="158">
        <v>0.10670000314712524</v>
      </c>
      <c r="H72" s="158">
        <v>0.10670000314712524</v>
      </c>
      <c r="I72" s="158">
        <v>0.10649999976158142</v>
      </c>
      <c r="J72" s="158">
        <v>0.10649999976158142</v>
      </c>
      <c r="K72" s="158">
        <v>0.10639999806880951</v>
      </c>
      <c r="L72" s="158">
        <v>0.10649999976158142</v>
      </c>
      <c r="M72" s="158">
        <v>0.10639999806880951</v>
      </c>
      <c r="N72" s="158">
        <v>0.1062999963760376</v>
      </c>
      <c r="O72" s="158">
        <v>0.10620000213384628</v>
      </c>
      <c r="P72" s="158">
        <v>0.10610000044107437</v>
      </c>
      <c r="Q72" s="158">
        <v>0.10599999874830246</v>
      </c>
      <c r="R72" s="158">
        <v>0.10599999874830246</v>
      </c>
      <c r="S72" s="158">
        <v>0.10610000044107437</v>
      </c>
      <c r="T72" s="158">
        <v>0.10610000044107437</v>
      </c>
      <c r="U72" s="158">
        <v>0.10610000044107437</v>
      </c>
      <c r="V72" s="158">
        <f t="shared" si="1"/>
        <v>0.10610000044107437</v>
      </c>
      <c r="W72" s="158">
        <v>0.10610000044107437</v>
      </c>
      <c r="X72" s="158">
        <v>0.10599999874830246</v>
      </c>
      <c r="Y72" s="158">
        <v>0.10589999705553055</v>
      </c>
      <c r="Z72" s="158">
        <v>0.10580000281333923</v>
      </c>
      <c r="AA72" s="158">
        <v>0.10589999705553055</v>
      </c>
      <c r="AB72" s="158">
        <v>0.10559999942779541</v>
      </c>
      <c r="AC72" s="158">
        <v>0.10559999942779541</v>
      </c>
      <c r="AD72" s="158">
        <v>0.10559999942779541</v>
      </c>
      <c r="AE72" s="158">
        <v>0.10559999942779541</v>
      </c>
      <c r="AF72" s="158">
        <v>0.10589999705553055</v>
      </c>
    </row>
    <row r="73" spans="1:32" x14ac:dyDescent="0.2">
      <c r="A73" s="158" t="s">
        <v>224</v>
      </c>
      <c r="B73" s="158">
        <v>0.10710000246763229</v>
      </c>
      <c r="C73" s="158">
        <v>0.10679999738931656</v>
      </c>
      <c r="D73" s="158">
        <v>0.10670000314712524</v>
      </c>
      <c r="E73" s="158">
        <v>0.10670000314712524</v>
      </c>
      <c r="F73" s="158">
        <v>0.10660000145435333</v>
      </c>
      <c r="G73" s="158">
        <v>0.10660000145435333</v>
      </c>
      <c r="H73" s="158">
        <v>0.10639999806880951</v>
      </c>
      <c r="I73" s="158">
        <v>0.1062999963760376</v>
      </c>
      <c r="J73" s="158">
        <v>0.10620000213384628</v>
      </c>
      <c r="K73" s="158">
        <v>0.10620000213384628</v>
      </c>
      <c r="L73" s="158">
        <v>0.10620000213384628</v>
      </c>
      <c r="M73" s="158">
        <v>0.10599999874830246</v>
      </c>
      <c r="N73" s="158">
        <v>0.10589999705553055</v>
      </c>
      <c r="O73" s="158">
        <v>0.10570000112056732</v>
      </c>
      <c r="P73" s="158">
        <v>0.1054999977350235</v>
      </c>
      <c r="Q73" s="158">
        <v>0.1054999977350235</v>
      </c>
      <c r="R73" s="158">
        <v>0.1054999977350235</v>
      </c>
      <c r="S73" s="158">
        <v>0.1054999977350235</v>
      </c>
      <c r="T73" s="158">
        <v>0.10559999942779541</v>
      </c>
      <c r="U73" s="158">
        <v>0.10570000112056732</v>
      </c>
      <c r="V73" s="158">
        <f t="shared" si="1"/>
        <v>0.10559999942779541</v>
      </c>
      <c r="W73" s="158">
        <v>0.1054999977350235</v>
      </c>
      <c r="X73" s="158">
        <v>0.10540000349283218</v>
      </c>
      <c r="Y73" s="158">
        <v>0.10520000010728836</v>
      </c>
      <c r="Z73" s="158">
        <v>0.10509999841451645</v>
      </c>
      <c r="AA73" s="158">
        <v>0.10490000247955322</v>
      </c>
      <c r="AB73" s="158">
        <v>0.10480000078678131</v>
      </c>
      <c r="AC73" s="158">
        <v>0.10480000078678131</v>
      </c>
      <c r="AD73" s="158">
        <v>0.10480000078678131</v>
      </c>
      <c r="AE73" s="158">
        <v>0.1046999990940094</v>
      </c>
      <c r="AF73" s="158">
        <v>0.10490000247955322</v>
      </c>
    </row>
    <row r="74" spans="1:32" x14ac:dyDescent="0.2">
      <c r="A74" s="158" t="s">
        <v>225</v>
      </c>
      <c r="B74" s="158">
        <v>0.10719999670982361</v>
      </c>
      <c r="C74" s="158">
        <v>0.10719999670982361</v>
      </c>
      <c r="D74" s="158">
        <v>0.10719999670982361</v>
      </c>
      <c r="E74" s="158">
        <v>0.10729999840259552</v>
      </c>
      <c r="F74" s="158">
        <v>0.10729999840259552</v>
      </c>
      <c r="G74" s="158">
        <v>0.10740000009536743</v>
      </c>
      <c r="H74" s="158">
        <v>0.10729999840259552</v>
      </c>
      <c r="I74" s="158">
        <v>0.10729999840259552</v>
      </c>
      <c r="J74" s="158">
        <v>0.10719999670982361</v>
      </c>
      <c r="K74" s="158">
        <v>0.10719999670982361</v>
      </c>
      <c r="L74" s="158">
        <v>0.10719999670982361</v>
      </c>
      <c r="M74" s="158">
        <v>0.10729999840259552</v>
      </c>
      <c r="N74" s="158">
        <v>0.10689999908208847</v>
      </c>
      <c r="O74" s="158">
        <v>0.10679999738931656</v>
      </c>
      <c r="P74" s="158">
        <v>0.10660000145435333</v>
      </c>
      <c r="Q74" s="158">
        <v>0.10660000145435333</v>
      </c>
      <c r="R74" s="158">
        <v>0.10660000145435333</v>
      </c>
      <c r="S74" s="158">
        <v>0.10670000314712524</v>
      </c>
      <c r="T74" s="158">
        <v>0.10679999738931656</v>
      </c>
      <c r="U74" s="158">
        <v>0.10689999908208847</v>
      </c>
      <c r="V74" s="158">
        <f t="shared" si="1"/>
        <v>0.10684999823570251</v>
      </c>
      <c r="W74" s="158">
        <v>0.10679999738931656</v>
      </c>
      <c r="X74" s="158">
        <v>0.10679999738931656</v>
      </c>
      <c r="Y74" s="158">
        <v>0.10649999976158142</v>
      </c>
      <c r="Z74" s="158">
        <v>0.1062999963760376</v>
      </c>
      <c r="AA74" s="158">
        <v>0.10620000213384628</v>
      </c>
      <c r="AB74" s="158">
        <v>0.10610000044107437</v>
      </c>
      <c r="AC74" s="158">
        <v>0.10610000044107437</v>
      </c>
      <c r="AD74" s="158">
        <v>0.10610000044107437</v>
      </c>
      <c r="AE74" s="158">
        <v>0.10610000044107437</v>
      </c>
      <c r="AF74" s="158">
        <v>0.10620000213384628</v>
      </c>
    </row>
    <row r="75" spans="1:32" x14ac:dyDescent="0.2">
      <c r="A75" s="158" t="s">
        <v>226</v>
      </c>
      <c r="B75" s="158">
        <v>0.10740000009536743</v>
      </c>
      <c r="C75" s="158">
        <v>0.10710000246763229</v>
      </c>
      <c r="D75" s="158">
        <v>0.10710000246763229</v>
      </c>
      <c r="E75" s="158">
        <v>0.10700000077486038</v>
      </c>
      <c r="F75" s="158">
        <v>0.10689999908208847</v>
      </c>
      <c r="G75" s="158">
        <v>0.10719999670982361</v>
      </c>
      <c r="H75" s="158">
        <v>0.10679999738931656</v>
      </c>
      <c r="I75" s="158">
        <v>0.10670000314712524</v>
      </c>
      <c r="J75" s="158">
        <v>0.10670000314712524</v>
      </c>
      <c r="K75" s="158">
        <v>0.10670000314712524</v>
      </c>
      <c r="L75" s="158">
        <v>0.10670000314712524</v>
      </c>
      <c r="M75" s="158">
        <v>0.10649999976158142</v>
      </c>
      <c r="N75" s="158">
        <v>0.10639999806880951</v>
      </c>
      <c r="O75" s="158">
        <v>0.10620000213384628</v>
      </c>
      <c r="P75" s="158">
        <v>0.10599999874830246</v>
      </c>
      <c r="Q75" s="158">
        <v>0.10599999874830246</v>
      </c>
      <c r="R75" s="158">
        <v>0.10599999874830246</v>
      </c>
      <c r="S75" s="158">
        <v>0.10599999874830246</v>
      </c>
      <c r="T75" s="158">
        <v>0.10610000044107437</v>
      </c>
      <c r="U75" s="158">
        <v>0.10620000213384628</v>
      </c>
      <c r="V75" s="158">
        <f t="shared" si="1"/>
        <v>0.10615000128746033</v>
      </c>
      <c r="W75" s="158">
        <v>0.10610000044107437</v>
      </c>
      <c r="X75" s="158">
        <v>0.10599999874830246</v>
      </c>
      <c r="Y75" s="158">
        <v>0.10570000112056732</v>
      </c>
      <c r="Z75" s="158">
        <v>0.1054999977350235</v>
      </c>
      <c r="AA75" s="158">
        <v>0.10540000349283218</v>
      </c>
      <c r="AB75" s="158">
        <v>0.10540000349283218</v>
      </c>
      <c r="AC75" s="158">
        <v>0.10530000180006027</v>
      </c>
      <c r="AD75" s="158">
        <v>0.10540000349283218</v>
      </c>
      <c r="AE75" s="158">
        <v>0.10530000180006027</v>
      </c>
      <c r="AF75" s="158">
        <v>0.1054999977350235</v>
      </c>
    </row>
    <row r="76" spans="1:32" x14ac:dyDescent="0.2">
      <c r="A76" s="158" t="s">
        <v>227</v>
      </c>
      <c r="B76" s="158">
        <v>0.10859999805688858</v>
      </c>
      <c r="C76" s="158">
        <v>0.10819999873638153</v>
      </c>
      <c r="D76" s="158">
        <v>0.10809999704360962</v>
      </c>
      <c r="E76" s="158">
        <v>0.10819999873638153</v>
      </c>
      <c r="F76" s="158">
        <v>0.10809999704360962</v>
      </c>
      <c r="G76" s="158">
        <v>0.10819999873638153</v>
      </c>
      <c r="H76" s="158">
        <v>0.10809999704360962</v>
      </c>
      <c r="I76" s="158">
        <v>0.1080000028014183</v>
      </c>
      <c r="J76" s="158">
        <v>0.1080000028014183</v>
      </c>
      <c r="K76" s="158">
        <v>0.1080000028014183</v>
      </c>
      <c r="L76" s="158">
        <v>0.1080000028014183</v>
      </c>
      <c r="M76" s="158">
        <v>0.10779999941587448</v>
      </c>
      <c r="N76" s="158">
        <v>0.10769999772310257</v>
      </c>
      <c r="O76" s="158">
        <v>0.10750000178813934</v>
      </c>
      <c r="P76" s="158">
        <v>0.10729999840259552</v>
      </c>
      <c r="Q76" s="158">
        <v>0.10760000348091125</v>
      </c>
      <c r="R76" s="158">
        <v>0.10729999840259552</v>
      </c>
      <c r="S76" s="158">
        <v>0.10760000348091125</v>
      </c>
      <c r="T76" s="158">
        <v>0.10760000348091125</v>
      </c>
      <c r="U76" s="158">
        <v>0.10769999772310257</v>
      </c>
      <c r="V76" s="158">
        <f t="shared" si="1"/>
        <v>0.10799999907612801</v>
      </c>
      <c r="W76" s="158">
        <v>0.10830000042915344</v>
      </c>
      <c r="X76" s="158">
        <v>0.10819999873638153</v>
      </c>
      <c r="Y76" s="158">
        <v>0.10939999669790268</v>
      </c>
      <c r="Z76" s="158">
        <v>0.10899999737739563</v>
      </c>
      <c r="AA76" s="158">
        <v>0.10920000076293945</v>
      </c>
      <c r="AB76" s="158">
        <v>0.10930000245571136</v>
      </c>
      <c r="AC76" s="158">
        <v>0.10890000313520432</v>
      </c>
      <c r="AD76" s="158">
        <v>0.10890000313520432</v>
      </c>
      <c r="AE76" s="158">
        <v>0.1088000014424324</v>
      </c>
      <c r="AF76" s="158">
        <v>0.10830000042915344</v>
      </c>
    </row>
    <row r="77" spans="1:32" x14ac:dyDescent="0.2">
      <c r="A77" s="158" t="s">
        <v>228</v>
      </c>
      <c r="B77" s="158">
        <v>0.10719999670982361</v>
      </c>
      <c r="C77" s="158">
        <v>0.10660000145435333</v>
      </c>
      <c r="D77" s="158">
        <v>0.10660000145435333</v>
      </c>
      <c r="E77" s="158">
        <v>0.10660000145435333</v>
      </c>
      <c r="F77" s="158">
        <v>0.10639999806880951</v>
      </c>
      <c r="G77" s="158">
        <v>0.10649999976158142</v>
      </c>
      <c r="H77" s="158">
        <v>0.10660000145435333</v>
      </c>
      <c r="I77" s="158">
        <v>0.10620000213384628</v>
      </c>
      <c r="J77" s="158">
        <v>0.10620000213384628</v>
      </c>
      <c r="K77" s="158">
        <v>0.10620000213384628</v>
      </c>
      <c r="L77" s="158">
        <v>0.10610000044107437</v>
      </c>
      <c r="M77" s="158">
        <v>0.10589999705553055</v>
      </c>
      <c r="N77" s="158">
        <v>0.10580000281333923</v>
      </c>
      <c r="O77" s="158">
        <v>0.1054999977350235</v>
      </c>
      <c r="P77" s="158">
        <v>0.10530000180006027</v>
      </c>
      <c r="Q77" s="158">
        <v>0.10530000180006027</v>
      </c>
      <c r="R77" s="158">
        <v>0.10530000180006027</v>
      </c>
      <c r="S77" s="158">
        <v>0.10540000349283218</v>
      </c>
      <c r="T77" s="158">
        <v>0.10570000112056732</v>
      </c>
      <c r="U77" s="158">
        <v>0.10570000112056732</v>
      </c>
      <c r="V77" s="158">
        <f t="shared" si="1"/>
        <v>0.10610000044107437</v>
      </c>
      <c r="W77" s="158">
        <v>0.10649999976158142</v>
      </c>
      <c r="X77" s="158">
        <v>0.10639999806880951</v>
      </c>
      <c r="Y77" s="158">
        <v>0.10620000213384628</v>
      </c>
      <c r="Z77" s="158">
        <v>0.10580000281333923</v>
      </c>
      <c r="AA77" s="158">
        <v>0.10570000112056732</v>
      </c>
      <c r="AB77" s="158">
        <v>0.10559999942779541</v>
      </c>
      <c r="AC77" s="158">
        <v>0.10540000349283218</v>
      </c>
      <c r="AD77" s="158">
        <v>0.1054999977350235</v>
      </c>
      <c r="AE77" s="158">
        <v>0.1054999977350235</v>
      </c>
      <c r="AF77" s="158">
        <v>0.10580000281333923</v>
      </c>
    </row>
    <row r="78" spans="1:32" x14ac:dyDescent="0.2">
      <c r="A78" s="158" t="s">
        <v>229</v>
      </c>
      <c r="B78" s="158">
        <v>0.10790000110864639</v>
      </c>
      <c r="C78" s="158">
        <v>0.10760000348091125</v>
      </c>
      <c r="D78" s="158">
        <v>0.10750000178813934</v>
      </c>
      <c r="E78" s="158">
        <v>0.10750000178813934</v>
      </c>
      <c r="F78" s="158">
        <v>0.10750000178813934</v>
      </c>
      <c r="G78" s="158">
        <v>0.10760000348091125</v>
      </c>
      <c r="H78" s="158">
        <v>0.10750000178813934</v>
      </c>
      <c r="I78" s="158">
        <v>0.10750000178813934</v>
      </c>
      <c r="J78" s="158">
        <v>0.10740000009536743</v>
      </c>
      <c r="K78" s="158">
        <v>0.10740000009536743</v>
      </c>
      <c r="L78" s="158">
        <v>0.10740000009536743</v>
      </c>
      <c r="M78" s="158">
        <v>0.10719999670982361</v>
      </c>
      <c r="N78" s="158">
        <v>0.10700000077486038</v>
      </c>
      <c r="O78" s="158">
        <v>0.10670000314712524</v>
      </c>
      <c r="P78" s="158">
        <v>0.10679999738931656</v>
      </c>
      <c r="Q78" s="158">
        <v>0.10649999976158142</v>
      </c>
      <c r="R78" s="158">
        <v>0.10660000145435333</v>
      </c>
      <c r="S78" s="158">
        <v>0.10679999738931656</v>
      </c>
      <c r="T78" s="158">
        <v>0.10700000077486038</v>
      </c>
      <c r="U78" s="158">
        <v>0.10710000246763229</v>
      </c>
      <c r="V78" s="158">
        <f t="shared" si="1"/>
        <v>0.10710000246763229</v>
      </c>
      <c r="W78" s="158">
        <v>0.10710000246763229</v>
      </c>
      <c r="X78" s="158">
        <v>0.10679999738931656</v>
      </c>
      <c r="Y78" s="158">
        <v>0.10660000145435333</v>
      </c>
      <c r="Z78" s="158">
        <v>0.1062999963760376</v>
      </c>
      <c r="AA78" s="158">
        <v>0.10620000213384628</v>
      </c>
      <c r="AB78" s="158">
        <v>0.10599999874830246</v>
      </c>
      <c r="AC78" s="158">
        <v>0.10589999705553055</v>
      </c>
      <c r="AD78" s="158">
        <v>0.10599999874830246</v>
      </c>
      <c r="AE78" s="158">
        <v>0.10599999874830246</v>
      </c>
      <c r="AF78" s="158">
        <v>0.10610000044107437</v>
      </c>
    </row>
    <row r="79" spans="1:32" x14ac:dyDescent="0.2">
      <c r="A79" s="158" t="s">
        <v>230</v>
      </c>
      <c r="B79" s="158">
        <v>0.10639999806880951</v>
      </c>
      <c r="C79" s="158">
        <v>0.10589999705553055</v>
      </c>
      <c r="D79" s="158">
        <v>0.10570000112056732</v>
      </c>
      <c r="E79" s="158">
        <v>0.10570000112056732</v>
      </c>
      <c r="F79" s="158">
        <v>0.1054999977350235</v>
      </c>
      <c r="G79" s="158">
        <v>0.10559999942779541</v>
      </c>
      <c r="H79" s="158">
        <v>0.10540000349283218</v>
      </c>
      <c r="I79" s="158">
        <v>0.10530000180006027</v>
      </c>
      <c r="J79" s="158">
        <v>0.10509999841451645</v>
      </c>
      <c r="K79" s="158">
        <v>0.10520000010728836</v>
      </c>
      <c r="L79" s="158">
        <v>0.10520000010728836</v>
      </c>
      <c r="M79" s="158">
        <v>0.10499999672174454</v>
      </c>
      <c r="N79" s="158">
        <v>0.10480000078678131</v>
      </c>
      <c r="O79" s="158">
        <v>0.10450000315904617</v>
      </c>
      <c r="P79" s="158">
        <v>0.10429999977350235</v>
      </c>
      <c r="Q79" s="158">
        <v>0.10429999977350235</v>
      </c>
      <c r="R79" s="158">
        <v>0.10429999977350235</v>
      </c>
      <c r="S79" s="158">
        <v>0.10440000146627426</v>
      </c>
      <c r="T79" s="158">
        <v>0.10459999740123749</v>
      </c>
      <c r="U79" s="158">
        <v>0.1046999990940094</v>
      </c>
      <c r="V79" s="158">
        <f t="shared" si="1"/>
        <v>0.10520000010728836</v>
      </c>
      <c r="W79" s="158">
        <v>0.10570000112056732</v>
      </c>
      <c r="X79" s="158">
        <v>0.10540000349283218</v>
      </c>
      <c r="Y79" s="158">
        <v>0.10509999841451645</v>
      </c>
      <c r="Z79" s="158">
        <v>0.10499999672174454</v>
      </c>
      <c r="AA79" s="158">
        <v>0.10480000078678131</v>
      </c>
      <c r="AB79" s="158">
        <v>0.1046999990940094</v>
      </c>
      <c r="AC79" s="158">
        <v>0.10459999740123749</v>
      </c>
      <c r="AD79" s="158">
        <v>0.10459999740123749</v>
      </c>
      <c r="AE79" s="158">
        <v>0.1046999990940094</v>
      </c>
      <c r="AF79" s="158">
        <v>0.10400000214576721</v>
      </c>
    </row>
    <row r="80" spans="1:32" x14ac:dyDescent="0.2">
      <c r="A80" s="158" t="s">
        <v>231</v>
      </c>
      <c r="B80" s="158">
        <v>0.10719999670982361</v>
      </c>
      <c r="C80" s="158">
        <v>0.10679999738931656</v>
      </c>
      <c r="D80" s="158">
        <v>0.10670000314712524</v>
      </c>
      <c r="E80" s="158">
        <v>0.10660000145435333</v>
      </c>
      <c r="F80" s="158">
        <v>0.10660000145435333</v>
      </c>
      <c r="G80" s="158">
        <v>0.10679999738931656</v>
      </c>
      <c r="H80" s="158">
        <v>0.10670000314712524</v>
      </c>
      <c r="I80" s="158">
        <v>0.10670000314712524</v>
      </c>
      <c r="J80" s="158">
        <v>0.10660000145435333</v>
      </c>
      <c r="K80" s="158">
        <v>0.10679999738931656</v>
      </c>
      <c r="L80" s="158">
        <v>0.10660000145435333</v>
      </c>
      <c r="M80" s="158">
        <v>0.10639999806880951</v>
      </c>
      <c r="N80" s="158">
        <v>0.10620000213384628</v>
      </c>
      <c r="O80" s="158">
        <v>0.10599999874830246</v>
      </c>
      <c r="P80" s="158">
        <v>0.10580000281333923</v>
      </c>
      <c r="Q80" s="158">
        <v>0.10580000281333923</v>
      </c>
      <c r="R80" s="158">
        <v>0.10580000281333923</v>
      </c>
      <c r="S80" s="158">
        <v>0.10599999874830246</v>
      </c>
      <c r="T80" s="158">
        <v>0.10620000213384628</v>
      </c>
      <c r="U80" s="158">
        <v>0.1062999963760376</v>
      </c>
      <c r="V80" s="158">
        <f t="shared" si="1"/>
        <v>0.1062999963760376</v>
      </c>
      <c r="W80" s="158">
        <v>0.1062999963760376</v>
      </c>
      <c r="X80" s="158">
        <v>0.10610000044107437</v>
      </c>
      <c r="Y80" s="158">
        <v>0.10580000281333923</v>
      </c>
      <c r="Z80" s="158">
        <v>0.10559999942779541</v>
      </c>
      <c r="AA80" s="158">
        <v>0.10540000349283218</v>
      </c>
      <c r="AB80" s="158">
        <v>0.10530000180006027</v>
      </c>
      <c r="AC80" s="158">
        <v>0.10520000010728836</v>
      </c>
      <c r="AD80" s="158">
        <v>0.10520000010728836</v>
      </c>
      <c r="AE80" s="158">
        <v>0.10530000180006027</v>
      </c>
      <c r="AF80" s="158">
        <v>0.10530000180006027</v>
      </c>
    </row>
    <row r="81" spans="1:32" x14ac:dyDescent="0.2">
      <c r="A81" s="158" t="s">
        <v>232</v>
      </c>
      <c r="B81" s="158">
        <v>0.10719999670982361</v>
      </c>
      <c r="C81" s="158">
        <v>0.10660000145435333</v>
      </c>
      <c r="D81" s="158">
        <v>0.1062999963760376</v>
      </c>
      <c r="E81" s="158">
        <v>0.1062999963760376</v>
      </c>
      <c r="F81" s="158">
        <v>0.10620000213384628</v>
      </c>
      <c r="G81" s="158">
        <v>0.1062999963760376</v>
      </c>
      <c r="H81" s="158">
        <v>0.10620000213384628</v>
      </c>
      <c r="I81" s="158">
        <v>0.10610000044107437</v>
      </c>
      <c r="J81" s="158">
        <v>0.10599999874830246</v>
      </c>
      <c r="K81" s="158">
        <v>0.10599999874830246</v>
      </c>
      <c r="L81" s="158">
        <v>0.10599999874830246</v>
      </c>
      <c r="M81" s="158">
        <v>0.10570000112056732</v>
      </c>
      <c r="N81" s="158">
        <v>0.1054999977350235</v>
      </c>
      <c r="O81" s="158">
        <v>0.10520000010728836</v>
      </c>
      <c r="P81" s="158">
        <v>0.10499999672174454</v>
      </c>
      <c r="Q81" s="158">
        <v>0.10499999672174454</v>
      </c>
      <c r="R81" s="158">
        <v>0.10499999672174454</v>
      </c>
      <c r="S81" s="158">
        <v>0.10520000010728836</v>
      </c>
      <c r="T81" s="158">
        <v>0.10540000349283218</v>
      </c>
      <c r="U81" s="158">
        <v>0.1054999977350235</v>
      </c>
      <c r="V81" s="158">
        <f t="shared" si="1"/>
        <v>0.10545000061392784</v>
      </c>
      <c r="W81" s="158">
        <v>0.10540000349283218</v>
      </c>
      <c r="X81" s="158">
        <v>0.10520000010728836</v>
      </c>
      <c r="Y81" s="158">
        <v>0.10490000247955322</v>
      </c>
      <c r="Z81" s="158">
        <v>0.10459999740123749</v>
      </c>
      <c r="AA81" s="158">
        <v>0.10440000146627426</v>
      </c>
      <c r="AB81" s="158">
        <v>0.10429999977350235</v>
      </c>
      <c r="AC81" s="158">
        <v>0.10419999808073044</v>
      </c>
      <c r="AD81" s="158">
        <v>0.10419999808073044</v>
      </c>
      <c r="AE81" s="158">
        <v>0.10419999808073044</v>
      </c>
      <c r="AF81" s="158">
        <v>0.10440000146627426</v>
      </c>
    </row>
    <row r="82" spans="1:32" x14ac:dyDescent="0.2">
      <c r="A82" s="158" t="s">
        <v>233</v>
      </c>
      <c r="B82" s="158">
        <v>0.10769999772310257</v>
      </c>
      <c r="C82" s="158">
        <v>0.10729999840259552</v>
      </c>
      <c r="D82" s="158">
        <v>0.10689999908208847</v>
      </c>
      <c r="E82" s="158">
        <v>0.10689999908208847</v>
      </c>
      <c r="F82" s="158">
        <v>0.10689999908208847</v>
      </c>
      <c r="G82" s="158">
        <v>0.10719999670982361</v>
      </c>
      <c r="H82" s="158">
        <v>0.10710000246763229</v>
      </c>
      <c r="I82" s="158">
        <v>0.10710000246763229</v>
      </c>
      <c r="J82" s="158">
        <v>0.10700000077486038</v>
      </c>
      <c r="K82" s="158">
        <v>0.10700000077486038</v>
      </c>
      <c r="L82" s="158">
        <v>0.10689999908208847</v>
      </c>
      <c r="M82" s="158">
        <v>0.10670000314712524</v>
      </c>
      <c r="N82" s="158">
        <v>0.10639999806880951</v>
      </c>
      <c r="O82" s="158">
        <v>0.10620000213384628</v>
      </c>
      <c r="P82" s="158">
        <v>0.10599999874830246</v>
      </c>
      <c r="Q82" s="158">
        <v>0.10589999705553055</v>
      </c>
      <c r="R82" s="158">
        <v>0.10599999874830246</v>
      </c>
      <c r="S82" s="158">
        <v>0.10620000213384628</v>
      </c>
      <c r="T82" s="158">
        <v>0.10670000314712524</v>
      </c>
      <c r="U82" s="158">
        <v>0.10660000145435333</v>
      </c>
      <c r="V82" s="158">
        <f t="shared" si="1"/>
        <v>0.10660000145435333</v>
      </c>
      <c r="W82" s="158">
        <v>0.10660000145435333</v>
      </c>
      <c r="X82" s="158">
        <v>0.1062999963760376</v>
      </c>
      <c r="Y82" s="158">
        <v>0.10620000213384628</v>
      </c>
      <c r="Z82" s="158">
        <v>0.10559999942779541</v>
      </c>
      <c r="AA82" s="158">
        <v>0.1054999977350235</v>
      </c>
      <c r="AB82" s="158">
        <v>0.10530000180006027</v>
      </c>
      <c r="AC82" s="158">
        <v>0.10509999841451645</v>
      </c>
      <c r="AD82" s="158">
        <v>0.10509999841451645</v>
      </c>
      <c r="AE82" s="158">
        <v>0.10520000010728836</v>
      </c>
      <c r="AF82" s="158">
        <v>0.10530000180006027</v>
      </c>
    </row>
    <row r="83" spans="1:32" x14ac:dyDescent="0.2">
      <c r="A83" s="158" t="s">
        <v>234</v>
      </c>
      <c r="B83" s="158">
        <v>0.10710000246763229</v>
      </c>
      <c r="C83" s="158">
        <v>0.10679999738931656</v>
      </c>
      <c r="D83" s="158">
        <v>0.10639999806880951</v>
      </c>
      <c r="E83" s="158">
        <v>0.10639999806880951</v>
      </c>
      <c r="F83" s="158">
        <v>0.1062999963760376</v>
      </c>
      <c r="G83" s="158">
        <v>0.10649999976158142</v>
      </c>
      <c r="H83" s="158">
        <v>0.10639999806880951</v>
      </c>
      <c r="I83" s="158">
        <v>0.1062999963760376</v>
      </c>
      <c r="J83" s="158">
        <v>0.10639999806880951</v>
      </c>
      <c r="K83" s="158">
        <v>0.10620000213384628</v>
      </c>
      <c r="L83" s="158">
        <v>0.10620000213384628</v>
      </c>
      <c r="M83" s="158">
        <v>0.10599999874830246</v>
      </c>
      <c r="N83" s="158">
        <v>0.10580000281333923</v>
      </c>
      <c r="O83" s="158">
        <v>0.1054999977350235</v>
      </c>
      <c r="P83" s="158">
        <v>0.10530000180006027</v>
      </c>
      <c r="Q83" s="158">
        <v>0.10530000180006027</v>
      </c>
      <c r="R83" s="158">
        <v>0.10540000349283218</v>
      </c>
      <c r="S83" s="158">
        <v>0.10559999942779541</v>
      </c>
      <c r="T83" s="158">
        <v>0.10580000281333923</v>
      </c>
      <c r="U83" s="158">
        <v>0.10589999705553055</v>
      </c>
      <c r="V83" s="158">
        <f t="shared" si="1"/>
        <v>0.10589999705553055</v>
      </c>
      <c r="W83" s="158">
        <v>0.10589999705553055</v>
      </c>
      <c r="X83" s="158">
        <v>0.10570000112056732</v>
      </c>
      <c r="Y83" s="158">
        <v>0.10530000180006027</v>
      </c>
      <c r="Z83" s="158">
        <v>0.10509999841451645</v>
      </c>
      <c r="AA83" s="158">
        <v>0.10520000010728836</v>
      </c>
      <c r="AB83" s="158">
        <v>0.10480000078678131</v>
      </c>
      <c r="AC83" s="158">
        <v>0.10459999740123749</v>
      </c>
      <c r="AD83" s="158">
        <v>0.1046999990940094</v>
      </c>
      <c r="AE83" s="158">
        <v>0.1046999990940094</v>
      </c>
      <c r="AF83" s="158">
        <v>0.10509999841451645</v>
      </c>
    </row>
    <row r="84" spans="1:32" x14ac:dyDescent="0.2">
      <c r="A84" s="158" t="s">
        <v>235</v>
      </c>
      <c r="B84" s="158">
        <v>0.10719999670982361</v>
      </c>
      <c r="C84" s="158">
        <v>0.10679999738931656</v>
      </c>
      <c r="D84" s="158">
        <v>0.10670000314712524</v>
      </c>
      <c r="E84" s="158">
        <v>0.10649999976158142</v>
      </c>
      <c r="F84" s="158">
        <v>0.10639999806880951</v>
      </c>
      <c r="G84" s="158">
        <v>0.10670000314712524</v>
      </c>
      <c r="H84" s="158">
        <v>0.10660000145435333</v>
      </c>
      <c r="I84" s="158">
        <v>0.10639999806880951</v>
      </c>
      <c r="J84" s="158">
        <v>0.10639999806880951</v>
      </c>
      <c r="K84" s="158">
        <v>0.10639999806880951</v>
      </c>
      <c r="L84" s="158">
        <v>0.10639999806880951</v>
      </c>
      <c r="M84" s="158">
        <v>0.10610000044107437</v>
      </c>
      <c r="N84" s="158">
        <v>0.10580000281333923</v>
      </c>
      <c r="O84" s="158">
        <v>0.10559999942779541</v>
      </c>
      <c r="P84" s="158">
        <v>0.10540000349283218</v>
      </c>
      <c r="Q84" s="158">
        <v>0.10540000349283218</v>
      </c>
      <c r="R84" s="158">
        <v>0.1054999977350235</v>
      </c>
      <c r="S84" s="158">
        <v>0.10559999942779541</v>
      </c>
      <c r="T84" s="158">
        <v>0.10589999705553055</v>
      </c>
      <c r="U84" s="158">
        <v>0.10599999874830246</v>
      </c>
      <c r="V84" s="158">
        <f t="shared" si="1"/>
        <v>0.10604999959468842</v>
      </c>
      <c r="W84" s="158">
        <v>0.10610000044107437</v>
      </c>
      <c r="X84" s="158">
        <v>0.10580000281333923</v>
      </c>
      <c r="Y84" s="158">
        <v>0.1054999977350235</v>
      </c>
      <c r="Z84" s="158">
        <v>0.10520000010728836</v>
      </c>
      <c r="AA84" s="158">
        <v>0.10499999672174454</v>
      </c>
      <c r="AB84" s="158">
        <v>0.10490000247955322</v>
      </c>
      <c r="AC84" s="158">
        <v>0.1046999990940094</v>
      </c>
      <c r="AD84" s="158">
        <v>0.10480000078678131</v>
      </c>
      <c r="AE84" s="158">
        <v>0.10480000078678131</v>
      </c>
      <c r="AF84" s="158">
        <v>0.10499999672174454</v>
      </c>
    </row>
    <row r="85" spans="1:32" x14ac:dyDescent="0.2">
      <c r="A85" s="158" t="s">
        <v>236</v>
      </c>
      <c r="B85" s="158">
        <v>0.10639999806880951</v>
      </c>
      <c r="C85" s="158">
        <v>0.10599999874830246</v>
      </c>
      <c r="D85" s="158">
        <v>0.10580000281333923</v>
      </c>
      <c r="E85" s="158">
        <v>0.10580000281333923</v>
      </c>
      <c r="F85" s="158">
        <v>0.10610000044107437</v>
      </c>
      <c r="G85" s="158">
        <v>0.10620000213384628</v>
      </c>
      <c r="H85" s="158">
        <v>0.10610000044107437</v>
      </c>
      <c r="I85" s="158">
        <v>0.10599999874830246</v>
      </c>
      <c r="J85" s="158">
        <v>0.10580000281333923</v>
      </c>
      <c r="K85" s="158">
        <v>0.10580000281333923</v>
      </c>
      <c r="L85" s="158">
        <v>0.10580000281333923</v>
      </c>
      <c r="M85" s="158">
        <v>0.10559999942779541</v>
      </c>
      <c r="N85" s="158">
        <v>0.10530000180006027</v>
      </c>
      <c r="O85" s="158">
        <v>0.10490000247955322</v>
      </c>
      <c r="P85" s="158">
        <v>0.10490000247955322</v>
      </c>
      <c r="Q85" s="158">
        <v>0.10480000078678131</v>
      </c>
      <c r="R85" s="158">
        <v>0.10480000078678131</v>
      </c>
      <c r="S85" s="158">
        <v>0.10509999841451645</v>
      </c>
      <c r="T85" s="158">
        <v>0.10530000180006027</v>
      </c>
      <c r="U85" s="158">
        <v>0.10559999942779541</v>
      </c>
      <c r="V85" s="158">
        <f t="shared" si="1"/>
        <v>0.10619999840855598</v>
      </c>
      <c r="W85" s="158">
        <v>0.10679999738931656</v>
      </c>
      <c r="X85" s="158">
        <v>0.1062999963760376</v>
      </c>
      <c r="Y85" s="158">
        <v>0.10589999705553055</v>
      </c>
      <c r="Z85" s="158">
        <v>0.10580000281333923</v>
      </c>
      <c r="AA85" s="158">
        <v>0.10570000112056732</v>
      </c>
      <c r="AB85" s="158">
        <v>0.10540000349283218</v>
      </c>
      <c r="AC85" s="158">
        <v>0.1054999977350235</v>
      </c>
      <c r="AD85" s="158">
        <v>0.10520000010728836</v>
      </c>
      <c r="AE85" s="158">
        <v>0.10540000349283218</v>
      </c>
      <c r="AF85" s="158">
        <v>0.10480000078678131</v>
      </c>
    </row>
    <row r="86" spans="1:32" x14ac:dyDescent="0.2">
      <c r="A86" s="158" t="s">
        <v>237</v>
      </c>
      <c r="B86" s="158">
        <v>0.10670000314712524</v>
      </c>
      <c r="C86" s="158">
        <v>0.1062999963760376</v>
      </c>
      <c r="D86" s="158">
        <v>0.10620000213384628</v>
      </c>
      <c r="E86" s="158">
        <v>0.10610000044107437</v>
      </c>
      <c r="F86" s="158">
        <v>0.10599999874830246</v>
      </c>
      <c r="G86" s="158">
        <v>0.1062999963760376</v>
      </c>
      <c r="H86" s="158">
        <v>0.10620000213384628</v>
      </c>
      <c r="I86" s="158">
        <v>0.10610000044107437</v>
      </c>
      <c r="J86" s="158">
        <v>0.10649999976158142</v>
      </c>
      <c r="K86" s="158">
        <v>0.10599999874830246</v>
      </c>
      <c r="L86" s="158">
        <v>0.10610000044107437</v>
      </c>
      <c r="M86" s="158">
        <v>0.10589999705553055</v>
      </c>
      <c r="N86" s="158">
        <v>0.1054999977350235</v>
      </c>
      <c r="O86" s="158">
        <v>0.10520000010728836</v>
      </c>
      <c r="P86" s="158">
        <v>0.10499999672174454</v>
      </c>
      <c r="Q86" s="158">
        <v>0.10499999672174454</v>
      </c>
      <c r="R86" s="158">
        <v>0.10509999841451645</v>
      </c>
      <c r="S86" s="158">
        <v>0.10520000010728836</v>
      </c>
      <c r="T86" s="158">
        <v>0.1054999977350235</v>
      </c>
      <c r="U86" s="158">
        <v>0.10559999942779541</v>
      </c>
      <c r="V86" s="158">
        <f t="shared" si="1"/>
        <v>0.10559999942779541</v>
      </c>
      <c r="W86" s="158">
        <v>0.10559999942779541</v>
      </c>
      <c r="X86" s="158">
        <v>0.10540000349283218</v>
      </c>
      <c r="Y86" s="158">
        <v>0.10509999841451645</v>
      </c>
      <c r="Z86" s="158">
        <v>0.10480000078678131</v>
      </c>
      <c r="AA86" s="158">
        <v>0.10459999740123749</v>
      </c>
      <c r="AB86" s="158">
        <v>0.10440000146627426</v>
      </c>
      <c r="AC86" s="158">
        <v>0.10429999977350235</v>
      </c>
      <c r="AD86" s="158">
        <v>0.10429999977350235</v>
      </c>
      <c r="AE86" s="158">
        <v>0.10440000146627426</v>
      </c>
      <c r="AF86" s="158">
        <v>0.10459999740123749</v>
      </c>
    </row>
    <row r="87" spans="1:32" x14ac:dyDescent="0.2">
      <c r="A87" s="158" t="s">
        <v>238</v>
      </c>
      <c r="B87" s="158">
        <v>0.10679999738931656</v>
      </c>
      <c r="C87" s="158">
        <v>0.10649999976158142</v>
      </c>
      <c r="D87" s="158">
        <v>0.10639999806880951</v>
      </c>
      <c r="E87" s="158">
        <v>0.1062999963760376</v>
      </c>
      <c r="F87" s="158">
        <v>0.10620000213384628</v>
      </c>
      <c r="G87" s="158">
        <v>0.10639999806880951</v>
      </c>
      <c r="H87" s="158">
        <v>0.1062999963760376</v>
      </c>
      <c r="I87" s="158">
        <v>0.10620000213384628</v>
      </c>
      <c r="J87" s="158">
        <v>0.10610000044107437</v>
      </c>
      <c r="K87" s="158">
        <v>0.10610000044107437</v>
      </c>
      <c r="L87" s="158">
        <v>0.10610000044107437</v>
      </c>
      <c r="M87" s="158">
        <v>0.10580000281333923</v>
      </c>
      <c r="N87" s="158">
        <v>0.10559999942779541</v>
      </c>
      <c r="O87" s="158">
        <v>0.1054999977350235</v>
      </c>
      <c r="P87" s="158">
        <v>0.10509999841451645</v>
      </c>
      <c r="Q87" s="158">
        <v>0.10509999841451645</v>
      </c>
      <c r="R87" s="158">
        <v>0.10520000010728836</v>
      </c>
      <c r="S87" s="158">
        <v>0.10530000180006027</v>
      </c>
      <c r="T87" s="158">
        <v>0.10559999942779541</v>
      </c>
      <c r="U87" s="158">
        <v>0.10559999942779541</v>
      </c>
      <c r="V87" s="158">
        <f t="shared" si="1"/>
        <v>0.10565000027418137</v>
      </c>
      <c r="W87" s="158">
        <v>0.10570000112056732</v>
      </c>
      <c r="X87" s="158">
        <v>0.10540000349283218</v>
      </c>
      <c r="Y87" s="158">
        <v>0.10509999841451645</v>
      </c>
      <c r="Z87" s="158">
        <v>0.10490000247955322</v>
      </c>
      <c r="AA87" s="158">
        <v>0.10459999740123749</v>
      </c>
      <c r="AB87" s="158">
        <v>0.10450000315904617</v>
      </c>
      <c r="AC87" s="158">
        <v>0.10440000146627426</v>
      </c>
      <c r="AD87" s="158">
        <v>0.10440000146627426</v>
      </c>
      <c r="AE87" s="158">
        <v>0.10440000146627426</v>
      </c>
      <c r="AF87" s="158">
        <v>0.10459999740123749</v>
      </c>
    </row>
    <row r="88" spans="1:32" x14ac:dyDescent="0.2">
      <c r="A88" s="158" t="s">
        <v>239</v>
      </c>
      <c r="B88" s="158">
        <v>0.10679999738931656</v>
      </c>
      <c r="C88" s="158">
        <v>0.1062999963760376</v>
      </c>
      <c r="D88" s="158">
        <v>0.10620000213384628</v>
      </c>
      <c r="E88" s="158">
        <v>0.10610000044107437</v>
      </c>
      <c r="F88" s="158">
        <v>0.10610000044107437</v>
      </c>
      <c r="G88" s="158">
        <v>0.10620000213384628</v>
      </c>
      <c r="H88" s="158">
        <v>0.10620000213384628</v>
      </c>
      <c r="I88" s="158">
        <v>0.10599999874830246</v>
      </c>
      <c r="J88" s="158">
        <v>0.10589999705553055</v>
      </c>
      <c r="K88" s="158">
        <v>0.10589999705553055</v>
      </c>
      <c r="L88" s="158">
        <v>0.10589999705553055</v>
      </c>
      <c r="M88" s="158">
        <v>0.10570000112056732</v>
      </c>
      <c r="N88" s="158">
        <v>0.10540000349283218</v>
      </c>
      <c r="O88" s="158">
        <v>0.10520000010728836</v>
      </c>
      <c r="P88" s="158">
        <v>0.10490000247955322</v>
      </c>
      <c r="Q88" s="158">
        <v>0.10499999672174454</v>
      </c>
      <c r="R88" s="158">
        <v>0.10499999672174454</v>
      </c>
      <c r="S88" s="158">
        <v>0.10520000010728836</v>
      </c>
      <c r="T88" s="158">
        <v>0.1054999977350235</v>
      </c>
      <c r="U88" s="158">
        <v>0.1054999977350235</v>
      </c>
      <c r="V88" s="158">
        <f t="shared" si="1"/>
        <v>0.1054999977350235</v>
      </c>
      <c r="W88" s="158">
        <v>0.1054999977350235</v>
      </c>
      <c r="X88" s="158">
        <v>0.10520000010728836</v>
      </c>
      <c r="Y88" s="158">
        <v>0.10499999672174454</v>
      </c>
      <c r="Z88" s="158">
        <v>0.1046999990940094</v>
      </c>
      <c r="AA88" s="158">
        <v>0.10450000315904617</v>
      </c>
      <c r="AB88" s="158">
        <v>0.10440000146627426</v>
      </c>
      <c r="AC88" s="158">
        <v>0.10429999977350235</v>
      </c>
      <c r="AD88" s="158">
        <v>0.10419999808073044</v>
      </c>
      <c r="AE88" s="158">
        <v>0.10429999977350235</v>
      </c>
      <c r="AF88" s="158">
        <v>0.10450000315904617</v>
      </c>
    </row>
    <row r="89" spans="1:32" x14ac:dyDescent="0.2">
      <c r="A89" s="158" t="s">
        <v>240</v>
      </c>
      <c r="B89" s="158">
        <v>0.10649999976158142</v>
      </c>
      <c r="C89" s="158">
        <v>0.10610000044107437</v>
      </c>
      <c r="D89" s="158">
        <v>0.10589999705553055</v>
      </c>
      <c r="E89" s="158">
        <v>0.10589999705553055</v>
      </c>
      <c r="F89" s="158">
        <v>0.10589999705553055</v>
      </c>
      <c r="G89" s="158">
        <v>0.10599999874830246</v>
      </c>
      <c r="H89" s="158">
        <v>0.10620000213384628</v>
      </c>
      <c r="I89" s="158">
        <v>0.10570000112056732</v>
      </c>
      <c r="J89" s="158">
        <v>0.10570000112056732</v>
      </c>
      <c r="K89" s="158">
        <v>0.10559999942779541</v>
      </c>
      <c r="L89" s="158">
        <v>0.10570000112056732</v>
      </c>
      <c r="M89" s="158">
        <v>0.10540000349283218</v>
      </c>
      <c r="N89" s="158">
        <v>0.10520000010728836</v>
      </c>
      <c r="O89" s="158">
        <v>0.10490000247955322</v>
      </c>
      <c r="P89" s="158">
        <v>0.1046999990940094</v>
      </c>
      <c r="Q89" s="158">
        <v>0.1046999990940094</v>
      </c>
      <c r="R89" s="158">
        <v>0.1046999990940094</v>
      </c>
      <c r="S89" s="158">
        <v>0.10509999841451645</v>
      </c>
      <c r="T89" s="158">
        <v>0.10520000010728836</v>
      </c>
      <c r="U89" s="158">
        <v>0.10530000180006027</v>
      </c>
      <c r="V89" s="158">
        <f t="shared" si="1"/>
        <v>0.10530000180006027</v>
      </c>
      <c r="W89" s="158">
        <v>0.10530000180006027</v>
      </c>
      <c r="X89" s="158">
        <v>0.10499999672174454</v>
      </c>
      <c r="Y89" s="158">
        <v>0.10480000078678131</v>
      </c>
      <c r="Z89" s="158">
        <v>0.10450000315904617</v>
      </c>
      <c r="AA89" s="158">
        <v>0.10419999808073044</v>
      </c>
      <c r="AB89" s="158">
        <v>0.10409999638795853</v>
      </c>
      <c r="AC89" s="158">
        <v>0.10400000214576721</v>
      </c>
      <c r="AD89" s="158">
        <v>0.10400000214576721</v>
      </c>
      <c r="AE89" s="158">
        <v>0.10409999638795853</v>
      </c>
      <c r="AF89" s="158">
        <v>0.10419999808073044</v>
      </c>
    </row>
    <row r="90" spans="1:32" x14ac:dyDescent="0.2">
      <c r="A90" s="158" t="s">
        <v>241</v>
      </c>
      <c r="B90" s="158">
        <v>0.10740000009536743</v>
      </c>
      <c r="C90" s="158">
        <v>0.10700000077486038</v>
      </c>
      <c r="D90" s="158">
        <v>0.10700000077486038</v>
      </c>
      <c r="E90" s="158">
        <v>0.10670000314712524</v>
      </c>
      <c r="F90" s="158">
        <v>0.10660000145435333</v>
      </c>
      <c r="G90" s="158">
        <v>0.10689999908208847</v>
      </c>
      <c r="H90" s="158">
        <v>0.10670000314712524</v>
      </c>
      <c r="I90" s="158">
        <v>0.10660000145435333</v>
      </c>
      <c r="J90" s="158">
        <v>0.10649999976158142</v>
      </c>
      <c r="K90" s="158">
        <v>0.10649999976158142</v>
      </c>
      <c r="L90" s="158">
        <v>0.10679999738931656</v>
      </c>
      <c r="M90" s="158">
        <v>0.1062999963760376</v>
      </c>
      <c r="N90" s="158">
        <v>0.10599999874830246</v>
      </c>
      <c r="O90" s="158">
        <v>0.10580000281333923</v>
      </c>
      <c r="P90" s="158">
        <v>0.1054999977350235</v>
      </c>
      <c r="Q90" s="158">
        <v>0.1054999977350235</v>
      </c>
      <c r="R90" s="158">
        <v>0.10559999942779541</v>
      </c>
      <c r="S90" s="158">
        <v>0.10570000112056732</v>
      </c>
      <c r="T90" s="158">
        <v>0.10599999874830246</v>
      </c>
      <c r="U90" s="158">
        <v>0.10610000044107437</v>
      </c>
      <c r="V90" s="158">
        <f t="shared" si="1"/>
        <v>0.10610000044107437</v>
      </c>
      <c r="W90" s="158">
        <v>0.10610000044107437</v>
      </c>
      <c r="X90" s="158">
        <v>0.10580000281333923</v>
      </c>
      <c r="Y90" s="158">
        <v>0.1054999977350235</v>
      </c>
      <c r="Z90" s="158">
        <v>0.10530000180006027</v>
      </c>
      <c r="AA90" s="158">
        <v>0.10499999672174454</v>
      </c>
      <c r="AB90" s="158">
        <v>0.10490000247955322</v>
      </c>
      <c r="AC90" s="158">
        <v>0.10480000078678131</v>
      </c>
      <c r="AD90" s="158">
        <v>0.10490000247955322</v>
      </c>
      <c r="AE90" s="158">
        <v>0.10480000078678131</v>
      </c>
      <c r="AF90" s="158">
        <v>0.10499999672174454</v>
      </c>
    </row>
    <row r="91" spans="1:32" x14ac:dyDescent="0.2">
      <c r="A91" s="158" t="s">
        <v>242</v>
      </c>
      <c r="B91" s="158">
        <v>0.10719999670982361</v>
      </c>
      <c r="C91" s="158">
        <v>0.10660000145435333</v>
      </c>
      <c r="D91" s="158">
        <v>0.10639999806880951</v>
      </c>
      <c r="E91" s="158">
        <v>0.10639999806880951</v>
      </c>
      <c r="F91" s="158">
        <v>0.10620000213384628</v>
      </c>
      <c r="G91" s="158">
        <v>0.10639999806880951</v>
      </c>
      <c r="H91" s="158">
        <v>0.10620000213384628</v>
      </c>
      <c r="I91" s="158">
        <v>0.10610000044107437</v>
      </c>
      <c r="J91" s="158">
        <v>0.10599999874830246</v>
      </c>
      <c r="K91" s="158">
        <v>0.10610000044107437</v>
      </c>
      <c r="L91" s="158">
        <v>0.10599999874830246</v>
      </c>
      <c r="M91" s="158">
        <v>0.10580000281333923</v>
      </c>
      <c r="N91" s="158">
        <v>0.1054999977350235</v>
      </c>
      <c r="O91" s="158">
        <v>0.10540000349283218</v>
      </c>
      <c r="P91" s="158">
        <v>0.10499999672174454</v>
      </c>
      <c r="Q91" s="158">
        <v>0.10509999841451645</v>
      </c>
      <c r="R91" s="158">
        <v>0.10509999841451645</v>
      </c>
      <c r="S91" s="158">
        <v>0.10520000010728836</v>
      </c>
      <c r="T91" s="158">
        <v>0.1054999977350235</v>
      </c>
      <c r="U91" s="158">
        <v>0.10559999942779541</v>
      </c>
      <c r="V91" s="158">
        <f t="shared" si="1"/>
        <v>0.10559999942779541</v>
      </c>
      <c r="W91" s="158">
        <v>0.10559999942779541</v>
      </c>
      <c r="X91" s="158">
        <v>0.10540000349283218</v>
      </c>
      <c r="Y91" s="158">
        <v>0.10509999841451645</v>
      </c>
      <c r="Z91" s="158">
        <v>0.10490000247955322</v>
      </c>
      <c r="AA91" s="158">
        <v>0.10459999740123749</v>
      </c>
      <c r="AB91" s="158">
        <v>0.10440000146627426</v>
      </c>
      <c r="AC91" s="158">
        <v>0.10440000146627426</v>
      </c>
      <c r="AD91" s="158">
        <v>0.10440000146627426</v>
      </c>
      <c r="AE91" s="158">
        <v>0.10440000146627426</v>
      </c>
      <c r="AF91" s="158">
        <v>0.10459999740123749</v>
      </c>
    </row>
    <row r="92" spans="1:32" x14ac:dyDescent="0.2">
      <c r="A92" s="158" t="s">
        <v>243</v>
      </c>
      <c r="B92" s="158">
        <v>0.10740000009536743</v>
      </c>
      <c r="C92" s="158">
        <v>0.10679999738931656</v>
      </c>
      <c r="D92" s="158">
        <v>0.10660000145435333</v>
      </c>
      <c r="E92" s="158">
        <v>0.10639999806880951</v>
      </c>
      <c r="F92" s="158">
        <v>0.1062999963760376</v>
      </c>
      <c r="G92" s="158">
        <v>0.10649999976158142</v>
      </c>
      <c r="H92" s="158">
        <v>0.1062999963760376</v>
      </c>
      <c r="I92" s="158">
        <v>0.10620000213384628</v>
      </c>
      <c r="J92" s="158">
        <v>0.10610000044107437</v>
      </c>
      <c r="K92" s="158">
        <v>0.10610000044107437</v>
      </c>
      <c r="L92" s="158">
        <v>0.10599999874830246</v>
      </c>
      <c r="M92" s="158">
        <v>0.10580000281333923</v>
      </c>
      <c r="N92" s="158">
        <v>0.1054999977350235</v>
      </c>
      <c r="O92" s="158">
        <v>0.10530000180006027</v>
      </c>
      <c r="P92" s="158">
        <v>0.10499999672174454</v>
      </c>
      <c r="Q92" s="158">
        <v>0.10499999672174454</v>
      </c>
      <c r="R92" s="158">
        <v>0.10509999841451645</v>
      </c>
      <c r="S92" s="158">
        <v>0.10520000010728836</v>
      </c>
      <c r="T92" s="158">
        <v>0.1054999977350235</v>
      </c>
      <c r="U92" s="158">
        <v>0.10559999942779541</v>
      </c>
      <c r="V92" s="158">
        <f t="shared" si="1"/>
        <v>0.10559999942779541</v>
      </c>
      <c r="W92" s="158">
        <v>0.10559999942779541</v>
      </c>
      <c r="X92" s="158">
        <v>0.10530000180006027</v>
      </c>
      <c r="Y92" s="158">
        <v>0.10509999841451645</v>
      </c>
      <c r="Z92" s="158">
        <v>0.10480000078678131</v>
      </c>
      <c r="AA92" s="158">
        <v>0.10450000315904617</v>
      </c>
      <c r="AB92" s="158">
        <v>0.10440000146627426</v>
      </c>
      <c r="AC92" s="158">
        <v>0.10429999977350235</v>
      </c>
      <c r="AD92" s="158">
        <v>0.10429999977350235</v>
      </c>
      <c r="AE92" s="158">
        <v>0.10429999977350235</v>
      </c>
      <c r="AF92" s="158">
        <v>0.10450000315904617</v>
      </c>
    </row>
    <row r="93" spans="1:32" x14ac:dyDescent="0.2">
      <c r="A93" s="158" t="s">
        <v>244</v>
      </c>
      <c r="B93" s="158">
        <v>0.10750000178813934</v>
      </c>
      <c r="C93" s="158">
        <v>0.10639999806880951</v>
      </c>
      <c r="D93" s="158">
        <v>0.10639999806880951</v>
      </c>
      <c r="E93" s="158">
        <v>0.10670000314712524</v>
      </c>
      <c r="F93" s="158">
        <v>0.10639999806880951</v>
      </c>
      <c r="G93" s="158">
        <v>0.10660000145435333</v>
      </c>
      <c r="H93" s="158">
        <v>0.1062999963760376</v>
      </c>
      <c r="I93" s="158">
        <v>0.10620000213384628</v>
      </c>
      <c r="J93" s="158">
        <v>0.10599999874830246</v>
      </c>
      <c r="K93" s="158">
        <v>0.10599999874830246</v>
      </c>
      <c r="L93" s="158">
        <v>0.10599999874830246</v>
      </c>
      <c r="M93" s="158">
        <v>0.10570000112056732</v>
      </c>
      <c r="N93" s="158">
        <v>0.1054999977350235</v>
      </c>
      <c r="O93" s="158">
        <v>0.10530000180006027</v>
      </c>
      <c r="P93" s="158">
        <v>0.10490000247955322</v>
      </c>
      <c r="Q93" s="158">
        <v>0.10490000247955322</v>
      </c>
      <c r="R93" s="158">
        <v>0.10499999672174454</v>
      </c>
      <c r="S93" s="158">
        <v>0.10509999841451645</v>
      </c>
      <c r="T93" s="158">
        <v>0.10530000180006027</v>
      </c>
      <c r="U93" s="158">
        <v>0.10530000180006027</v>
      </c>
      <c r="V93" s="158">
        <f t="shared" si="1"/>
        <v>0.10530000180006027</v>
      </c>
      <c r="W93" s="158">
        <v>0.10530000180006027</v>
      </c>
      <c r="X93" s="158">
        <v>0.10499999672174454</v>
      </c>
      <c r="Y93" s="158">
        <v>0.1046999990940094</v>
      </c>
      <c r="Z93" s="158">
        <v>0.10450000315904617</v>
      </c>
      <c r="AA93" s="158">
        <v>0.10419999808073044</v>
      </c>
      <c r="AB93" s="158">
        <v>0.10400000214576721</v>
      </c>
      <c r="AC93" s="158">
        <v>0.10400000214576721</v>
      </c>
      <c r="AD93" s="158">
        <v>0.10409999638795853</v>
      </c>
      <c r="AE93" s="158">
        <v>0.1039000004529953</v>
      </c>
      <c r="AF93" s="158">
        <v>0.10350000113248825</v>
      </c>
    </row>
    <row r="94" spans="1:32" x14ac:dyDescent="0.2">
      <c r="A94" s="156" t="s">
        <v>456</v>
      </c>
      <c r="B94" s="156">
        <f>$B$55-AVERAGE($B$58,$B$59,$B$60,$B$61,$B$62,$B$63,$B$64,$B$65,$B$66,$B$68,$B$69,$B$70,$B$71,$B$72,$B$73,$B$74,$B$75,$B$77,$B$78,$B$79,$B$80,$B$81,$B$82,$B$83,$B$84,$B$85,$B$86,$B$87,$B$88,$B$89,$B$90,$B$91,$B$92,$B$93)</f>
        <v>1.7117632224279283E-3</v>
      </c>
      <c r="C94" s="156">
        <f>$C$55-AVERAGE($C$58,$C$59,$C$60,$C$61,$C$62,$C$63,$C$64,$C$65,$C$66,$C$68,$C$69,$C$70,$C$71,$C$72,$C$73,$C$74,$C$75,$C$77,$C$78,$C$79,$C$80,$C$81,$C$82,$C$83,$C$84,$C$85,$C$86,$C$87,$C$88,$C$89,$C$90,$C$91,$C$92,$C$93)</f>
        <v>2.0470575374715444E-3</v>
      </c>
      <c r="D94" s="156">
        <f>$D$55-AVERAGE($D$58,$D$59,$D$60,$D$61,$D$62,$D$63,$D$64,$D$65,$D$66,$D$68,$D$69,$D$70,$D$71,$D$72,$D$73,$D$74,$D$75,$D$77,$D$78,$D$79,$D$80,$D$81,$D$82,$D$83,$D$84,$D$85,$D$86,$D$87,$D$88,$D$89,$D$90,$D$91,$D$92,$D$93)</f>
        <v>2.5558800381772634E-3</v>
      </c>
      <c r="E94" s="156">
        <f>$E$55-AVERAGE($E$58,$E$59,$E$60,$E$61,$E$62,$E$63,$E$64,$E$65,$E$66,$E$68,$E$69,$E$70,$E$71,$E$72,$E$73,$E$74,$E$75,$E$77,$E$78,$E$79,$E$80,$E$81,$E$82,$E$83,$E$84,$E$85,$E$86,$E$87,$E$88,$E$89,$E$90,$E$91,$E$92,$E$93)</f>
        <v>2.7764731032006856E-3</v>
      </c>
      <c r="F94" s="156">
        <f>$F$55-AVERAGE($F$58,$F$59,$F$60,$F$61,$F$62,$F$63,$F$64,$F$65,$F$66,$F$68,$F$69,$F$70,$F$71,$F$72,$F$73,$F$74,$F$75,$F$77,$F$78,$F$79,$F$80,$F$81,$F$82,$F$83,$F$84,$F$85,$F$86,$F$87,$F$88,$F$89,$F$90,$F$91,$F$92,$F$93)</f>
        <v>3.7764738149502763E-3</v>
      </c>
      <c r="G94" s="156">
        <f>$G$55-AVERAGE($G$58,$G$59,$G$60,$G$61,$G$62,$G$63,$G$64,$G$65,$G$66,$G$68,$G$69,$G$70,$G$71,$G$72,$G$73,$G$74,$G$75,$G$77,$G$78,$G$79,$G$80,$G$81,$G$82,$G$83,$G$84,$G$85,$G$86,$G$87,$G$88,$G$89,$G$90,$G$91,$G$92,$G$93)</f>
        <v>5.9029440231183061E-3</v>
      </c>
      <c r="H94" s="156">
        <f>$H$55-AVERAGE($H$58,$H$59,$H$60,$H$61,$H$62,$H$63,$H$64,$H$65,$H$66,$H$68,$H$69,$H$70,$H$71,$H$72,$H$73,$H$74,$H$75,$H$77,$H$78,$H$79,$H$80,$H$81,$H$82,$H$83,$H$84,$H$85,$H$86,$H$87,$H$88,$H$89,$H$90,$H$91,$H$92,$H$93)</f>
        <v>9.5147078528123735E-3</v>
      </c>
      <c r="I94" s="156">
        <f>$I$55-AVERAGE($I$58,$I$59,$I$60,$I$61,$I$62,$I$63,$I$64,$I$65,$I$66,$I$68,$I$69,$I$70,$I$71,$I$72,$I$73,$I$74,$I$75,$I$77,$I$78,$I$79,$I$80,$I$81,$I$82,$I$83,$I$84,$I$85,$I$86,$I$87,$I$88,$I$89,$I$90,$I$91,$I$92,$I$93)</f>
        <v>1.5350001918918943E-2</v>
      </c>
      <c r="J94" s="156">
        <f>$J$55-AVERAGE($J$58,$J$59,$J$60,$J$61,$J$62,$J$63,$J$64,$J$65,$J$66,$J$68,$J$69,$J$70,$J$71,$J$72,$J$73,$J$74,$J$75,$J$77,$J$78,$J$79,$J$80,$J$81,$J$82,$J$83,$J$84,$J$85,$J$86,$J$87,$J$88,$J$89,$J$90,$J$91,$J$92,$J$93)</f>
        <v>2.4705878513700819E-2</v>
      </c>
      <c r="K94" s="156">
        <f>$K$55-AVERAGE($K$58,$K$59,$K$60,$K$61,$K$62,$K$63,$K$64,$K$65,$K$66,$K$68,$K$69,$K$70,$K$71,$K$72,$K$73,$K$74,$K$75,$K$77,$K$78,$K$79,$K$80,$K$81,$K$82,$K$83,$K$84,$K$85,$K$86,$K$87,$K$88,$K$89,$K$90,$K$91,$K$92,$K$93)</f>
        <v>3.8423533606178617E-2</v>
      </c>
      <c r="L94" s="156">
        <f>$L$55-AVERAGE($L$58,$L$59,$L$60,$L$61,$L$62,$L$63,$L$64,$L$65,$L$66,$L$68,$L$69,$L$70,$L$71,$L$72,$L$73,$L$74,$L$75,$L$77,$L$78,$L$79,$L$80,$L$81,$L$82,$L$83,$L$84,$L$85,$L$86,$L$87,$L$88,$L$89,$L$90,$L$91,$L$92,$L$93)</f>
        <v>5.7414704385925747E-2</v>
      </c>
      <c r="M94" s="156">
        <f>$M$55-AVERAGE($M$58,$M$59,$M$60,$M$61,$M$62,$M$63,$M$64,$M$65,$M$66,$M$68,$M$69,$M$70,$M$71,$M$72,$M$73,$M$74,$M$75,$M$77,$M$78,$M$79,$M$80,$M$81,$M$82,$M$83,$M$84,$M$85,$M$86,$M$87,$M$88,$M$89,$M$90,$M$91,$M$92,$M$93)</f>
        <v>8.1997052273329568E-2</v>
      </c>
      <c r="N94" s="156">
        <f>$N$55-AVERAGE($N$58,$N$59,$N$60,$N$61,$N$62,$N$63,$N$64,$N$65,$N$66,$N$68,$N$69,$N$70,$N$71,$N$72,$N$73,$N$74,$N$75,$N$77,$N$78,$N$79,$N$80,$N$81,$N$82,$N$83,$N$84,$N$85,$N$86,$N$87,$N$88,$N$89,$N$90,$N$91,$N$92,$N$93)</f>
        <v>0.11055587977170944</v>
      </c>
      <c r="O94" s="156">
        <f>$O$55-AVERAGE($O$58,$O$59,$O$60,$O$61,$O$62,$O$63,$O$64,$O$65,$O$66,$O$68,$O$69,$O$70,$O$71,$O$72,$O$73,$O$74,$O$75,$O$77,$O$78,$O$79,$O$80,$O$81,$O$82,$O$83,$O$84,$O$85,$O$86,$O$87,$O$88,$O$89,$O$90,$O$91,$O$92,$O$93)</f>
        <v>0.1440323472899549</v>
      </c>
      <c r="P94" s="156">
        <f>$P$55-AVERAGE($P$58,$P$59,$P$60,$P$61,$P$62,$P$63,$P$64,$P$65,$P$66,$P$68,$P$69,$P$70,$P$71,$P$72,$P$73,$P$74,$P$75,$P$77,$P$78,$P$79,$P$80,$P$81,$P$82,$P$83,$P$84,$P$85,$P$86,$P$87,$P$88,$P$89,$P$90,$P$91,$P$92,$P$93)</f>
        <v>0.18354118111379006</v>
      </c>
      <c r="Q94" s="156">
        <f>$Q$55-AVERAGE($Q$58,$Q$59,$Q$60,$Q$61,$Q$62,$Q$63,$Q$64,$Q$65,$Q$66,$Q$68,$Q$69,$Q$70,$Q$71,$Q$72,$Q$73,$Q$74,$Q$75,$Q$77,$Q$78,$Q$79,$Q$80,$Q$81,$Q$82,$Q$83,$Q$84,$Q$85,$Q$86,$Q$87,$Q$88,$Q$89,$Q$90,$Q$91,$Q$92,$Q$93)</f>
        <v>0.22594412503873601</v>
      </c>
      <c r="R94" s="156">
        <f>$R$55-AVERAGE($R$58,$R$59,$R$60,$R$61,$R$62,$R$63,$R$64,$R$65,$R$66,$R$68,$R$69,$R$70,$R$71,$R$72,$R$73,$R$74,$R$75,$R$77,$R$78,$R$79,$R$80,$R$81,$R$82,$R$83,$R$84,$R$85,$R$86,$R$87,$R$88,$R$89,$R$90,$R$91,$R$92,$R$93)</f>
        <v>0.27062941561726961</v>
      </c>
      <c r="S94" s="156">
        <f>$S$55-AVERAGE($S$58,$S$59,$S$60,$S$61,$S$62,$S$63,$S$64,$S$65,$S$66,$S$68,$S$69,$S$70,$S$71,$S$72,$S$73,$S$74,$S$75,$S$77,$S$78,$S$79,$S$80,$S$81,$S$82,$S$83,$S$84,$S$85,$S$86,$S$87,$S$88,$S$89,$S$90,$S$91,$S$92,$S$93)</f>
        <v>0.30987058623748664</v>
      </c>
      <c r="T94" s="156">
        <f>$T$55-AVERAGE($T$58,$T$59,$T$60,$T$61,$T$62,$T$63,$T$64,$T$65,$T$66,$T$68,$T$69,$T$70,$T$71,$T$72,$T$73,$T$74,$T$75,$T$77,$T$78,$T$79,$T$80,$T$81,$T$82,$T$83,$T$84,$T$85,$T$86,$T$87,$T$88,$T$89,$T$90,$T$91,$T$92,$T$93)</f>
        <v>0.34894412361523686</v>
      </c>
      <c r="U94" s="156">
        <f>$U$55-AVERAGE($U$58,$U$59,$U$60,$U$61,$U$62,$U$63,$U$64,$U$65,$U$66,$U$68,$U$69,$U$70,$U$71,$U$72,$U$73,$U$74,$U$75,$U$77,$U$78,$U$79,$U$80,$U$81,$U$82,$U$83,$U$84,$U$85,$U$86,$U$87,$U$88,$U$89,$U$90,$U$91,$U$92,$U$93)</f>
        <v>0.36958824908908677</v>
      </c>
      <c r="V94" s="156">
        <f>$V$55-AVERAGE($V$58,$V$59,$V$60,$V$61,$V$62,$V$63,$V$64,$V$65,$V$66,$V$68,$V$69,$V$70,$V$71,$V$72,$V$73,$V$74,$V$75,$V$77,$V$78,$V$79,$V$80,$V$81,$V$82,$V$83,$V$84,$V$85,$V$86,$V$87,$V$88,$V$89,$V$90,$V$91,$V$92,$V$93)</f>
        <v>0.3819235362769926</v>
      </c>
      <c r="W94" s="156">
        <f>$W$55-AVERAGE($W$58,$W$59,$W$60,$W$61,$W$62,$W$63,$W$64,$W$65,$W$66,$W$68,$W$69,$W$70,$W$71,$W$72,$W$73,$W$74,$W$75,$W$77,$W$78,$W$79,$W$80,$W$81,$W$82,$W$83,$W$84,$W$85,$W$86,$W$87,$W$88,$W$89,$W$90,$W$91,$W$92,$W$93)</f>
        <v>0.39425882346489849</v>
      </c>
      <c r="X94" s="156">
        <f>$X$55-AVERAGE($X$58,$X$59,$X$60,$X$61,$X$62,$X$63,$X$64,$X$65,$X$66,$X$68,$X$69,$X$70,$X$71,$X$72,$X$73,$X$74,$X$75,$X$77,$X$78,$X$79,$X$80,$X$81,$X$82,$X$83,$X$84,$X$85,$X$86,$X$87,$X$88,$X$89,$X$90,$X$91,$X$92,$X$93)</f>
        <v>0.40491177864811001</v>
      </c>
      <c r="Y94" s="156">
        <f>$Y$55-AVERAGE($Y$58,$Y$59,$Y$60,$Y$61,$Y$62,$Y$63,$Y$64,$Y$65,$Y$66,$Y$68,$Y$69,$Y$70,$Y$71,$Y$72,$Y$73,$Y$74,$Y$75,$Y$77,$Y$78,$Y$79,$Y$80,$Y$81,$Y$82,$Y$83,$Y$84,$Y$85,$Y$86,$Y$87,$Y$88,$Y$89,$Y$90,$Y$91,$Y$92,$Y$93)</f>
        <v>0.41582058983690595</v>
      </c>
      <c r="Z94" s="156">
        <f>$Z$55-AVERAGE($Z$58,$Z$59,$Z$60,$Z$61,$Z$62,$Z$63,$Z$64,$Z$65,$Z$66,$Z$68,$Z$69,$Z$70,$Z$71,$Z$72,$Z$73,$Z$74,$Z$75,$Z$77,$Z$78,$Z$79,$Z$80,$Z$81,$Z$82,$Z$83,$Z$84,$Z$85,$Z$86,$Z$87,$Z$88,$Z$89,$Z$90,$Z$91,$Z$92,$Z$93)</f>
        <v>0.42737939690842347</v>
      </c>
      <c r="AA94" s="156">
        <f>$AA$55-AVERAGE($AA$58,$AA$59,$AA$60,$AA$61,$AA$62,$AA$63,$AA$64,$AA$65,$AA$66,$AA$68,$AA$69,$AA$70,$AA$71,$AA$72,$AA$73,$AA$74,$AA$75,$AA$77,$AA$78,$AA$79,$AA$80,$AA$81,$AA$82,$AA$83,$AA$84,$AA$85,$AA$86,$AA$87,$AA$88,$AA$89,$AA$90,$AA$91,$AA$92,$AA$93)</f>
        <v>0.43567056340329791</v>
      </c>
      <c r="AB94" s="156">
        <f>$AB$55-AVERAGE($AB$58,$AB$59,$AB$60,$AB$61,$AB$62,$AB$63,$AB$64,$AB$65,$AB$66,$AB$68,$AB$69,$AB$70,$AB$71,$AB$72,$AB$73,$AB$74,$AB$75,$AB$77,$AB$78,$AB$79,$AB$80,$AB$81,$AB$82,$AB$83,$AB$84,$AB$85,$AB$86,$AB$87,$AB$88,$AB$89,$AB$90,$AB$91,$AB$92,$AB$93)</f>
        <v>0.44059411392492409</v>
      </c>
      <c r="AC94" s="156">
        <f>$AC$55-AVERAGE($AC$58,$AC$59,$AC$60,$AC$61,$AC$62,$AC$63,$AC$64,$AC$65,$AC$66,$AC$68,$AC$69,$AC$70,$AC$71,$AC$72,$AC$73,$AC$74,$AC$75,$AC$77,$AC$78,$AC$79,$AC$80,$AC$81,$AC$82,$AC$83,$AC$84,$AC$85,$AC$86,$AC$87,$AC$88,$AC$89,$AC$90,$AC$91,$AC$92,$AC$93)</f>
        <v>0.44722354872261777</v>
      </c>
      <c r="AD94" s="156">
        <f>$AD$55-AVERAGE($AD$58,$AD$59,$AD$60,$AD$61,$AD$62,$AD$63,$AD$64,$AD$65,$AD$66,$AD$68,$AD$69,$AD$70,$AD$71,$AD$72,$AD$73,$AD$74,$AD$75,$AD$77,$AD$78,$AD$79,$AD$80,$AD$81,$AD$82,$AD$83,$AD$84,$AD$85,$AD$86,$AD$87,$AD$88,$AD$89,$AD$90,$AD$91,$AD$92,$AD$93)</f>
        <v>0.45426763572237072</v>
      </c>
      <c r="AE94" s="156">
        <f>$AE$55-AVERAGE($AE$58,$AE$59,$AE$60,$AE$61,$AE$62,$AE$63,$AE$64,$AE$65,$AE$66,$AE$68,$AE$69,$AE$70,$AE$71,$AE$72,$AE$73,$AE$74,$AE$75,$AE$77,$AE$78,$AE$79,$AE$80,$AE$81,$AE$82,$AE$83,$AE$84,$AE$85,$AE$86,$AE$87,$AE$88,$AE$89,$AE$90,$AE$91,$AE$92,$AE$93)</f>
        <v>0.46060002091176366</v>
      </c>
      <c r="AF94" s="156">
        <f>$AF$55-AVERAGE($AF$58,$AF$59,$AF$60,$AF$61,$AF$62,$AF$63,$AF$64,$AF$65,$AF$66,$AF$68,$AF$69,$AF$70,$AF$71,$AF$72,$AF$73,$AF$74,$AF$75,$AF$77,$AF$78,$AF$79,$AF$80,$AF$81,$AF$82,$AF$83,$AF$84,$AF$85,$AF$86,$AF$87,$AF$88,$AF$89,$AF$90,$AF$91,$AF$92,$AF$93)</f>
        <v>0.46712057182894035</v>
      </c>
    </row>
    <row r="95" spans="1:32" x14ac:dyDescent="0.2">
      <c r="A95" s="157" t="s">
        <v>457</v>
      </c>
      <c r="B95" s="157">
        <f>$B$56-AVERAGE($B$58,$B$59,$B$60,$B$61,$B$62,$B$63,$B$65,$B$66,$B$68,$B$69,$B$70,$B$71,$B$72,$B$73,$B$74,$B$75,$B$77,$B$78,$B$79,$B$80,$B$81,$B$82,$B$83,$B$84,$B$85,$B$86,$B$87,$B$88,$B$89,$B$90,$B$91,$B$92,$B$93)</f>
        <v>1.351514323191208E-3</v>
      </c>
      <c r="C95" s="157">
        <f>$C$56-AVERAGE($C$58,$C$59,$C$60,$C$61,$C$62,$C$63,$C$65,$C$66,$C$68,$C$69,$C$70,$C$71,$C$72,$C$73,$C$74,$C$75,$C$77,$C$78,$C$79,$C$80,$C$81,$C$82,$C$83,$C$84,$C$85,$C$86,$C$87,$C$88,$C$89,$C$90,$C$91,$C$92,$C$93)</f>
        <v>1.6878782348199312E-3</v>
      </c>
      <c r="D95" s="157">
        <f>$D$56-AVERAGE($D$58,$D$59,$D$60,$D$61,$D$62,$D$63,$D$65,$D$66,$D$68,$D$69,$D$70,$D$71,$D$72,$D$73,$D$74,$D$75,$D$77,$D$78,$D$79,$D$80,$D$81,$D$82,$D$83,$D$84,$D$85,$D$86,$D$87,$D$88,$D$89,$D$90,$D$91,$D$92,$D$93)</f>
        <v>1.8969704255913239E-3</v>
      </c>
      <c r="E95" s="157">
        <f>$E$56-AVERAGE($E$58,$E$59,$E$60,$E$61,$E$62,$E$63,$E$65,$E$66,$E$68,$E$69,$E$70,$E$71,$E$72,$E$73,$E$74,$E$75,$E$77,$E$78,$E$79,$E$80,$E$81,$E$82,$E$83,$E$84,$E$85,$E$86,$E$87,$E$88,$E$89,$E$90,$E$91,$E$92,$E$93)</f>
        <v>2.3212137095856011E-3</v>
      </c>
      <c r="F95" s="157">
        <f>$F$56-AVERAGE($F$58,$F$59,$F$60,$F$61,$F$62,$F$63,$F$65,$F$66,$F$68,$F$69,$F$70,$F$71,$F$72,$F$73,$F$74,$F$75,$F$77,$F$78,$F$79,$F$80,$F$81,$F$82,$F$83,$F$84,$F$85,$F$86,$F$87,$F$88,$F$89,$F$90,$F$91,$F$92,$F$93)</f>
        <v>3.4121252370603178E-3</v>
      </c>
      <c r="G95" s="157">
        <f>$G$56-AVERAGE($G$58,$G$59,$G$60,$G$61,$G$62,$G$63,$G$65,$G$66,$G$68,$G$69,$G$70,$G$71,$G$72,$G$73,$G$74,$G$75,$G$77,$G$78,$G$79,$G$80,$G$81,$G$82,$G$83,$G$84,$G$85,$G$86,$G$87,$G$88,$G$89,$G$90,$G$91,$G$92,$G$93)</f>
        <v>5.3333335302092749E-3</v>
      </c>
      <c r="H95" s="157">
        <f>$H$56-AVERAGE($H$58,$H$59,$H$60,$H$61,$H$62,$H$63,$H$65,$H$66,$H$68,$H$69,$H$70,$H$71,$H$72,$H$73,$H$74,$H$75,$H$77,$H$78,$H$79,$H$80,$H$81,$H$82,$H$83,$H$84,$H$85,$H$86,$H$87,$H$88,$H$89,$H$90,$H$91,$H$92,$H$93)</f>
        <v>8.8454521063602298E-3</v>
      </c>
      <c r="I95" s="157">
        <f>$I$56-AVERAGE($I$58,$I$59,$I$60,$I$61,$I$62,$I$63,$I$65,$I$66,$I$68,$I$69,$I$70,$I$71,$I$72,$I$73,$I$74,$I$75,$I$77,$I$78,$I$79,$I$80,$I$81,$I$82,$I$83,$I$84,$I$85,$I$86,$I$87,$I$88,$I$89,$I$90,$I$91,$I$92,$I$93)</f>
        <v>1.4778786987969375E-2</v>
      </c>
      <c r="J95" s="157">
        <f>$J$56-AVERAGE($J$58,$J$59,$J$60,$J$61,$J$62,$J$63,$J$65,$J$66,$J$68,$J$69,$J$70,$J$71,$J$72,$J$73,$J$74,$J$75,$J$77,$J$78,$J$79,$J$80,$J$81,$J$82,$J$83,$J$84,$J$85,$J$86,$J$87,$J$88,$J$89,$J$90,$J$91,$J$92,$J$93)</f>
        <v>2.3936361074447632E-2</v>
      </c>
      <c r="K95" s="157">
        <f>$K$56-AVERAGE($K$58,$K$59,$K$60,$K$61,$K$62,$K$63,$K$65,$K$66,$K$68,$K$69,$K$70,$K$71,$K$72,$K$73,$K$74,$K$75,$K$77,$K$78,$K$79,$K$80,$K$81,$K$82,$K$83,$K$84,$K$85,$K$86,$K$87,$K$88,$K$89,$K$90,$K$91,$K$92,$K$93)</f>
        <v>3.7451517401319565E-2</v>
      </c>
      <c r="L95" s="157">
        <f>$L$56-AVERAGE($L$58,$L$59,$L$60,$L$61,$L$62,$L$63,$L$65,$L$66,$L$68,$L$69,$L$70,$L$71,$L$72,$L$73,$L$74,$L$75,$L$77,$L$78,$L$79,$L$80,$L$81,$L$82,$L$83,$L$84,$L$85,$L$86,$L$87,$L$88,$L$89,$L$90,$L$91,$L$92,$L$93)</f>
        <v>5.6445450945334E-2</v>
      </c>
      <c r="M95" s="157">
        <f>$M$56-AVERAGE($M$58,$M$59,$M$60,$M$61,$M$62,$M$63,$M$65,$M$66,$M$68,$M$69,$M$70,$M$71,$M$72,$M$73,$M$74,$M$75,$M$77,$M$78,$M$79,$M$80,$M$81,$M$82,$M$83,$M$84,$M$85,$M$86,$M$87,$M$88,$M$89,$M$90,$M$91,$M$92,$M$93)</f>
        <v>8.1227267556118241E-2</v>
      </c>
      <c r="N95" s="157">
        <f>$N$56-AVERAGE($N$58,$N$59,$N$60,$N$61,$N$62,$N$63,$N$65,$N$66,$N$68,$N$69,$N$70,$N$71,$N$72,$N$73,$N$74,$N$75,$N$77,$N$78,$N$79,$N$80,$N$81,$N$82,$N$83,$N$84,$N$85,$N$86,$N$87,$N$88,$N$89,$N$90,$N$91,$N$92,$N$93)</f>
        <v>0.10949090281219194</v>
      </c>
      <c r="O95" s="157">
        <f>$O$56-AVERAGE($O$58,$O$59,$O$60,$O$61,$O$62,$O$63,$O$65,$O$66,$O$68,$O$69,$O$70,$O$71,$O$72,$O$73,$O$74,$O$75,$O$77,$O$78,$O$79,$O$80,$O$81,$O$82,$O$83,$O$84,$O$85,$O$86,$O$87,$O$88,$O$89,$O$90,$O$91,$O$92,$O$93)</f>
        <v>0.14307271960106763</v>
      </c>
      <c r="P95" s="157">
        <f>$P$56-AVERAGE($P$58,$P$59,$P$60,$P$61,$P$62,$P$63,$P$65,$P$66,$P$68,$P$69,$P$70,$P$71,$P$72,$P$73,$P$74,$P$75,$P$77,$P$78,$P$79,$P$80,$P$81,$P$82,$P$83,$P$84,$P$85,$P$86,$P$87,$P$88,$P$89,$P$90,$P$91,$P$92,$P$93)</f>
        <v>0.18298181259270871</v>
      </c>
      <c r="Q95" s="157">
        <f>$Q$56-AVERAGE($Q$58,$Q$59,$Q$60,$Q$61,$Q$62,$Q$63,$Q$65,$Q$66,$Q$68,$Q$69,$Q$70,$Q$71,$Q$72,$Q$73,$Q$74,$Q$75,$Q$77,$Q$78,$Q$79,$Q$80,$Q$81,$Q$82,$Q$83,$Q$84,$Q$85,$Q$86,$Q$87,$Q$88,$Q$89,$Q$90,$Q$91,$Q$92,$Q$93)</f>
        <v>0.22498483888127585</v>
      </c>
      <c r="R95" s="157">
        <f>$R$56-AVERAGE($R$58,$R$59,$R$60,$R$61,$R$62,$R$63,$R$65,$R$66,$R$68,$R$69,$R$70,$R$71,$R$72,$R$73,$R$74,$R$75,$R$77,$R$78,$R$79,$R$80,$R$81,$R$82,$R$83,$R$84,$R$85,$R$86,$R$87,$R$88,$R$89,$R$90,$R$91,$R$92,$R$93)</f>
        <v>0.27016667705593689</v>
      </c>
      <c r="S95" s="157">
        <f>$S$56-AVERAGE($S$58,$S$59,$S$60,$S$61,$S$62,$S$63,$S$65,$S$66,$S$68,$S$69,$S$70,$S$71,$S$72,$S$73,$S$74,$S$75,$S$77,$S$78,$S$79,$S$80,$S$81,$S$82,$S$83,$S$84,$S$85,$S$86,$S$87,$S$88,$S$89,$S$90,$S$91,$S$92,$S$93)</f>
        <v>0.30940303477373987</v>
      </c>
      <c r="T95" s="157">
        <f>$T$56-AVERAGE($T$58,$T$59,$T$60,$T$61,$T$62,$T$63,$T$65,$T$66,$T$68,$T$69,$T$70,$T$71,$T$72,$T$73,$T$74,$T$75,$T$77,$T$78,$T$79,$T$80,$T$81,$T$82,$T$83,$T$84,$T$85,$T$86,$T$87,$T$88,$T$89,$T$90,$T$91,$T$92,$T$93)</f>
        <v>0.34827273632540845</v>
      </c>
      <c r="U95" s="157">
        <f>$U$56-AVERAGE($U$58,$U$59,$U$60,$U$61,$U$62,$U$63,$U$65,$U$66,$U$68,$U$69,$U$70,$U$71,$U$72,$U$73,$U$74,$U$75,$U$77,$U$78,$U$79,$U$80,$U$81,$U$82,$U$83,$U$84,$U$85,$U$86,$U$87,$U$88,$U$89,$U$90,$U$91,$U$92,$U$93)</f>
        <v>0.36891513859683817</v>
      </c>
      <c r="V95" s="157">
        <f>$V$56-AVERAGE($V$58,$V$59,$V$60,$V$61,$V$62,$V$63,$V$65,$V$66,$V$68,$V$69,$V$70,$V$71,$V$72,$V$73,$V$74,$V$75,$V$77,$V$78,$V$79,$V$80,$V$81,$V$82,$V$83,$V$84,$V$85,$V$86,$V$87,$V$88,$V$89,$V$90,$V$91,$V$92,$V$93)</f>
        <v>0.38139847496693785</v>
      </c>
      <c r="W95" s="157">
        <f>$W$56-AVERAGE($W$58,$W$59,$W$60,$W$61,$W$62,$W$63,$W$65,$W$66,$W$68,$W$69,$W$70,$W$71,$W$72,$W$73,$W$74,$W$75,$W$77,$W$78,$W$79,$W$80,$W$81,$W$82,$W$83,$W$84,$W$85,$W$86,$W$87,$W$88,$W$89,$W$90,$W$91,$W$92,$W$93)</f>
        <v>0.39388181133703754</v>
      </c>
      <c r="X95" s="157">
        <f>$X$56-AVERAGE($X$58,$X$59,$X$60,$X$61,$X$62,$X$63,$X$65,$X$66,$X$68,$X$69,$X$70,$X$71,$X$72,$X$73,$X$74,$X$75,$X$77,$X$78,$X$79,$X$80,$X$81,$X$82,$X$83,$X$84,$X$85,$X$86,$X$87,$X$88,$X$89,$X$90,$X$91,$X$92,$X$93)</f>
        <v>0.40363937097065378</v>
      </c>
      <c r="Y95" s="157">
        <f>$Y$56-AVERAGE($Y$58,$Y$59,$Y$60,$Y$61,$Y$62,$Y$63,$Y$65,$Y$66,$Y$68,$Y$69,$Y$70,$Y$71,$Y$72,$Y$73,$Y$74,$Y$75,$Y$77,$Y$78,$Y$79,$Y$80,$Y$81,$Y$82,$Y$83,$Y$84,$Y$85,$Y$86,$Y$87,$Y$88,$Y$89,$Y$90,$Y$91,$Y$92,$Y$93)</f>
        <v>0.41494845621513599</v>
      </c>
      <c r="Z95" s="157">
        <f>$Z$56-AVERAGE($Z$58,$Z$59,$Z$60,$Z$61,$Z$62,$Z$63,$Z$65,$Z$66,$Z$68,$Z$69,$Z$70,$Z$71,$Z$72,$Z$73,$Z$74,$Z$75,$Z$77,$Z$78,$Z$79,$Z$80,$Z$81,$Z$82,$Z$83,$Z$84,$Z$85,$Z$86,$Z$87,$Z$88,$Z$89,$Z$90,$Z$91,$Z$92,$Z$93)</f>
        <v>0.42621214552359149</v>
      </c>
      <c r="AA95" s="157">
        <f>$AA$56-AVERAGE($AA$58,$AA$59,$AA$60,$AA$61,$AA$62,$AA$63,$AA$65,$AA$66,$AA$68,$AA$69,$AA$70,$AA$71,$AA$72,$AA$73,$AA$74,$AA$75,$AA$77,$AA$78,$AA$79,$AA$80,$AA$81,$AA$82,$AA$83,$AA$84,$AA$85,$AA$86,$AA$87,$AA$88,$AA$89,$AA$90,$AA$91,$AA$92,$AA$93)</f>
        <v>0.43400605158372357</v>
      </c>
      <c r="AB95" s="157">
        <f>$AB$56-AVERAGE($AB$58,$AB$59,$AB$60,$AB$61,$AB$62,$AB$63,$AB$65,$AB$66,$AB$68,$AB$69,$AB$70,$AB$71,$AB$72,$AB$73,$AB$74,$AB$75,$AB$77,$AB$78,$AB$79,$AB$80,$AB$81,$AB$82,$AB$83,$AB$84,$AB$85,$AB$86,$AB$87,$AB$88,$AB$89,$AB$90,$AB$91,$AB$92,$AB$93)</f>
        <v>0.43943330916491419</v>
      </c>
      <c r="AC95" s="157">
        <f>$AC$56-AVERAGE($AC$58,$AC$59,$AC$60,$AC$61,$AC$62,$AC$63,$AC$65,$AC$66,$AC$68,$AC$69,$AC$70,$AC$71,$AC$72,$AC$73,$AC$74,$AC$75,$AC$77,$AC$78,$AC$79,$AC$80,$AC$81,$AC$82,$AC$83,$AC$84,$AC$85,$AC$86,$AC$87,$AC$88,$AC$89,$AC$90,$AC$91,$AC$92,$AC$93)</f>
        <v>0.44546365489562351</v>
      </c>
      <c r="AD95" s="157">
        <f>$AD$56-AVERAGE($AD$58,$AD$59,$AD$60,$AD$61,$AD$62,$AD$63,$AD$65,$AD$66,$AD$68,$AD$69,$AD$70,$AD$71,$AD$72,$AD$73,$AD$74,$AD$75,$AD$77,$AD$78,$AD$79,$AD$80,$AD$81,$AD$82,$AD$83,$AD$84,$AD$85,$AD$86,$AD$87,$AD$88,$AD$89,$AD$90,$AD$91,$AD$92,$AD$93)</f>
        <v>0.45120607135873853</v>
      </c>
      <c r="AE95" s="157">
        <f>$AE$56-AVERAGE($AE$58,$AE$59,$AE$60,$AE$61,$AE$62,$AE$63,$AE$65,$AE$66,$AE$68,$AE$69,$AE$70,$AE$71,$AE$72,$AE$73,$AE$74,$AE$75,$AE$77,$AE$78,$AE$79,$AE$80,$AE$81,$AE$82,$AE$83,$AE$84,$AE$85,$AE$86,$AE$87,$AE$88,$AE$89,$AE$90,$AE$91,$AE$92,$AE$93)</f>
        <v>0.45923639066291577</v>
      </c>
      <c r="AF95" s="157">
        <f>$AF$56-AVERAGE($AF$58,$AF$59,$AF$60,$AF$61,$AF$62,$AF$63,$AF$65,$AF$66,$AF$68,$AF$69,$AF$70,$AF$71,$AF$72,$AF$73,$AF$74,$AF$75,$AF$77,$AF$78,$AF$79,$AF$80,$AF$81,$AF$82,$AF$83,$AF$84,$AF$85,$AF$86,$AF$87,$AF$88,$AF$89,$AF$90,$AF$91,$AF$92,$AF$93)</f>
        <v>0.46545454498493311</v>
      </c>
    </row>
    <row r="96" spans="1:32" x14ac:dyDescent="0.2">
      <c r="A96" s="168" t="s">
        <v>458</v>
      </c>
      <c r="B96" s="168">
        <f>$B$57-AVERAGE($B$58,$B$59,$B$60,$B$61,$B$62,$B$63,$B$64,$B$65,$B$66,$B$68,$B$69,$B$70,$B$71,$B$72,$B$73,$B$74,$B$75,$B$77,$B$78,$B$79,$B$80,$B$81,$B$82,$B$83,$B$84,$B$85,$B$86,$B$87,$B$88,$B$89,$B$90,$B$91,$B$92,$B$93)</f>
        <v>1.511767287464702E-3</v>
      </c>
      <c r="C96" s="168">
        <f>$C$57-AVERAGE($C$58,$C$59,$C$60,$C$61,$C$62,$C$63,$C$64,$C$65,$C$66,$C$68,$C$69,$C$70,$C$71,$C$72,$C$73,$C$74,$C$75,$C$77,$C$78,$C$79,$C$80,$C$81,$C$82,$C$83,$C$84,$C$85,$C$86,$C$87,$C$88,$C$89,$C$90,$C$91,$C$92,$C$93)</f>
        <v>1.7470599097364065E-3</v>
      </c>
      <c r="D96" s="168">
        <f>$D$57-AVERAGE($D$58,$D$59,$D$60,$D$61,$D$62,$D$63,$D$64,$D$65,$D$66,$D$68,$D$69,$D$70,$D$71,$D$72,$D$73,$D$74,$D$75,$D$77,$D$78,$D$79,$D$80,$D$81,$D$82,$D$83,$D$84,$D$85,$D$86,$D$87,$D$88,$D$89,$D$90,$D$91,$D$92,$D$93)</f>
        <v>1.8558830899350759E-3</v>
      </c>
      <c r="E96" s="168">
        <f>$E$57-AVERAGE($E$58,$E$59,$E$60,$E$61,$E$62,$E$63,$E$64,$E$65,$E$66,$E$68,$E$69,$E$70,$E$71,$E$72,$E$73,$E$74,$E$75,$E$77,$E$78,$E$79,$E$80,$E$81,$E$82,$E$83,$E$84,$E$85,$E$86,$E$87,$E$88,$E$89,$E$90,$E$91,$E$92,$E$93)</f>
        <v>2.3764737826936361E-3</v>
      </c>
      <c r="F96" s="168">
        <f>$F$57-AVERAGE($F$58,$F$59,$F$60,$F$61,$F$62,$F$63,$F$64,$F$65,$F$66,$F$68,$F$69,$F$70,$F$71,$F$72,$F$73,$F$74,$F$75,$F$77,$F$78,$F$79,$F$80,$F$81,$F$82,$F$83,$F$84,$F$85,$F$86,$F$87,$F$88,$F$89,$F$90,$F$91,$F$92,$F$93)</f>
        <v>3.2764728016713152E-3</v>
      </c>
      <c r="G96" s="168">
        <f>$G$57-AVERAGE($G$58,$G$59,$G$60,$G$61,$G$62,$G$63,$G$64,$G$65,$G$66,$G$68,$G$69,$G$70,$G$71,$G$72,$G$73,$G$74,$G$75,$G$77,$G$78,$G$79,$G$80,$G$81,$G$82,$G$83,$G$84,$G$85,$G$86,$G$87,$G$88,$G$89,$G$90,$G$91,$G$92,$G$93)</f>
        <v>5.4029430098393449E-3</v>
      </c>
      <c r="H96" s="168">
        <f>$H$57-AVERAGE($H$58,$H$59,$H$60,$H$61,$H$62,$H$63,$H$64,$H$65,$H$66,$H$68,$H$69,$H$70,$H$71,$H$72,$H$73,$H$74,$H$75,$H$77,$H$78,$H$79,$H$80,$H$81,$H$82,$H$83,$H$84,$H$85,$H$86,$H$87,$H$88,$H$89,$H$90,$H$91,$H$92,$H$93)</f>
        <v>8.7147017612176775E-3</v>
      </c>
      <c r="I96" s="168">
        <f>$I$57-AVERAGE($I$58,$I$59,$I$60,$I$61,$I$62,$I$63,$I$64,$I$65,$I$66,$I$68,$I$69,$I$70,$I$71,$I$72,$I$73,$I$74,$I$75,$I$77,$I$78,$I$79,$I$80,$I$81,$I$82,$I$83,$I$84,$I$85,$I$86,$I$87,$I$88,$I$89,$I$90,$I$91,$I$92,$I$93)</f>
        <v>1.4649997520096159E-2</v>
      </c>
      <c r="J96" s="168">
        <f>$J$57-AVERAGE($J$58,$J$59,$J$60,$J$61,$J$62,$J$63,$J$64,$J$65,$J$66,$J$68,$J$69,$J$70,$J$71,$J$72,$J$73,$J$74,$J$75,$J$77,$J$78,$J$79,$J$80,$J$81,$J$82,$J$83,$J$84,$J$85,$J$86,$J$87,$J$88,$J$89,$J$90,$J$91,$J$92,$J$93)</f>
        <v>2.3605889695532178E-2</v>
      </c>
      <c r="K96" s="168">
        <f>$K$57-AVERAGE($K$58,$K$59,$K$60,$K$61,$K$62,$K$63,$K$64,$K$65,$K$66,$K$68,$K$69,$K$70,$K$71,$K$72,$K$73,$K$74,$K$75,$K$77,$K$78,$K$79,$K$80,$K$81,$K$82,$K$83,$K$84,$K$85,$K$86,$K$87,$K$88,$K$89,$K$90,$K$91,$K$92,$K$93)</f>
        <v>3.712352650130496E-2</v>
      </c>
      <c r="L96" s="168">
        <f>$L$57-AVERAGE($L$58,$L$59,$L$60,$L$61,$L$62,$L$63,$L$64,$L$65,$L$66,$L$68,$L$69,$L$70,$L$71,$L$72,$L$73,$L$74,$L$75,$L$77,$L$78,$L$79,$L$80,$L$81,$L$82,$L$83,$L$84,$L$85,$L$86,$L$87,$L$88,$L$89,$L$90,$L$91,$L$92,$L$93)</f>
        <v>5.591470879666946E-2</v>
      </c>
      <c r="M96" s="168">
        <f>$M$57-AVERAGE($M$58,$M$59,$M$60,$M$61,$M$62,$M$63,$M$64,$M$65,$M$66,$M$68,$M$69,$M$70,$M$71,$M$72,$M$73,$M$74,$M$75,$M$77,$M$78,$M$79,$M$80,$M$81,$M$82,$M$83,$M$84,$M$85,$M$86,$M$87,$M$88,$M$89,$M$90,$M$91,$M$92,$M$93)</f>
        <v>8.0697060069617105E-2</v>
      </c>
      <c r="N96" s="168">
        <f>$N$57-AVERAGE($N$58,$N$59,$N$60,$N$61,$N$62,$N$63,$N$64,$N$65,$N$66,$N$68,$N$69,$N$70,$N$71,$N$72,$N$73,$N$74,$N$75,$N$77,$N$78,$N$79,$N$80,$N$81,$N$82,$N$83,$N$84,$N$85,$N$86,$N$87,$N$88,$N$89,$N$90,$N$91,$N$92,$N$93)</f>
        <v>0.10905588418245316</v>
      </c>
      <c r="O96" s="168">
        <f>$O$57-AVERAGE($O$58,$O$59,$O$60,$O$61,$O$62,$O$63,$O$64,$O$65,$O$66,$O$68,$O$69,$O$70,$O$71,$O$72,$O$73,$O$74,$O$75,$O$77,$O$78,$O$79,$O$80,$O$81,$O$82,$O$83,$O$84,$O$85,$O$86,$O$87,$O$88,$O$89,$O$90,$O$91,$O$92,$O$93)</f>
        <v>0.14173235305968451</v>
      </c>
      <c r="P96" s="168">
        <f>$P$57-AVERAGE($P$58,$P$59,$P$60,$P$61,$P$62,$P$63,$P$64,$P$65,$P$66,$P$68,$P$69,$P$70,$P$71,$P$72,$P$73,$P$74,$P$75,$P$77,$P$78,$P$79,$P$80,$P$81,$P$82,$P$83,$P$84,$P$85,$P$86,$P$87,$P$88,$P$89,$P$90,$P$91,$P$92,$P$93)</f>
        <v>0.1814411902690635</v>
      </c>
      <c r="Q96" s="168">
        <f>$Q$57-AVERAGE($Q$58,$Q$59,$Q$60,$Q$61,$Q$62,$Q$63,$Q$64,$Q$65,$Q$66,$Q$68,$Q$69,$Q$70,$Q$71,$Q$72,$Q$73,$Q$74,$Q$75,$Q$77,$Q$78,$Q$79,$Q$80,$Q$81,$Q$82,$Q$83,$Q$84,$Q$85,$Q$86,$Q$87,$Q$88,$Q$89,$Q$90,$Q$91,$Q$92,$Q$93)</f>
        <v>0.22444411454831853</v>
      </c>
      <c r="R96" s="168">
        <f>$R$57-AVERAGE($R$58,$R$59,$R$60,$R$61,$R$62,$R$63,$R$64,$R$65,$R$66,$R$68,$R$69,$R$70,$R$71,$R$72,$R$73,$R$74,$R$75,$R$77,$R$78,$R$79,$R$80,$R$81,$R$82,$R$83,$R$84,$R$85,$R$86,$R$87,$R$88,$R$89,$R$90,$R$91,$R$92,$R$93)</f>
        <v>0.26802940140752229</v>
      </c>
      <c r="S96" s="168">
        <f>$S$57-AVERAGE($S$58,$S$59,$S$60,$S$61,$S$62,$S$63,$S$64,$S$65,$S$66,$S$68,$S$69,$S$70,$S$71,$S$72,$S$73,$S$74,$S$75,$S$77,$S$78,$S$79,$S$80,$S$81,$S$82,$S$83,$S$84,$S$85,$S$86,$S$87,$S$88,$S$89,$S$90,$S$91,$S$92,$S$93)</f>
        <v>0.30737058862167244</v>
      </c>
      <c r="T96" s="168">
        <f>$T$57-AVERAGE($T$58,$T$59,$T$60,$T$61,$T$62,$T$63,$T$64,$T$65,$T$66,$T$68,$T$69,$T$70,$T$71,$T$72,$T$73,$T$74,$T$75,$T$77,$T$78,$T$79,$T$80,$T$81,$T$82,$T$83,$T$84,$T$85,$T$86,$T$87,$T$88,$T$89,$T$90,$T$91,$T$92,$T$93)</f>
        <v>0.34664412938496647</v>
      </c>
      <c r="U96" s="168">
        <f>$U$57-AVERAGE($U$58,$U$59,$U$60,$U$61,$U$62,$U$63,$U$64,$U$65,$U$66,$U$68,$U$69,$U$70,$U$71,$U$72,$U$73,$U$74,$U$75,$U$77,$U$78,$U$79,$U$80,$U$81,$U$82,$U$83,$U$84,$U$85,$U$86,$U$87,$U$88,$U$89,$U$90,$U$91,$U$92,$U$93)</f>
        <v>0.36748822844203782</v>
      </c>
      <c r="V96" s="168">
        <f>$V$57-AVERAGE($V$58,$V$59,$V$60,$V$61,$V$62,$V$63,$V$64,$V$65,$V$66,$V$68,$V$69,$V$70,$V$71,$V$72,$V$73,$V$74,$V$75,$V$77,$V$78,$V$79,$V$80,$V$81,$V$82,$V$83,$V$84,$V$85,$V$86,$V$87,$V$88,$V$89,$V$90,$V$91,$V$92,$V$93)</f>
        <v>0.38002351901548748</v>
      </c>
      <c r="W96" s="168">
        <f>$W$57-AVERAGE($W$58,$W$59,$W$60,$W$61,$W$62,$W$63,$W$64,$W$65,$W$66,$W$68,$W$69,$W$70,$W$71,$W$72,$W$73,$W$74,$W$75,$W$77,$W$78,$W$79,$W$80,$W$81,$W$82,$W$83,$W$84,$W$85,$W$86,$W$87,$W$88,$W$89,$W$90,$W$91,$W$92,$W$93)</f>
        <v>0.39255880958893719</v>
      </c>
      <c r="X96" s="168">
        <f>$X$57-AVERAGE($X$58,$X$59,$X$60,$X$61,$X$62,$X$63,$X$64,$X$65,$X$66,$X$68,$X$69,$X$70,$X$71,$X$72,$X$73,$X$74,$X$75,$X$77,$X$78,$X$79,$X$80,$X$81,$X$82,$X$83,$X$84,$X$85,$X$86,$X$87,$X$88,$X$89,$X$90,$X$91,$X$92,$X$93)</f>
        <v>0.40261175461551724</v>
      </c>
      <c r="Y96" s="168">
        <f>$Y$57-AVERAGE($Y$58,$Y$59,$Y$60,$Y$61,$Y$62,$Y$63,$Y$64,$Y$65,$Y$66,$Y$68,$Y$69,$Y$70,$Y$71,$Y$72,$Y$73,$Y$74,$Y$75,$Y$77,$Y$78,$Y$79,$Y$80,$Y$81,$Y$82,$Y$83,$Y$84,$Y$85,$Y$86,$Y$87,$Y$88,$Y$89,$Y$90,$Y$91,$Y$92,$Y$93)</f>
        <v>0.4129205854500041</v>
      </c>
      <c r="Z96" s="168">
        <f>$Z$57-AVERAGE($Z$58,$Z$59,$Z$60,$Z$61,$Z$62,$Z$63,$Z$64,$Z$65,$Z$66,$Z$68,$Z$69,$Z$70,$Z$71,$Z$72,$Z$73,$Z$74,$Z$75,$Z$77,$Z$78,$Z$79,$Z$80,$Z$81,$Z$82,$Z$83,$Z$84,$Z$85,$Z$86,$Z$87,$Z$88,$Z$89,$Z$90,$Z$91,$Z$92,$Z$93)</f>
        <v>0.42427941893830018</v>
      </c>
      <c r="AA96" s="168">
        <f>$AA$57-AVERAGE($AA$58,$AA$59,$AA$60,$AA$61,$AA$62,$AA$63,$AA$64,$AA$65,$AA$66,$AA$68,$AA$69,$AA$70,$AA$71,$AA$72,$AA$73,$AA$74,$AA$75,$AA$77,$AA$78,$AA$79,$AA$80,$AA$81,$AA$82,$AA$83,$AA$84,$AA$85,$AA$86,$AA$87,$AA$88,$AA$89,$AA$90,$AA$91,$AA$92,$AA$93)</f>
        <v>0.43257058543317461</v>
      </c>
      <c r="AB96" s="168">
        <f>$AB$57-AVERAGE($AB$58,$AB$59,$AB$60,$AB$61,$AB$62,$AB$63,$AB$64,$AB$65,$AB$66,$AB$68,$AB$69,$AB$70,$AB$71,$AB$72,$AB$73,$AB$74,$AB$75,$AB$77,$AB$78,$AB$79,$AB$80,$AB$81,$AB$82,$AB$83,$AB$84,$AB$85,$AB$86,$AB$87,$AB$88,$AB$89,$AB$90,$AB$91,$AB$92,$AB$93)</f>
        <v>0.43679413900655861</v>
      </c>
      <c r="AC96" s="168">
        <f>$AC$57-AVERAGE($AC$58,$AC$59,$AC$60,$AC$61,$AC$62,$AC$63,$AC$64,$AC$65,$AC$66,$AC$68,$AC$69,$AC$70,$AC$71,$AC$72,$AC$73,$AC$74,$AC$75,$AC$77,$AC$78,$AC$79,$AC$80,$AC$81,$AC$82,$AC$83,$AC$84,$AC$85,$AC$86,$AC$87,$AC$88,$AC$89,$AC$90,$AC$91,$AC$92,$AC$93)</f>
        <v>0.44302350742851987</v>
      </c>
      <c r="AD96" s="168">
        <f>$AD$57-AVERAGE($AD$58,$AD$59,$AD$60,$AD$61,$AD$62,$AD$63,$AD$64,$AD$65,$AD$66,$AD$68,$AD$69,$AD$70,$AD$71,$AD$72,$AD$73,$AD$74,$AD$75,$AD$77,$AD$78,$AD$79,$AD$80,$AD$81,$AD$82,$AD$83,$AD$84,$AD$85,$AD$86,$AD$87,$AD$88,$AD$89,$AD$90,$AD$91,$AD$92,$AD$93)</f>
        <v>0.44976766385576306</v>
      </c>
      <c r="AE96" s="168">
        <f>$AE$57-AVERAGE($AE$58,$AE$59,$AE$60,$AE$61,$AE$62,$AE$63,$AE$64,$AE$65,$AE$66,$AE$68,$AE$69,$AE$70,$AE$71,$AE$72,$AE$73,$AE$74,$AE$75,$AE$77,$AE$78,$AE$79,$AE$80,$AE$81,$AE$82,$AE$83,$AE$84,$AE$85,$AE$86,$AE$87,$AE$88,$AE$89,$AE$90,$AE$91,$AE$92,$AE$93)</f>
        <v>0.45719999315984106</v>
      </c>
      <c r="AF96" s="168">
        <f>$AF$57-AVERAGE($AF$58,$AF$59,$AF$60,$AF$61,$AF$62,$AF$63,$AF$64,$AF$65,$AF$66,$AF$68,$AF$69,$AF$70,$AF$71,$AF$72,$AF$73,$AF$74,$AF$75,$AF$77,$AF$78,$AF$79,$AF$80,$AF$81,$AF$82,$AF$83,$AF$84,$AF$85,$AF$86,$AF$87,$AF$88,$AF$89,$AF$90,$AF$91,$AF$92,$AF$93)</f>
        <v>0.46312056372270866</v>
      </c>
    </row>
    <row r="97" spans="1:32" x14ac:dyDescent="0.2">
      <c r="A97" t="s">
        <v>459</v>
      </c>
      <c r="H97">
        <f>INDEX(LOGEST($B$94:$H$94,$B$54:$H$54,TRUE,TRUE), 3)</f>
        <v>0.94037236453072204</v>
      </c>
      <c r="I97">
        <f>INDEX(LOGEST($B$94:$I$94,$B$54:$I$54,TRUE,TRUE), 3)</f>
        <v>0.94484288204369771</v>
      </c>
      <c r="J97">
        <f>INDEX(LOGEST($B$94:$J$94,$B$54:$J$54,TRUE,TRUE), 3)</f>
        <v>0.95243099395584863</v>
      </c>
      <c r="K97">
        <f>INDEX(LOGEST($B$94:$K$94,$B$54:$K$54,TRUE,TRUE), 3)</f>
        <v>0.96096323944128181</v>
      </c>
      <c r="L97">
        <f>INDEX(LOGEST($B$94:$L$94,$B$54:$L$54,TRUE,TRUE), 3)</f>
        <v>0.96894634175455874</v>
      </c>
      <c r="M97">
        <f>INDEX(LOGEST($B$94:$M$94,$B$54:$M$54,TRUE,TRUE), 3)</f>
        <v>0.97570241218202391</v>
      </c>
      <c r="N97">
        <f>INDEX(LOGEST($B$94:$N$94,$B$54:$N$54,TRUE,TRUE), 3)</f>
        <v>0.98090720622125294</v>
      </c>
      <c r="O97">
        <f>INDEX(LOGEST($B$94:$O$94,$B$54:$O$54,TRUE,TRUE), 3)</f>
        <v>0.98437324965900219</v>
      </c>
      <c r="P97">
        <f>INDEX(LOGEST($B$94:$P$94,$B$54:$P$54,TRUE,TRUE), 3)</f>
        <v>0.98627347258619502</v>
      </c>
      <c r="Q97" s="155">
        <f>INDEX(LOGEST($B$94:$Q$94,$B$54:$Q$54,TRUE,TRUE), 3)</f>
        <v>0.98670429672658433</v>
      </c>
      <c r="R97">
        <f>INDEX(LOGEST($B$94:$R$94,$B$54:$R$54,TRUE,TRUE), 3)</f>
        <v>0.98580025186054199</v>
      </c>
      <c r="S97">
        <f>INDEX(LOGEST($B$94:$S$94,$B$54:$S$54,TRUE,TRUE), 3)</f>
        <v>0.98335923408467907</v>
      </c>
      <c r="T97">
        <f>INDEX(LOGEST($B$94:$T$94,$B$54:$T$54,TRUE,TRUE), 3)</f>
        <v>0.97962409890401114</v>
      </c>
      <c r="U97">
        <f>INDEX(LOGEST($B$94:$U$94,$B$54:$U$54,TRUE,TRUE), 3)</f>
        <v>0.97389305291052097</v>
      </c>
      <c r="V97">
        <f>INDEX(LOGEST($B$94:$V$94,$B$54:$V$54,TRUE,TRUE), 3)</f>
        <v>0.96619406466602409</v>
      </c>
      <c r="W97">
        <f>INDEX(LOGEST($B$94:$W$94,$B$54:$W$54,TRUE,TRUE), 3)</f>
        <v>0.95704781797193006</v>
      </c>
      <c r="X97">
        <f>INDEX(LOGEST($B$94:$X$94,$B$54:$X$54,TRUE,TRUE), 3)</f>
        <v>0.94677982860632148</v>
      </c>
      <c r="Y97">
        <f>INDEX(LOGEST($B$94:$Y$94,$B$54:$Y$54,TRUE,TRUE), 3)</f>
        <v>0.93576477348406162</v>
      </c>
      <c r="Z97">
        <f>INDEX(LOGEST($B$94:$Z$94,$B$54:$Z$54,TRUE,TRUE), 3)</f>
        <v>0.92431908018352393</v>
      </c>
      <c r="AA97">
        <f>INDEX(LOGEST($B$94:$AA$94,$B$54:$AA$54,TRUE,TRUE), 3)</f>
        <v>0.91245393825576648</v>
      </c>
      <c r="AB97">
        <f>INDEX(LOGEST($B$94:$AB$94,$B$54:$AB$54,TRUE,TRUE), 3)</f>
        <v>0.90016340741384893</v>
      </c>
      <c r="AC97">
        <f>INDEX(LOGEST($B$94:$AC$94,$B$54:$AC$54,TRUE,TRUE), 3)</f>
        <v>0.88773200465084801</v>
      </c>
      <c r="AD97">
        <f>INDEX(LOGEST($B$94:$AD$94,$B$54:$AD$54,TRUE,TRUE), 3)</f>
        <v>0.87530948568555389</v>
      </c>
      <c r="AE97">
        <f>INDEX(LOGEST($B$94:$AE$94,$B$54:$AE$54,TRUE,TRUE), 3)</f>
        <v>0.86294708330442471</v>
      </c>
      <c r="AF97">
        <f>INDEX(LOGEST($B$94:$AF$94,$B$54:$AF$54,TRUE,TRUE), 3)</f>
        <v>0.85073124448751647</v>
      </c>
    </row>
    <row r="98" spans="1:32" x14ac:dyDescent="0.2">
      <c r="A98" t="s">
        <v>460</v>
      </c>
      <c r="H98">
        <f>INDEX(LOGEST($B$95:$H$95,$B$54:$H$54,TRUE,TRUE), 3)</f>
        <v>0.94492364308042209</v>
      </c>
      <c r="I98">
        <f>INDEX(LOGEST($B$95:$I$95,$B$54:$I$54,TRUE,TRUE), 3)</f>
        <v>0.95009917142349032</v>
      </c>
      <c r="J98">
        <f>INDEX(LOGEST($B$95:$J$95,$B$54:$J$54,TRUE,TRUE), 3)</f>
        <v>0.95837580894089835</v>
      </c>
      <c r="K98">
        <f>INDEX(LOGEST($B$95:$K$95,$B$54:$K$54,TRUE,TRUE), 3)</f>
        <v>0.96673566645066278</v>
      </c>
      <c r="L98">
        <f>INDEX(LOGEST($B$95:$L$95,$B$54:$L$54,TRUE,TRUE), 3)</f>
        <v>0.9740064508955687</v>
      </c>
      <c r="M98">
        <f>INDEX(LOGEST($B$95:$M$95,$B$54:$M$54,TRUE,TRUE), 3)</f>
        <v>0.97985942187942465</v>
      </c>
      <c r="N98">
        <f>INDEX(LOGEST($B$95:$N$95,$B$54:$N$54,TRUE,TRUE), 3)</f>
        <v>0.98408909325720439</v>
      </c>
      <c r="O98">
        <f>INDEX(LOGEST($B$95:$O$95,$B$54:$O$54,TRUE,TRUE), 3)</f>
        <v>0.98660519008098801</v>
      </c>
      <c r="P98" s="155">
        <f>INDEX(LOGEST($B$95:$P$95,$B$54:$P$54,TRUE,TRUE), 3)</f>
        <v>0.98764766469365073</v>
      </c>
      <c r="Q98">
        <f>INDEX(LOGEST($B$95:$Q$95,$B$54:$Q$54,TRUE,TRUE), 3)</f>
        <v>0.9872528808015395</v>
      </c>
      <c r="R98">
        <f>INDEX(LOGEST($B$95:$R$95,$B$54:$R$54,TRUE,TRUE), 3)</f>
        <v>0.9856180292261959</v>
      </c>
      <c r="S98">
        <f>INDEX(LOGEST($B$95:$S$95,$B$54:$S$54,TRUE,TRUE), 3)</f>
        <v>0.98248988368607804</v>
      </c>
      <c r="T98">
        <f>INDEX(LOGEST($B$95:$T$95,$B$54:$T$54,TRUE,TRUE), 3)</f>
        <v>0.97811051005705663</v>
      </c>
      <c r="U98">
        <f>INDEX(LOGEST($B$95:$U$95,$B$54:$U$54,TRUE,TRUE), 3)</f>
        <v>0.9717854603347762</v>
      </c>
      <c r="V98">
        <f>INDEX(LOGEST($B$95:$V$95,$B$54:$V$54,TRUE,TRUE), 3)</f>
        <v>0.96356069858735049</v>
      </c>
      <c r="W98">
        <f>INDEX(LOGEST($B$95:$W$95,$B$54:$W$54,TRUE,TRUE), 3)</f>
        <v>0.953957156086361</v>
      </c>
      <c r="X98">
        <f>INDEX(LOGEST($B$95:$X$95,$B$54:$X$54,TRUE,TRUE), 3)</f>
        <v>0.94323272071900865</v>
      </c>
      <c r="Y98">
        <f>INDEX(LOGEST($B$95:$Y$95,$B$54:$Y$54,TRUE,TRUE), 3)</f>
        <v>0.93184468853960201</v>
      </c>
      <c r="Z98">
        <f>INDEX(LOGEST($B$95:$Z$95,$B$54:$Z$54,TRUE,TRUE), 3)</f>
        <v>0.92005460171473341</v>
      </c>
      <c r="AA98">
        <f>INDEX(LOGEST($B$95:$AA$95,$B$54:$AA$54,TRUE,TRUE), 3)</f>
        <v>0.90786177807091584</v>
      </c>
      <c r="AB98">
        <f>INDEX(LOGEST($B$95:$AB$95,$B$54:$AB$54,TRUE,TRUE), 3)</f>
        <v>0.89532070709513667</v>
      </c>
      <c r="AC98">
        <f>INDEX(LOGEST($B$95:$AC$95,$B$54:$AC$54,TRUE,TRUE), 3)</f>
        <v>0.8826381592546968</v>
      </c>
      <c r="AD98">
        <f>INDEX(LOGEST($B$95:$AD$95,$B$54:$AD$54,TRUE,TRUE), 3)</f>
        <v>0.8699242426487499</v>
      </c>
      <c r="AE98">
        <f>INDEX(LOGEST($B$95:$AE$95,$B$54:$AE$54,TRUE,TRUE), 3)</f>
        <v>0.85740659445416356</v>
      </c>
      <c r="AF98">
        <f>INDEX(LOGEST($B$95:$AF$95,$B$54:$AF$54,TRUE,TRUE), 3)</f>
        <v>0.84503965662596181</v>
      </c>
    </row>
    <row r="99" spans="1:32" x14ac:dyDescent="0.2">
      <c r="A99" t="s">
        <v>461</v>
      </c>
      <c r="H99">
        <f>INDEX(LOGEST($B$96:$H$96,$B$54:$H$54,TRUE,TRUE), 3)</f>
        <v>0.92104693484349709</v>
      </c>
      <c r="I99">
        <f>INDEX(LOGEST($B$96:$I$96,$B$54:$I$54,TRUE,TRUE), 3)</f>
        <v>0.93286110818467438</v>
      </c>
      <c r="J99">
        <f>INDEX(LOGEST($B$96:$J$96,$B$54:$J$54,TRUE,TRUE), 3)</f>
        <v>0.94591528209669584</v>
      </c>
      <c r="K99">
        <f>INDEX(LOGEST($B$96:$K$96,$B$54:$K$54,TRUE,TRUE), 3)</f>
        <v>0.95728694933727954</v>
      </c>
      <c r="L99">
        <f>INDEX(LOGEST($B$96:$L$96,$B$54:$L$54,TRUE,TRUE), 3)</f>
        <v>0.9667516015277916</v>
      </c>
      <c r="M99">
        <f>INDEX(LOGEST($B$96:$M$96,$B$54:$M$54,TRUE,TRUE), 3)</f>
        <v>0.97421002653174682</v>
      </c>
      <c r="N99">
        <f>INDEX(LOGEST($B$96:$N$96,$B$54:$N$54,TRUE,TRUE), 3)</f>
        <v>0.9796898428980686</v>
      </c>
      <c r="O99">
        <f>INDEX(LOGEST($B$96:$O$96,$B$54:$O$54,TRUE,TRUE), 3)</f>
        <v>0.98314637162230212</v>
      </c>
      <c r="P99">
        <f>INDEX(LOGEST($B$96:$P$96,$B$54:$P$54,TRUE,TRUE), 3)</f>
        <v>0.98493264499444111</v>
      </c>
      <c r="Q99" s="155">
        <f>INDEX(LOGEST($B$96:$Q$96,$B$54:$Q$54,TRUE,TRUE), 3)</f>
        <v>0.9852083064778856</v>
      </c>
      <c r="R99">
        <f>INDEX(LOGEST($B$96:$R$96,$B$54:$R$54,TRUE,TRUE), 3)</f>
        <v>0.98403428177403685</v>
      </c>
      <c r="S99">
        <f>INDEX(LOGEST($B$96:$S$96,$B$54:$S$54,TRUE,TRUE), 3)</f>
        <v>0.98131042717815598</v>
      </c>
      <c r="T99">
        <f>INDEX(LOGEST($B$96:$T$96,$B$54:$T$54,TRUE,TRUE), 3)</f>
        <v>0.97730225523209679</v>
      </c>
      <c r="U99">
        <f>INDEX(LOGEST($B$96:$U$96,$B$54:$U$54,TRUE,TRUE), 3)</f>
        <v>0.97130855957961348</v>
      </c>
      <c r="V99">
        <f>INDEX(LOGEST($B$96:$V$96,$B$54:$V$54,TRUE,TRUE), 3)</f>
        <v>0.96337142651514662</v>
      </c>
      <c r="W99">
        <f>INDEX(LOGEST($B$96:$W$96,$B$54:$W$54,TRUE,TRUE), 3)</f>
        <v>0.95401749712894157</v>
      </c>
      <c r="X99">
        <f>INDEX(LOGEST($B$96:$X$96,$B$54:$X$54,TRUE,TRUE), 3)</f>
        <v>0.94352476645005634</v>
      </c>
      <c r="Y99">
        <f>INDEX(LOGEST($B$96:$Y$96,$B$54:$Y$54,TRUE,TRUE), 3)</f>
        <v>0.93227442887776024</v>
      </c>
      <c r="Z99">
        <f>INDEX(LOGEST($B$96:$Z$96,$B$54:$Z$54,TRUE,TRUE), 3)</f>
        <v>0.92061102609976475</v>
      </c>
      <c r="AA99">
        <f>INDEX(LOGEST($B$96:$AA$96,$B$54:$AA$54,TRUE,TRUE), 3)</f>
        <v>0.90855800517973628</v>
      </c>
      <c r="AB99">
        <f>INDEX(LOGEST($B$96:$AB$96,$B$54:$AB$54,TRUE,TRUE), 3)</f>
        <v>0.89606631898854661</v>
      </c>
      <c r="AC99">
        <f>INDEX(LOGEST($B$96:$AC$96,$B$54:$AC$54,TRUE,TRUE), 3)</f>
        <v>0.88343982867679594</v>
      </c>
      <c r="AD99">
        <f>INDEX(LOGEST($B$96:$AD$96,$B$54:$AD$54,TRUE,TRUE), 3)</f>
        <v>0.87083344034413424</v>
      </c>
      <c r="AE99">
        <f>INDEX(LOGEST($B$96:$AE$96,$B$54:$AE$54,TRUE,TRUE), 3)</f>
        <v>0.85837634682814834</v>
      </c>
      <c r="AF99">
        <f>INDEX(LOGEST($B$96:$AF$96,$B$54:$AF$54,TRUE,TRUE), 3)</f>
        <v>0.84604659503923862</v>
      </c>
    </row>
    <row r="100" spans="1:32" s="160" customFormat="1" x14ac:dyDescent="0.2">
      <c r="A100" s="160" t="s">
        <v>462</v>
      </c>
      <c r="B100" s="160">
        <f>$K$43*EXP($J$49*$B$54)</f>
        <v>1.2347024842433243E-3</v>
      </c>
      <c r="C100" s="160">
        <f>$K$43*EXP($J$49*$C$54)</f>
        <v>1.7748958076510446E-3</v>
      </c>
      <c r="D100" s="160">
        <f>$K$43*EXP($J$49*$D$54)</f>
        <v>2.5514285167635808E-3</v>
      </c>
      <c r="E100" s="160">
        <f>$K$43*EXP($J$49*$E$54)</f>
        <v>3.6677011958069095E-3</v>
      </c>
      <c r="F100" s="160">
        <f>$K$43*EXP($J$49*$F$54)</f>
        <v>5.2723531046783862E-3</v>
      </c>
      <c r="G100" s="160">
        <f>$K$43*EXP($J$49*$G$54)</f>
        <v>7.579054502092882E-3</v>
      </c>
      <c r="H100" s="160">
        <f>$K$43*EXP($J$49*$H$54)</f>
        <v>1.0894958286220169E-2</v>
      </c>
      <c r="I100" s="160">
        <f>$K$43*EXP($J$49*$I$54)</f>
        <v>1.5661599481267694E-2</v>
      </c>
      <c r="J100" s="160">
        <f>$K$43*EXP($J$49*$J$54)</f>
        <v>2.2513688613372617E-2</v>
      </c>
      <c r="K100" s="160">
        <f>$K$43*EXP($J$49*$K$54)</f>
        <v>3.2363627711597967E-2</v>
      </c>
      <c r="L100" s="160">
        <f>$K$43*EXP($J$49*$L$54)</f>
        <v>4.6523002811399719E-2</v>
      </c>
      <c r="M100" s="160">
        <f>$K$43*EXP($J$49*$M$54)</f>
        <v>6.6877230509417421E-2</v>
      </c>
      <c r="N100" s="160">
        <f>$K$43*EXP($J$49*$N$54)</f>
        <v>9.6136613940014673E-2</v>
      </c>
      <c r="O100" s="160">
        <f>$K$43*EXP($J$49*$O$54)</f>
        <v>0.13819723797548641</v>
      </c>
      <c r="P100" s="160">
        <f>$K$43*EXP($J$49*$P$54)</f>
        <v>0.19865975928765181</v>
      </c>
      <c r="Q100" s="160">
        <f>$K$43*EXP($J$49*$Q$54)</f>
        <v>0.2855751716776585</v>
      </c>
    </row>
    <row r="101" spans="1:32" s="161" customFormat="1" x14ac:dyDescent="0.2">
      <c r="A101" s="161" t="s">
        <v>463</v>
      </c>
      <c r="B101" s="161">
        <f>$Q$43*EXP($P$49*$B$54)</f>
        <v>9.592915875583167E-4</v>
      </c>
      <c r="C101" s="161">
        <f>$Q$43*EXP($P$49*$C$54)</f>
        <v>1.4148650928824807E-3</v>
      </c>
      <c r="D101" s="161">
        <f>$Q$43*EXP($P$49*$D$54)</f>
        <v>2.086793272265255E-3</v>
      </c>
      <c r="E101" s="161">
        <f>$Q$43*EXP($P$49*$E$54)</f>
        <v>3.0778242979334247E-3</v>
      </c>
      <c r="F101" s="161">
        <f>$Q$43*EXP($P$49*$F$54)</f>
        <v>4.539502084299059E-3</v>
      </c>
      <c r="G101" s="161">
        <f>$Q$43*EXP($P$49*$G$54)</f>
        <v>6.6953396875812322E-3</v>
      </c>
      <c r="H101" s="161">
        <f>$Q$43*EXP($P$49*$H$54)</f>
        <v>9.8749978961673139E-3</v>
      </c>
      <c r="I101" s="161">
        <f>$Q$43*EXP($P$49*$I$54)</f>
        <v>1.4564695444830742E-2</v>
      </c>
      <c r="J101" s="161">
        <f>$Q$43*EXP($P$49*$J$54)</f>
        <v>2.1481559351319512E-2</v>
      </c>
      <c r="K101" s="161">
        <f>$Q$43*EXP($P$49*$K$54)</f>
        <v>3.1683284687428308E-2</v>
      </c>
      <c r="L101" s="161">
        <f>$Q$43*EXP($P$49*$L$54)</f>
        <v>4.6729872453275541E-2</v>
      </c>
      <c r="M101" s="161">
        <f>$Q$43*EXP($P$49*$M$54)</f>
        <v>6.8922177767946791E-2</v>
      </c>
      <c r="N101" s="161">
        <f>$Q$43*EXP($P$49*$N$54)</f>
        <v>0.10165374607059269</v>
      </c>
      <c r="O101" s="161">
        <f>$Q$43*EXP($P$49*$O$54)</f>
        <v>0.14992973850849886</v>
      </c>
      <c r="P101" s="161">
        <f>$Q$43*EXP($P$49*$P$54)</f>
        <v>0.22113229819997526</v>
      </c>
    </row>
    <row r="102" spans="1:32" s="169" customFormat="1" x14ac:dyDescent="0.2">
      <c r="A102" s="169" t="s">
        <v>464</v>
      </c>
      <c r="B102" s="169">
        <f>$W$43*EXP($V$49*$B$54)</f>
        <v>1.0238363788715697E-3</v>
      </c>
      <c r="C102" s="169">
        <f>$W$43*EXP($V$49*$C$54)</f>
        <v>1.4928057788048991E-3</v>
      </c>
      <c r="D102" s="169">
        <f>$W$43*EXP($V$49*$D$54)</f>
        <v>2.1765871375750761E-3</v>
      </c>
      <c r="E102" s="169">
        <f>$W$43*EXP($V$49*$E$54)</f>
        <v>3.1735753134945698E-3</v>
      </c>
      <c r="F102" s="169">
        <f>$W$43*EXP($V$49*$F$54)</f>
        <v>4.6272350399179747E-3</v>
      </c>
      <c r="G102" s="169">
        <f>$W$43*EXP($V$49*$G$54)</f>
        <v>6.74674523197867E-3</v>
      </c>
      <c r="H102" s="169">
        <f>$W$43*EXP($V$49*$H$54)</f>
        <v>9.8370994411457018E-3</v>
      </c>
      <c r="I102" s="169">
        <f>$W$43*EXP($V$49*$I$54)</f>
        <v>1.4342993856699848E-2</v>
      </c>
      <c r="J102" s="169">
        <f>$W$43*EXP($V$49*$J$54)</f>
        <v>2.0912818255435853E-2</v>
      </c>
      <c r="K102" s="169">
        <f>$W$43*EXP($V$49*$K$54)</f>
        <v>3.0491958077538978E-2</v>
      </c>
      <c r="L102" s="169">
        <f>$W$43*EXP($V$49*$L$54)</f>
        <v>4.4458833622805637E-2</v>
      </c>
      <c r="M102" s="169">
        <f>$W$43*EXP($V$49*$M$54)</f>
        <v>6.4823252153042576E-2</v>
      </c>
      <c r="N102" s="169">
        <f>$W$43*EXP($V$49*$N$54)</f>
        <v>9.4515615397104139E-2</v>
      </c>
      <c r="O102" s="169">
        <f>$W$43*EXP($V$49*$O$54)</f>
        <v>0.13780859887749411</v>
      </c>
      <c r="P102" s="169">
        <f>$W$43*EXP($V$49*$P$54)</f>
        <v>0.20093198192475573</v>
      </c>
      <c r="Q102" s="169">
        <f>$W$43*EXP($V$49*$Q$54)</f>
        <v>0.29296910126849768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05E26-EF30-A74B-BBBB-103538CB7E20}">
  <sheetPr codeName="Sheet56"/>
  <dimension ref="A42:AF102"/>
  <sheetViews>
    <sheetView workbookViewId="0"/>
  </sheetViews>
  <sheetFormatPr baseColWidth="10" defaultRowHeight="15" x14ac:dyDescent="0.2"/>
  <sheetData>
    <row r="42" spans="9:24" x14ac:dyDescent="0.2">
      <c r="I42" t="s">
        <v>249</v>
      </c>
      <c r="O42" t="s">
        <v>249</v>
      </c>
      <c r="U42" t="s">
        <v>249</v>
      </c>
    </row>
    <row r="43" spans="9:24" x14ac:dyDescent="0.2">
      <c r="I43" t="s">
        <v>250</v>
      </c>
      <c r="J43" s="159">
        <f t="array" ref="J43:K47">LOGEST($B$94:$T$94,$B$54:$T$54,TRUE,TRUE)</f>
        <v>1.0003146118717599</v>
      </c>
      <c r="K43" s="159">
        <v>2.9362265310216031E-3</v>
      </c>
      <c r="L43" t="s">
        <v>255</v>
      </c>
      <c r="O43" t="s">
        <v>250</v>
      </c>
      <c r="P43" s="159">
        <f t="array" ref="P43:Q47">LOGEST($B$95:$Q$95,$B$54:$Q$54,TRUE,TRUE)</f>
        <v>1.0004178591984496</v>
      </c>
      <c r="Q43" s="159">
        <v>1.1438630300634439E-3</v>
      </c>
      <c r="R43" t="s">
        <v>255</v>
      </c>
      <c r="U43" t="s">
        <v>250</v>
      </c>
      <c r="V43" s="159">
        <f t="array" ref="V43:W47">LOGEST($B$96:$P$96,$B$54:$P$54,TRUE,TRUE)</f>
        <v>1.000428443153573</v>
      </c>
      <c r="W43" s="159">
        <v>1.123839599108477E-3</v>
      </c>
      <c r="X43" t="s">
        <v>255</v>
      </c>
    </row>
    <row r="44" spans="9:24" x14ac:dyDescent="0.2">
      <c r="I44" t="s">
        <v>251</v>
      </c>
      <c r="J44" s="159">
        <v>1.3350381473785609E-5</v>
      </c>
      <c r="K44" s="159">
        <v>0.12660356250834215</v>
      </c>
      <c r="L44" t="s">
        <v>256</v>
      </c>
      <c r="O44" t="s">
        <v>251</v>
      </c>
      <c r="P44" s="159">
        <v>1.4380287621562497E-5</v>
      </c>
      <c r="Q44" s="159">
        <v>0.11394865031140336</v>
      </c>
      <c r="R44" t="s">
        <v>256</v>
      </c>
      <c r="U44" t="s">
        <v>251</v>
      </c>
      <c r="V44" s="159">
        <v>1.4861397646762159E-5</v>
      </c>
      <c r="W44" s="159">
        <v>0.11003676350369089</v>
      </c>
      <c r="X44" t="s">
        <v>256</v>
      </c>
    </row>
    <row r="45" spans="9:24" x14ac:dyDescent="0.2">
      <c r="I45" t="s">
        <v>252</v>
      </c>
      <c r="J45" s="159">
        <v>0.97028856760354287</v>
      </c>
      <c r="K45" s="159">
        <v>0.28689426376763927</v>
      </c>
      <c r="L45" t="s">
        <v>257</v>
      </c>
      <c r="O45" t="s">
        <v>252</v>
      </c>
      <c r="P45" s="159">
        <v>0.98368301693509863</v>
      </c>
      <c r="Q45" s="159">
        <v>0.23866997780438437</v>
      </c>
      <c r="R45" t="s">
        <v>257</v>
      </c>
      <c r="U45" t="s">
        <v>252</v>
      </c>
      <c r="V45" s="159">
        <v>0.98459296696430509</v>
      </c>
      <c r="W45" s="159">
        <v>0.22383574016522151</v>
      </c>
      <c r="X45" t="s">
        <v>257</v>
      </c>
    </row>
    <row r="46" spans="9:24" x14ac:dyDescent="0.2">
      <c r="I46" t="s">
        <v>253</v>
      </c>
      <c r="J46" s="159">
        <v>555.17032733929022</v>
      </c>
      <c r="K46" s="159">
        <v>17</v>
      </c>
      <c r="L46" t="s">
        <v>258</v>
      </c>
      <c r="O46" t="s">
        <v>253</v>
      </c>
      <c r="P46" s="159">
        <v>844.00174850427641</v>
      </c>
      <c r="Q46" s="159">
        <v>14</v>
      </c>
      <c r="R46" t="s">
        <v>258</v>
      </c>
      <c r="U46" t="s">
        <v>253</v>
      </c>
      <c r="V46" s="159">
        <v>830.7705020740658</v>
      </c>
      <c r="W46" s="159">
        <v>13</v>
      </c>
      <c r="X46" t="s">
        <v>258</v>
      </c>
    </row>
    <row r="47" spans="9:24" x14ac:dyDescent="0.2">
      <c r="I47" t="s">
        <v>254</v>
      </c>
      <c r="J47" s="159">
        <v>45.69513617034621</v>
      </c>
      <c r="K47" s="159">
        <v>1.399241415907188</v>
      </c>
      <c r="L47" t="s">
        <v>259</v>
      </c>
      <c r="O47" t="s">
        <v>254</v>
      </c>
      <c r="P47" s="159">
        <v>48.077174010218258</v>
      </c>
      <c r="Q47" s="159">
        <v>0.79748701627203467</v>
      </c>
      <c r="R47" t="s">
        <v>259</v>
      </c>
      <c r="U47" t="s">
        <v>254</v>
      </c>
      <c r="V47" s="159">
        <v>41.623628050347456</v>
      </c>
      <c r="W47" s="159">
        <v>0.65133170147906327</v>
      </c>
      <c r="X47" t="s">
        <v>259</v>
      </c>
    </row>
    <row r="49" spans="1:32" x14ac:dyDescent="0.2">
      <c r="I49" t="s">
        <v>260</v>
      </c>
      <c r="J49">
        <f>LN($J$43)</f>
        <v>3.1456239182263678E-4</v>
      </c>
      <c r="O49" t="s">
        <v>260</v>
      </c>
      <c r="P49">
        <f>LN($P$43)</f>
        <v>4.1777191960741094E-4</v>
      </c>
      <c r="U49" t="s">
        <v>260</v>
      </c>
      <c r="V49">
        <f>LN($V$43)</f>
        <v>4.2835139801221432E-4</v>
      </c>
    </row>
    <row r="50" spans="1:32" x14ac:dyDescent="0.2">
      <c r="I50" t="s">
        <v>261</v>
      </c>
      <c r="J50">
        <f>ROUND(LN(2)/$J$49, 1)</f>
        <v>2203.5</v>
      </c>
      <c r="O50" t="s">
        <v>261</v>
      </c>
      <c r="P50">
        <f>ROUND(LN(2)/$P$49, 1)</f>
        <v>1659.2</v>
      </c>
      <c r="U50" t="s">
        <v>261</v>
      </c>
      <c r="V50">
        <f>ROUND(LN(2)/$V$49, 1)</f>
        <v>1618.2</v>
      </c>
    </row>
    <row r="51" spans="1:32" x14ac:dyDescent="0.2">
      <c r="I51" t="s">
        <v>204</v>
      </c>
      <c r="J51" s="155">
        <f>ROUND($J$50/60, 1)</f>
        <v>36.700000000000003</v>
      </c>
      <c r="O51" t="s">
        <v>204</v>
      </c>
      <c r="P51" s="155">
        <f>ROUND($P$50/60, 1)</f>
        <v>27.7</v>
      </c>
      <c r="U51" t="s">
        <v>204</v>
      </c>
      <c r="V51" s="155">
        <f>ROUND($V$50/60, 1)</f>
        <v>27</v>
      </c>
    </row>
    <row r="54" spans="1:32" x14ac:dyDescent="0.2">
      <c r="A54" t="s">
        <v>206</v>
      </c>
      <c r="B54" s="166">
        <v>0</v>
      </c>
      <c r="C54" s="166">
        <v>900.1</v>
      </c>
      <c r="D54" s="166">
        <v>1800.2</v>
      </c>
      <c r="E54" s="166">
        <v>2700.3</v>
      </c>
      <c r="F54" s="166">
        <v>3600.4</v>
      </c>
      <c r="G54" s="166">
        <v>4500.5</v>
      </c>
      <c r="H54" s="166">
        <v>5400.6</v>
      </c>
      <c r="I54" s="166">
        <v>6300.7</v>
      </c>
      <c r="J54" s="166">
        <v>7200.8</v>
      </c>
      <c r="K54" s="166">
        <v>8100.9</v>
      </c>
      <c r="L54" s="166">
        <v>9001</v>
      </c>
      <c r="M54" s="166">
        <v>9901.1</v>
      </c>
      <c r="N54" s="166">
        <v>10801.2</v>
      </c>
      <c r="O54" s="166">
        <v>11701.3</v>
      </c>
      <c r="P54" s="166">
        <v>12601.4</v>
      </c>
      <c r="Q54" s="166">
        <v>13501.5</v>
      </c>
      <c r="R54" s="166">
        <v>14401.6</v>
      </c>
      <c r="S54" s="166">
        <v>15301.7</v>
      </c>
      <c r="T54" s="166">
        <v>16201.8</v>
      </c>
      <c r="U54" s="166">
        <v>17101.900000000001</v>
      </c>
      <c r="V54" s="166">
        <v>18002</v>
      </c>
      <c r="W54" s="166">
        <v>18902.099999999999</v>
      </c>
      <c r="X54" s="166">
        <v>19802.2</v>
      </c>
      <c r="Y54" s="166">
        <v>20702.3</v>
      </c>
      <c r="Z54" s="166">
        <v>21602.400000000001</v>
      </c>
      <c r="AA54" s="166">
        <v>22502.5</v>
      </c>
      <c r="AB54" s="166">
        <v>23402.6</v>
      </c>
      <c r="AC54" s="166">
        <v>24302.7</v>
      </c>
      <c r="AD54" s="166">
        <v>25202.799999999999</v>
      </c>
      <c r="AE54" s="166">
        <v>26102.9</v>
      </c>
      <c r="AF54" s="166">
        <v>27003</v>
      </c>
    </row>
    <row r="55" spans="1:32" x14ac:dyDescent="0.2">
      <c r="A55" s="156" t="s">
        <v>465</v>
      </c>
      <c r="B55" s="156">
        <v>0.11129999905824661</v>
      </c>
      <c r="C55" s="156">
        <v>0.11289999634027481</v>
      </c>
      <c r="D55" s="156">
        <v>0.11230000108480453</v>
      </c>
      <c r="E55" s="156">
        <v>0.11159999668598175</v>
      </c>
      <c r="F55" s="156">
        <v>0.11259999871253967</v>
      </c>
      <c r="G55" s="156">
        <v>0.11439999938011169</v>
      </c>
      <c r="H55" s="156">
        <v>0.1177000030875206</v>
      </c>
      <c r="I55" s="156">
        <v>0.1234000027179718</v>
      </c>
      <c r="J55" s="156">
        <v>0.13240000605583191</v>
      </c>
      <c r="K55" s="156">
        <v>0.1460999995470047</v>
      </c>
      <c r="L55" s="156">
        <v>0.16519999504089355</v>
      </c>
      <c r="M55" s="156">
        <v>0.19009999930858612</v>
      </c>
      <c r="N55" s="156">
        <v>0.21920000016689301</v>
      </c>
      <c r="O55" s="156">
        <v>0.25350001454353333</v>
      </c>
      <c r="P55" s="156">
        <v>0.29449999332427979</v>
      </c>
      <c r="Q55" s="156">
        <v>0.33919999003410339</v>
      </c>
      <c r="R55" s="156">
        <v>0.38539999723434448</v>
      </c>
      <c r="S55" s="156">
        <v>0.42260000109672546</v>
      </c>
      <c r="T55" s="156">
        <v>0.46070000529289246</v>
      </c>
      <c r="U55" s="156">
        <v>0.48210000991821289</v>
      </c>
      <c r="V55" s="156">
        <f t="shared" ref="V55:V57" si="0">AVERAGE(U55,W55)</f>
        <v>0.49435001611709595</v>
      </c>
      <c r="W55" s="156">
        <v>0.506600022315979</v>
      </c>
      <c r="X55" s="156">
        <v>0.51700001955032349</v>
      </c>
      <c r="Y55" s="156">
        <v>0.52679997682571411</v>
      </c>
      <c r="Z55" s="156">
        <v>0.53780001401901245</v>
      </c>
      <c r="AA55" s="156">
        <v>0.54369997978210449</v>
      </c>
      <c r="AB55" s="156">
        <v>0.54799997806549072</v>
      </c>
      <c r="AC55" s="156">
        <v>0.55369997024536133</v>
      </c>
      <c r="AD55" s="156">
        <v>0.56029999256134033</v>
      </c>
      <c r="AE55" s="156">
        <v>0.56639999151229858</v>
      </c>
      <c r="AF55" s="156">
        <v>0.57620000839233398</v>
      </c>
    </row>
    <row r="56" spans="1:32" x14ac:dyDescent="0.2">
      <c r="A56" s="157" t="s">
        <v>466</v>
      </c>
      <c r="B56" s="157">
        <v>0.10869999974966049</v>
      </c>
      <c r="C56" s="157">
        <v>0.10849999636411667</v>
      </c>
      <c r="D56" s="157">
        <v>0.10859999805688858</v>
      </c>
      <c r="E56" s="157">
        <v>0.10920000076293945</v>
      </c>
      <c r="F56" s="157">
        <v>0.10999999940395355</v>
      </c>
      <c r="G56" s="157">
        <v>0.11240000277757645</v>
      </c>
      <c r="H56" s="157">
        <v>0.11620000004768372</v>
      </c>
      <c r="I56" s="157">
        <v>0.12240000069141388</v>
      </c>
      <c r="J56" s="157">
        <v>0.13259999454021454</v>
      </c>
      <c r="K56" s="157">
        <v>0.14749999344348907</v>
      </c>
      <c r="L56" s="157">
        <v>0.16850000619888306</v>
      </c>
      <c r="M56" s="157">
        <v>0.19539999961853027</v>
      </c>
      <c r="N56" s="157">
        <v>0.22640000283718109</v>
      </c>
      <c r="O56" s="157">
        <v>0.26289999485015869</v>
      </c>
      <c r="P56" s="157">
        <v>0.30649998784065247</v>
      </c>
      <c r="Q56" s="157">
        <v>0.35019999742507935</v>
      </c>
      <c r="R56" s="157">
        <v>0.39480000734329224</v>
      </c>
      <c r="S56" s="157">
        <v>0.43169999122619629</v>
      </c>
      <c r="T56" s="157">
        <v>0.46880000829696655</v>
      </c>
      <c r="U56" s="157">
        <v>0.48480001091957092</v>
      </c>
      <c r="V56" s="157">
        <f t="shared" si="0"/>
        <v>0.49644999206066132</v>
      </c>
      <c r="W56" s="157">
        <v>0.50809997320175171</v>
      </c>
      <c r="X56" s="157">
        <v>0.51700001955032349</v>
      </c>
      <c r="Y56" s="157">
        <v>0.52670001983642578</v>
      </c>
      <c r="Z56" s="157">
        <v>0.53619998693466187</v>
      </c>
      <c r="AA56" s="157">
        <v>0.54030001163482666</v>
      </c>
      <c r="AB56" s="157">
        <v>0.54559999704360962</v>
      </c>
      <c r="AC56" s="157">
        <v>0.5504000186920166</v>
      </c>
      <c r="AD56" s="157">
        <v>0.55540001392364502</v>
      </c>
      <c r="AE56" s="157">
        <v>0.56180000305175781</v>
      </c>
      <c r="AF56" s="157">
        <v>0.56730002164840698</v>
      </c>
    </row>
    <row r="57" spans="1:32" x14ac:dyDescent="0.2">
      <c r="A57" s="168" t="s">
        <v>467</v>
      </c>
      <c r="B57" s="168">
        <v>0.10869999974966049</v>
      </c>
      <c r="C57" s="168">
        <v>0.10849999636411667</v>
      </c>
      <c r="D57" s="168">
        <v>0.10859999805688858</v>
      </c>
      <c r="E57" s="168">
        <v>0.10920000076293945</v>
      </c>
      <c r="F57" s="168">
        <v>0.11029999703168869</v>
      </c>
      <c r="G57" s="168">
        <v>0.11270000040531158</v>
      </c>
      <c r="H57" s="168">
        <v>0.11659999936819077</v>
      </c>
      <c r="I57" s="168">
        <v>0.12330000102519989</v>
      </c>
      <c r="J57" s="168">
        <v>0.13379999995231628</v>
      </c>
      <c r="K57" s="168">
        <v>0.14920000731945038</v>
      </c>
      <c r="L57" s="168">
        <v>0.17069999873638153</v>
      </c>
      <c r="M57" s="168">
        <v>0.19820000231266022</v>
      </c>
      <c r="N57" s="168">
        <v>0.2296999990940094</v>
      </c>
      <c r="O57" s="168">
        <v>0.26789999008178711</v>
      </c>
      <c r="P57" s="168">
        <v>0.31159999966621399</v>
      </c>
      <c r="Q57" s="168">
        <v>0.35519999265670776</v>
      </c>
      <c r="R57" s="168">
        <v>0.39770001173019409</v>
      </c>
      <c r="S57" s="168">
        <v>0.43459999561309814</v>
      </c>
      <c r="T57" s="168">
        <v>0.47110000252723694</v>
      </c>
      <c r="U57" s="168">
        <v>0.48390001058578491</v>
      </c>
      <c r="V57" s="168">
        <f t="shared" si="0"/>
        <v>0.49465000629425049</v>
      </c>
      <c r="W57" s="168">
        <v>0.50540000200271606</v>
      </c>
      <c r="X57" s="168">
        <v>0.51520001888275146</v>
      </c>
      <c r="Y57" s="168">
        <v>0.52549999952316284</v>
      </c>
      <c r="Z57" s="168">
        <v>0.53289997577667236</v>
      </c>
      <c r="AA57" s="168">
        <v>0.53719997406005859</v>
      </c>
      <c r="AB57" s="168">
        <v>0.54199999570846558</v>
      </c>
      <c r="AC57" s="168">
        <v>0.54570001363754272</v>
      </c>
      <c r="AD57" s="168">
        <v>0.55229997634887695</v>
      </c>
      <c r="AE57" s="168">
        <v>0.55820000171661377</v>
      </c>
      <c r="AF57" s="168">
        <v>0.56370002031326294</v>
      </c>
    </row>
    <row r="58" spans="1:32" x14ac:dyDescent="0.2">
      <c r="A58" s="158" t="s">
        <v>209</v>
      </c>
      <c r="B58" s="158">
        <v>0.10480000078678131</v>
      </c>
      <c r="C58" s="158">
        <v>0.1046999990940094</v>
      </c>
      <c r="D58" s="158">
        <v>0.1046999990940094</v>
      </c>
      <c r="E58" s="158">
        <v>0.10480000078678131</v>
      </c>
      <c r="F58" s="158">
        <v>0.10459999740123749</v>
      </c>
      <c r="G58" s="158">
        <v>0.10450000315904617</v>
      </c>
      <c r="H58" s="158">
        <v>0.10440000146627426</v>
      </c>
      <c r="I58" s="158">
        <v>0.10429999977350235</v>
      </c>
      <c r="J58" s="158">
        <v>0.10419999808073044</v>
      </c>
      <c r="K58" s="158">
        <v>0.10419999808073044</v>
      </c>
      <c r="L58" s="158">
        <v>0.10419999808073044</v>
      </c>
      <c r="M58" s="158">
        <v>0.10409999638795853</v>
      </c>
      <c r="N58" s="158">
        <v>0.10400000214576721</v>
      </c>
      <c r="O58" s="158">
        <v>0.1039000004529953</v>
      </c>
      <c r="P58" s="158">
        <v>0.10379999876022339</v>
      </c>
      <c r="Q58" s="158">
        <v>0.10379999876022339</v>
      </c>
      <c r="R58" s="158">
        <v>0.1039000004529953</v>
      </c>
      <c r="S58" s="158">
        <v>0.10360000282526016</v>
      </c>
      <c r="T58" s="158">
        <v>0.10360000282526016</v>
      </c>
      <c r="U58" s="158">
        <v>0.10379999876022339</v>
      </c>
      <c r="V58" s="158">
        <f>AVERAGE(U58,W58)</f>
        <v>0.10359999909996986</v>
      </c>
      <c r="W58" s="158">
        <v>0.10339999943971634</v>
      </c>
      <c r="X58" s="158">
        <v>0.10329999774694443</v>
      </c>
      <c r="Y58" s="158">
        <v>0.10320000350475311</v>
      </c>
      <c r="Z58" s="158">
        <v>0.10320000350475311</v>
      </c>
      <c r="AA58" s="158">
        <v>0.1031000018119812</v>
      </c>
      <c r="AB58" s="158">
        <v>0.1031000018119812</v>
      </c>
      <c r="AC58" s="158">
        <v>0.10300000011920929</v>
      </c>
      <c r="AD58" s="158">
        <v>0.10300000011920929</v>
      </c>
      <c r="AE58" s="158">
        <v>0.10289999842643738</v>
      </c>
      <c r="AF58" s="158">
        <v>0.10289999842643738</v>
      </c>
    </row>
    <row r="59" spans="1:32" x14ac:dyDescent="0.2">
      <c r="A59" s="158" t="s">
        <v>210</v>
      </c>
      <c r="B59" s="158">
        <v>0.10660000145435333</v>
      </c>
      <c r="C59" s="158">
        <v>0.10649999976158142</v>
      </c>
      <c r="D59" s="158">
        <v>0.10649999976158142</v>
      </c>
      <c r="E59" s="158">
        <v>0.10649999976158142</v>
      </c>
      <c r="F59" s="158">
        <v>0.10639999806880951</v>
      </c>
      <c r="G59" s="158">
        <v>0.1062999963760376</v>
      </c>
      <c r="H59" s="158">
        <v>0.1062999963760376</v>
      </c>
      <c r="I59" s="158">
        <v>0.10610000044107437</v>
      </c>
      <c r="J59" s="158">
        <v>0.10610000044107437</v>
      </c>
      <c r="K59" s="158">
        <v>0.10610000044107437</v>
      </c>
      <c r="L59" s="158">
        <v>0.10610000044107437</v>
      </c>
      <c r="M59" s="158">
        <v>0.10599999874830246</v>
      </c>
      <c r="N59" s="158">
        <v>0.10589999705553055</v>
      </c>
      <c r="O59" s="158">
        <v>0.10589999705553055</v>
      </c>
      <c r="P59" s="158">
        <v>0.10570000112056732</v>
      </c>
      <c r="Q59" s="158">
        <v>0.10570000112056732</v>
      </c>
      <c r="R59" s="158">
        <v>0.10570000112056732</v>
      </c>
      <c r="S59" s="158">
        <v>0.10559999942779541</v>
      </c>
      <c r="T59" s="158">
        <v>0.10559999942779541</v>
      </c>
      <c r="U59" s="158">
        <v>0.10559999942779541</v>
      </c>
      <c r="V59" s="158">
        <f t="shared" ref="V59:V93" si="1">AVERAGE(U59,W59)</f>
        <v>0.1055000014603138</v>
      </c>
      <c r="W59" s="158">
        <v>0.10540000349283218</v>
      </c>
      <c r="X59" s="158">
        <v>0.10540000349283218</v>
      </c>
      <c r="Y59" s="158">
        <v>0.10530000180006027</v>
      </c>
      <c r="Z59" s="158">
        <v>0.10530000180006027</v>
      </c>
      <c r="AA59" s="158">
        <v>0.10520000010728836</v>
      </c>
      <c r="AB59" s="158">
        <v>0.10520000010728836</v>
      </c>
      <c r="AC59" s="158">
        <v>0.10520000010728836</v>
      </c>
      <c r="AD59" s="158">
        <v>0.10509999841451645</v>
      </c>
      <c r="AE59" s="158">
        <v>0.10509999841451645</v>
      </c>
      <c r="AF59" s="158">
        <v>0.10509999841451645</v>
      </c>
    </row>
    <row r="60" spans="1:32" x14ac:dyDescent="0.2">
      <c r="A60" s="158" t="s">
        <v>211</v>
      </c>
      <c r="B60" s="158">
        <v>0.10740000009536743</v>
      </c>
      <c r="C60" s="158">
        <v>0.10740000009536743</v>
      </c>
      <c r="D60" s="158">
        <v>0.10729999840259552</v>
      </c>
      <c r="E60" s="158">
        <v>0.10729999840259552</v>
      </c>
      <c r="F60" s="158">
        <v>0.10719999670982361</v>
      </c>
      <c r="G60" s="158">
        <v>0.10719999670982361</v>
      </c>
      <c r="H60" s="158">
        <v>0.10710000246763229</v>
      </c>
      <c r="I60" s="158">
        <v>0.10689999908208847</v>
      </c>
      <c r="J60" s="158">
        <v>0.10689999908208847</v>
      </c>
      <c r="K60" s="158">
        <v>0.10710000246763229</v>
      </c>
      <c r="L60" s="158">
        <v>0.10679999738931656</v>
      </c>
      <c r="M60" s="158">
        <v>0.10670000314712524</v>
      </c>
      <c r="N60" s="158">
        <v>0.10670000314712524</v>
      </c>
      <c r="O60" s="158">
        <v>0.10660000145435333</v>
      </c>
      <c r="P60" s="158">
        <v>0.10649999976158142</v>
      </c>
      <c r="Q60" s="158">
        <v>0.10649999976158142</v>
      </c>
      <c r="R60" s="158">
        <v>0.10639999806880951</v>
      </c>
      <c r="S60" s="158">
        <v>0.1062999963760376</v>
      </c>
      <c r="T60" s="158">
        <v>0.1062999963760376</v>
      </c>
      <c r="U60" s="158">
        <v>0.1062999963760376</v>
      </c>
      <c r="V60" s="158">
        <f t="shared" si="1"/>
        <v>0.10624999925494194</v>
      </c>
      <c r="W60" s="158">
        <v>0.10620000213384628</v>
      </c>
      <c r="X60" s="158">
        <v>0.10610000044107437</v>
      </c>
      <c r="Y60" s="158">
        <v>0.10610000044107437</v>
      </c>
      <c r="Z60" s="158">
        <v>0.10599999874830246</v>
      </c>
      <c r="AA60" s="158">
        <v>0.10589999705553055</v>
      </c>
      <c r="AB60" s="158">
        <v>0.10589999705553055</v>
      </c>
      <c r="AC60" s="158">
        <v>0.10599999874830246</v>
      </c>
      <c r="AD60" s="158">
        <v>0.10580000281333923</v>
      </c>
      <c r="AE60" s="158">
        <v>0.10580000281333923</v>
      </c>
      <c r="AF60" s="158">
        <v>0.10580000281333923</v>
      </c>
    </row>
    <row r="61" spans="1:32" x14ac:dyDescent="0.2">
      <c r="A61" s="158" t="s">
        <v>212</v>
      </c>
      <c r="B61" s="158">
        <v>0.10700000077486038</v>
      </c>
      <c r="C61" s="158">
        <v>0.10689999908208847</v>
      </c>
      <c r="D61" s="158">
        <v>0.10679999738931656</v>
      </c>
      <c r="E61" s="158">
        <v>0.10689999908208847</v>
      </c>
      <c r="F61" s="158">
        <v>0.10670000314712524</v>
      </c>
      <c r="G61" s="158">
        <v>0.10689999908208847</v>
      </c>
      <c r="H61" s="158">
        <v>0.10660000145435333</v>
      </c>
      <c r="I61" s="158">
        <v>0.10639999806880951</v>
      </c>
      <c r="J61" s="158">
        <v>0.10639999806880951</v>
      </c>
      <c r="K61" s="158">
        <v>0.1062999963760376</v>
      </c>
      <c r="L61" s="158">
        <v>0.1062999963760376</v>
      </c>
      <c r="M61" s="158">
        <v>0.1062999963760376</v>
      </c>
      <c r="N61" s="158">
        <v>0.10620000213384628</v>
      </c>
      <c r="O61" s="158">
        <v>0.10610000044107437</v>
      </c>
      <c r="P61" s="158">
        <v>0.10599999874830246</v>
      </c>
      <c r="Q61" s="158">
        <v>0.10599999874830246</v>
      </c>
      <c r="R61" s="158">
        <v>0.10599999874830246</v>
      </c>
      <c r="S61" s="158">
        <v>0.10580000281333923</v>
      </c>
      <c r="T61" s="158">
        <v>0.10580000281333923</v>
      </c>
      <c r="U61" s="158">
        <v>0.10580000281333923</v>
      </c>
      <c r="V61" s="158">
        <f t="shared" si="1"/>
        <v>0.10575000196695328</v>
      </c>
      <c r="W61" s="158">
        <v>0.10570000112056732</v>
      </c>
      <c r="X61" s="158">
        <v>0.10559999942779541</v>
      </c>
      <c r="Y61" s="158">
        <v>0.10559999942779541</v>
      </c>
      <c r="Z61" s="158">
        <v>0.10559999942779541</v>
      </c>
      <c r="AA61" s="158">
        <v>0.10540000349283218</v>
      </c>
      <c r="AB61" s="158">
        <v>0.10540000349283218</v>
      </c>
      <c r="AC61" s="158">
        <v>0.10540000349283218</v>
      </c>
      <c r="AD61" s="158">
        <v>0.10540000349283218</v>
      </c>
      <c r="AE61" s="158">
        <v>0.10530000180006027</v>
      </c>
      <c r="AF61" s="158">
        <v>0.10530000180006027</v>
      </c>
    </row>
    <row r="62" spans="1:32" x14ac:dyDescent="0.2">
      <c r="A62" s="158" t="s">
        <v>213</v>
      </c>
      <c r="B62" s="158">
        <v>0.10570000112056732</v>
      </c>
      <c r="C62" s="158">
        <v>0.1054999977350235</v>
      </c>
      <c r="D62" s="158">
        <v>0.1054999977350235</v>
      </c>
      <c r="E62" s="158">
        <v>0.1054999977350235</v>
      </c>
      <c r="F62" s="158">
        <v>0.10540000349283218</v>
      </c>
      <c r="G62" s="158">
        <v>0.10530000180006027</v>
      </c>
      <c r="H62" s="158">
        <v>0.10520000010728836</v>
      </c>
      <c r="I62" s="158">
        <v>0.10520000010728836</v>
      </c>
      <c r="J62" s="158">
        <v>0.10499999672174454</v>
      </c>
      <c r="K62" s="158">
        <v>0.10499999672174454</v>
      </c>
      <c r="L62" s="158">
        <v>0.10499999672174454</v>
      </c>
      <c r="M62" s="158">
        <v>0.10490000247955322</v>
      </c>
      <c r="N62" s="158">
        <v>0.10490000247955322</v>
      </c>
      <c r="O62" s="158">
        <v>0.10480000078678131</v>
      </c>
      <c r="P62" s="158">
        <v>0.10459999740123749</v>
      </c>
      <c r="Q62" s="158">
        <v>0.10459999740123749</v>
      </c>
      <c r="R62" s="158">
        <v>0.10459999740123749</v>
      </c>
      <c r="S62" s="158">
        <v>0.10440000146627426</v>
      </c>
      <c r="T62" s="158">
        <v>0.10450000315904617</v>
      </c>
      <c r="U62" s="158">
        <v>0.10450000315904617</v>
      </c>
      <c r="V62" s="158">
        <f t="shared" si="1"/>
        <v>0.10445000231266022</v>
      </c>
      <c r="W62" s="158">
        <v>0.10440000146627426</v>
      </c>
      <c r="X62" s="158">
        <v>0.10440000146627426</v>
      </c>
      <c r="Y62" s="158">
        <v>0.10429999977350235</v>
      </c>
      <c r="Z62" s="158">
        <v>0.10419999808073044</v>
      </c>
      <c r="AA62" s="158">
        <v>0.10419999808073044</v>
      </c>
      <c r="AB62" s="158">
        <v>0.10419999808073044</v>
      </c>
      <c r="AC62" s="158">
        <v>0.10440000146627426</v>
      </c>
      <c r="AD62" s="158">
        <v>0.10409999638795853</v>
      </c>
      <c r="AE62" s="158">
        <v>0.10400000214576721</v>
      </c>
      <c r="AF62" s="158">
        <v>0.10400000214576721</v>
      </c>
    </row>
    <row r="63" spans="1:32" x14ac:dyDescent="0.2">
      <c r="A63" s="158" t="s">
        <v>214</v>
      </c>
      <c r="B63" s="158">
        <v>0.10689999908208847</v>
      </c>
      <c r="C63" s="158">
        <v>0.10679999738931656</v>
      </c>
      <c r="D63" s="158">
        <v>0.10679999738931656</v>
      </c>
      <c r="E63" s="158">
        <v>0.10679999738931656</v>
      </c>
      <c r="F63" s="158">
        <v>0.10670000314712524</v>
      </c>
      <c r="G63" s="158">
        <v>0.10660000145435333</v>
      </c>
      <c r="H63" s="158">
        <v>0.10649999976158142</v>
      </c>
      <c r="I63" s="158">
        <v>0.1062999963760376</v>
      </c>
      <c r="J63" s="158">
        <v>0.1062999963760376</v>
      </c>
      <c r="K63" s="158">
        <v>0.10620000213384628</v>
      </c>
      <c r="L63" s="158">
        <v>0.1062999963760376</v>
      </c>
      <c r="M63" s="158">
        <v>0.10620000213384628</v>
      </c>
      <c r="N63" s="158">
        <v>0.10610000044107437</v>
      </c>
      <c r="O63" s="158">
        <v>0.10610000044107437</v>
      </c>
      <c r="P63" s="158">
        <v>0.10580000281333923</v>
      </c>
      <c r="Q63" s="158">
        <v>0.10589999705553055</v>
      </c>
      <c r="R63" s="158">
        <v>0.10580000281333923</v>
      </c>
      <c r="S63" s="158">
        <v>0.10570000112056732</v>
      </c>
      <c r="T63" s="158">
        <v>0.10570000112056732</v>
      </c>
      <c r="U63" s="158">
        <v>0.10570000112056732</v>
      </c>
      <c r="V63" s="158">
        <f t="shared" si="1"/>
        <v>0.10565000027418137</v>
      </c>
      <c r="W63" s="158">
        <v>0.10559999942779541</v>
      </c>
      <c r="X63" s="158">
        <v>0.1054999977350235</v>
      </c>
      <c r="Y63" s="158">
        <v>0.1054999977350235</v>
      </c>
      <c r="Z63" s="158">
        <v>0.10540000349283218</v>
      </c>
      <c r="AA63" s="158">
        <v>0.10540000349283218</v>
      </c>
      <c r="AB63" s="158">
        <v>0.10540000349283218</v>
      </c>
      <c r="AC63" s="158">
        <v>0.10540000349283218</v>
      </c>
      <c r="AD63" s="158">
        <v>0.10530000180006027</v>
      </c>
      <c r="AE63" s="158">
        <v>0.10520000010728836</v>
      </c>
      <c r="AF63" s="158">
        <v>0.10530000180006027</v>
      </c>
    </row>
    <row r="64" spans="1:32" x14ac:dyDescent="0.2">
      <c r="A64" s="158" t="s">
        <v>215</v>
      </c>
      <c r="B64" s="158">
        <v>0.10819999873638153</v>
      </c>
      <c r="C64" s="158">
        <v>0.10790000110864639</v>
      </c>
      <c r="D64" s="158">
        <v>0.10779999941587448</v>
      </c>
      <c r="E64" s="158">
        <v>0.1080000028014183</v>
      </c>
      <c r="F64" s="158">
        <v>0.10760000348091125</v>
      </c>
      <c r="G64" s="158">
        <v>0.10750000178813934</v>
      </c>
      <c r="H64" s="158">
        <v>0.10740000009536743</v>
      </c>
      <c r="I64" s="158">
        <v>0.10719999670982361</v>
      </c>
      <c r="J64" s="158">
        <v>0.10719999670982361</v>
      </c>
      <c r="K64" s="158">
        <v>0.10710000246763229</v>
      </c>
      <c r="L64" s="158">
        <v>0.10719999670982361</v>
      </c>
      <c r="M64" s="158">
        <v>0.10700000077486038</v>
      </c>
      <c r="N64" s="158">
        <v>0.10700000077486038</v>
      </c>
      <c r="O64" s="158">
        <v>0.10700000077486038</v>
      </c>
      <c r="P64" s="158">
        <v>0.10679999738931656</v>
      </c>
      <c r="Q64" s="158">
        <v>0.10679999738931656</v>
      </c>
      <c r="R64" s="158">
        <v>0.10670000314712524</v>
      </c>
      <c r="S64" s="158">
        <v>0.10660000145435333</v>
      </c>
      <c r="T64" s="158">
        <v>0.10660000145435333</v>
      </c>
      <c r="U64" s="158">
        <v>0.10660000145435333</v>
      </c>
      <c r="V64" s="158">
        <f t="shared" si="1"/>
        <v>0.10655000060796738</v>
      </c>
      <c r="W64" s="158">
        <v>0.10649999976158142</v>
      </c>
      <c r="X64" s="158">
        <v>0.10649999976158142</v>
      </c>
      <c r="Y64" s="158">
        <v>0.1062999963760376</v>
      </c>
      <c r="Z64" s="158">
        <v>0.1062999963760376</v>
      </c>
      <c r="AA64" s="158">
        <v>0.1062999963760376</v>
      </c>
      <c r="AB64" s="158">
        <v>0.1062999963760376</v>
      </c>
      <c r="AC64" s="158">
        <v>0.1062999963760376</v>
      </c>
      <c r="AD64" s="158">
        <v>0.10620000213384628</v>
      </c>
      <c r="AE64" s="158">
        <v>0.10610000044107437</v>
      </c>
      <c r="AF64" s="158">
        <v>0.10610000044107437</v>
      </c>
    </row>
    <row r="65" spans="1:32" x14ac:dyDescent="0.2">
      <c r="A65" s="158" t="s">
        <v>216</v>
      </c>
      <c r="B65" s="158">
        <v>0.10639999806880951</v>
      </c>
      <c r="C65" s="158">
        <v>0.10599999874830246</v>
      </c>
      <c r="D65" s="158">
        <v>0.10589999705553055</v>
      </c>
      <c r="E65" s="158">
        <v>0.10840000212192535</v>
      </c>
      <c r="F65" s="158">
        <v>0.10869999974966049</v>
      </c>
      <c r="G65" s="158">
        <v>0.10819999873638153</v>
      </c>
      <c r="H65" s="158">
        <v>0.10819999873638153</v>
      </c>
      <c r="I65" s="158">
        <v>0.1080000028014183</v>
      </c>
      <c r="J65" s="158">
        <v>0.10779999941587448</v>
      </c>
      <c r="K65" s="158">
        <v>0.1080000028014183</v>
      </c>
      <c r="L65" s="158">
        <v>0.10830000042915344</v>
      </c>
      <c r="M65" s="158">
        <v>0.1080000028014183</v>
      </c>
      <c r="N65" s="158">
        <v>0.10809999704360962</v>
      </c>
      <c r="O65" s="158">
        <v>0.10779999941587448</v>
      </c>
      <c r="P65" s="158">
        <v>0.10740000009536743</v>
      </c>
      <c r="Q65" s="158">
        <v>0.10760000348091125</v>
      </c>
      <c r="R65" s="158">
        <v>0.10760000348091125</v>
      </c>
      <c r="S65" s="158">
        <v>0.1080000028014183</v>
      </c>
      <c r="T65" s="158">
        <v>0.10750000178813934</v>
      </c>
      <c r="U65" s="158">
        <v>0.10750000178813934</v>
      </c>
      <c r="V65" s="158">
        <f t="shared" si="1"/>
        <v>0.1075500026345253</v>
      </c>
      <c r="W65" s="158">
        <v>0.10760000348091125</v>
      </c>
      <c r="X65" s="158">
        <v>0.10779999941587448</v>
      </c>
      <c r="Y65" s="158">
        <v>0.10740000009536743</v>
      </c>
      <c r="Z65" s="158">
        <v>0.10750000178813934</v>
      </c>
      <c r="AA65" s="158">
        <v>0.10920000076293945</v>
      </c>
      <c r="AB65" s="158">
        <v>0.10830000042915344</v>
      </c>
      <c r="AC65" s="158">
        <v>0.10909999907016754</v>
      </c>
      <c r="AD65" s="158">
        <v>0.10819999873638153</v>
      </c>
      <c r="AE65" s="158">
        <v>0.10740000009536743</v>
      </c>
      <c r="AF65" s="158">
        <v>0.10849999636411667</v>
      </c>
    </row>
    <row r="66" spans="1:32" x14ac:dyDescent="0.2">
      <c r="A66" s="158" t="s">
        <v>217</v>
      </c>
      <c r="B66" s="158">
        <v>0.10580000281333923</v>
      </c>
      <c r="C66" s="158">
        <v>0.10570000112056732</v>
      </c>
      <c r="D66" s="158">
        <v>0.10570000112056732</v>
      </c>
      <c r="E66" s="158">
        <v>0.10580000281333923</v>
      </c>
      <c r="F66" s="158">
        <v>0.1054999977350235</v>
      </c>
      <c r="G66" s="158">
        <v>0.10559999942779541</v>
      </c>
      <c r="H66" s="158">
        <v>0.10540000349283218</v>
      </c>
      <c r="I66" s="158">
        <v>0.10530000180006027</v>
      </c>
      <c r="J66" s="158">
        <v>0.10520000010728836</v>
      </c>
      <c r="K66" s="158">
        <v>0.10520000010728836</v>
      </c>
      <c r="L66" s="158">
        <v>0.10520000010728836</v>
      </c>
      <c r="M66" s="158">
        <v>0.10509999841451645</v>
      </c>
      <c r="N66" s="158">
        <v>0.10509999841451645</v>
      </c>
      <c r="O66" s="158">
        <v>0.10499999672174454</v>
      </c>
      <c r="P66" s="158">
        <v>0.10480000078678131</v>
      </c>
      <c r="Q66" s="158">
        <v>0.10480000078678131</v>
      </c>
      <c r="R66" s="158">
        <v>0.10480000078678131</v>
      </c>
      <c r="S66" s="158">
        <v>0.1046999990940094</v>
      </c>
      <c r="T66" s="158">
        <v>0.1046999990940094</v>
      </c>
      <c r="U66" s="158">
        <v>0.1046999990940094</v>
      </c>
      <c r="V66" s="158">
        <f t="shared" si="1"/>
        <v>0.10464999824762344</v>
      </c>
      <c r="W66" s="158">
        <v>0.10459999740123749</v>
      </c>
      <c r="X66" s="158">
        <v>0.10459999740123749</v>
      </c>
      <c r="Y66" s="158">
        <v>0.10450000315904617</v>
      </c>
      <c r="Z66" s="158">
        <v>0.10450000315904617</v>
      </c>
      <c r="AA66" s="158">
        <v>0.10429999977350235</v>
      </c>
      <c r="AB66" s="158">
        <v>0.10429999977350235</v>
      </c>
      <c r="AC66" s="158">
        <v>0.10429999977350235</v>
      </c>
      <c r="AD66" s="158">
        <v>0.10429999977350235</v>
      </c>
      <c r="AE66" s="158">
        <v>0.10419999808073044</v>
      </c>
      <c r="AF66" s="158">
        <v>0.10419999808073044</v>
      </c>
    </row>
    <row r="67" spans="1:32" x14ac:dyDescent="0.2">
      <c r="A67" s="158" t="s">
        <v>218</v>
      </c>
      <c r="B67" s="158">
        <v>0.10999999940395355</v>
      </c>
      <c r="C67" s="158">
        <v>0.10859999805688858</v>
      </c>
      <c r="D67" s="158">
        <v>0.1088000014424324</v>
      </c>
      <c r="E67" s="158">
        <v>0.10869999974966049</v>
      </c>
      <c r="F67" s="158">
        <v>0.10859999805688858</v>
      </c>
      <c r="G67" s="158">
        <v>0.10890000313520432</v>
      </c>
      <c r="H67" s="158">
        <v>0.10849999636411667</v>
      </c>
      <c r="I67" s="158">
        <v>0.10830000042915344</v>
      </c>
      <c r="J67" s="158">
        <v>0.10840000212192535</v>
      </c>
      <c r="K67" s="158">
        <v>0.10809999704360962</v>
      </c>
      <c r="L67" s="158">
        <v>0.10869999974966049</v>
      </c>
      <c r="M67" s="158">
        <v>0.10849999636411667</v>
      </c>
      <c r="N67" s="158">
        <v>0.10859999805688858</v>
      </c>
      <c r="O67" s="158">
        <v>0.10849999636411667</v>
      </c>
      <c r="P67" s="158">
        <v>0.1080000028014183</v>
      </c>
      <c r="Q67" s="158">
        <v>0.10769999772310257</v>
      </c>
      <c r="R67" s="158">
        <v>0.10769999772310257</v>
      </c>
      <c r="S67" s="158">
        <v>0.1080000028014183</v>
      </c>
      <c r="T67" s="158">
        <v>0.10769999772310257</v>
      </c>
      <c r="U67" s="158">
        <v>0.10809999704360962</v>
      </c>
      <c r="V67" s="158">
        <f t="shared" si="1"/>
        <v>0.10794999822974205</v>
      </c>
      <c r="W67" s="158">
        <v>0.10779999941587448</v>
      </c>
      <c r="X67" s="158">
        <v>0.10740000009536743</v>
      </c>
      <c r="Y67" s="158">
        <v>0.10750000178813934</v>
      </c>
      <c r="Z67" s="158">
        <v>0.10750000178813934</v>
      </c>
      <c r="AA67" s="158">
        <v>0.10620000213384628</v>
      </c>
      <c r="AB67" s="158">
        <v>0.10670000314712524</v>
      </c>
      <c r="AC67" s="158">
        <v>0.10620000213384628</v>
      </c>
      <c r="AD67" s="158">
        <v>0.10700000077486038</v>
      </c>
      <c r="AE67" s="158">
        <v>0.10679999738931656</v>
      </c>
      <c r="AF67" s="158">
        <v>0.10639999806880951</v>
      </c>
    </row>
    <row r="68" spans="1:32" x14ac:dyDescent="0.2">
      <c r="A68" s="158" t="s">
        <v>219</v>
      </c>
      <c r="B68" s="158">
        <v>0.10649999976158142</v>
      </c>
      <c r="C68" s="158">
        <v>0.10620000213384628</v>
      </c>
      <c r="D68" s="158">
        <v>0.10610000044107437</v>
      </c>
      <c r="E68" s="158">
        <v>0.10639999806880951</v>
      </c>
      <c r="F68" s="158">
        <v>0.10620000213384628</v>
      </c>
      <c r="G68" s="158">
        <v>0.10620000213384628</v>
      </c>
      <c r="H68" s="158">
        <v>0.10610000044107437</v>
      </c>
      <c r="I68" s="158">
        <v>0.10589999705553055</v>
      </c>
      <c r="J68" s="158">
        <v>0.10610000044107437</v>
      </c>
      <c r="K68" s="158">
        <v>0.10589999705553055</v>
      </c>
      <c r="L68" s="158">
        <v>0.10589999705553055</v>
      </c>
      <c r="M68" s="158">
        <v>0.10570000112056732</v>
      </c>
      <c r="N68" s="158">
        <v>0.10570000112056732</v>
      </c>
      <c r="O68" s="158">
        <v>0.10559999942779541</v>
      </c>
      <c r="P68" s="158">
        <v>0.10540000349283218</v>
      </c>
      <c r="Q68" s="158">
        <v>0.10540000349283218</v>
      </c>
      <c r="R68" s="158">
        <v>0.10540000349283218</v>
      </c>
      <c r="S68" s="158">
        <v>0.10530000180006027</v>
      </c>
      <c r="T68" s="158">
        <v>0.10530000180006027</v>
      </c>
      <c r="U68" s="158">
        <v>0.10530000180006027</v>
      </c>
      <c r="V68" s="158">
        <f t="shared" si="1"/>
        <v>0.10525000095367432</v>
      </c>
      <c r="W68" s="158">
        <v>0.10520000010728836</v>
      </c>
      <c r="X68" s="158">
        <v>0.10509999841451645</v>
      </c>
      <c r="Y68" s="158">
        <v>0.10499999672174454</v>
      </c>
      <c r="Z68" s="158">
        <v>0.10520000010728836</v>
      </c>
      <c r="AA68" s="158">
        <v>0.10490000247955322</v>
      </c>
      <c r="AB68" s="158">
        <v>0.10490000247955322</v>
      </c>
      <c r="AC68" s="158">
        <v>0.10490000247955322</v>
      </c>
      <c r="AD68" s="158">
        <v>0.10480000078678131</v>
      </c>
      <c r="AE68" s="158">
        <v>0.10499999672174454</v>
      </c>
      <c r="AF68" s="158">
        <v>0.10480000078678131</v>
      </c>
    </row>
    <row r="69" spans="1:32" x14ac:dyDescent="0.2">
      <c r="A69" s="158" t="s">
        <v>220</v>
      </c>
      <c r="B69" s="158">
        <v>0.10679999738931656</v>
      </c>
      <c r="C69" s="158">
        <v>0.10660000145435333</v>
      </c>
      <c r="D69" s="158">
        <v>0.10649999976158142</v>
      </c>
      <c r="E69" s="158">
        <v>0.10649999976158142</v>
      </c>
      <c r="F69" s="158">
        <v>0.1062999963760376</v>
      </c>
      <c r="G69" s="158">
        <v>0.10620000213384628</v>
      </c>
      <c r="H69" s="158">
        <v>0.10610000044107437</v>
      </c>
      <c r="I69" s="158">
        <v>0.10599999874830246</v>
      </c>
      <c r="J69" s="158">
        <v>0.10589999705553055</v>
      </c>
      <c r="K69" s="158">
        <v>0.10589999705553055</v>
      </c>
      <c r="L69" s="158">
        <v>0.10589999705553055</v>
      </c>
      <c r="M69" s="158">
        <v>0.10580000281333923</v>
      </c>
      <c r="N69" s="158">
        <v>0.10570000112056732</v>
      </c>
      <c r="O69" s="158">
        <v>0.10559999942779541</v>
      </c>
      <c r="P69" s="158">
        <v>0.10540000349283218</v>
      </c>
      <c r="Q69" s="158">
        <v>0.10540000349283218</v>
      </c>
      <c r="R69" s="158">
        <v>0.10530000180006027</v>
      </c>
      <c r="S69" s="158">
        <v>0.10520000010728836</v>
      </c>
      <c r="T69" s="158">
        <v>0.10520000010728836</v>
      </c>
      <c r="U69" s="158">
        <v>0.10520000010728836</v>
      </c>
      <c r="V69" s="158">
        <f t="shared" si="1"/>
        <v>0.10509999841451645</v>
      </c>
      <c r="W69" s="158">
        <v>0.10499999672174454</v>
      </c>
      <c r="X69" s="158">
        <v>0.10499999672174454</v>
      </c>
      <c r="Y69" s="158">
        <v>0.10480000078678131</v>
      </c>
      <c r="Z69" s="158">
        <v>0.10480000078678131</v>
      </c>
      <c r="AA69" s="158">
        <v>0.10459999740123749</v>
      </c>
      <c r="AB69" s="158">
        <v>0.10459999740123749</v>
      </c>
      <c r="AC69" s="158">
        <v>0.10459999740123749</v>
      </c>
      <c r="AD69" s="158">
        <v>0.10450000315904617</v>
      </c>
      <c r="AE69" s="158">
        <v>0.10440000146627426</v>
      </c>
      <c r="AF69" s="158">
        <v>0.10440000146627426</v>
      </c>
    </row>
    <row r="70" spans="1:32" x14ac:dyDescent="0.2">
      <c r="A70" s="158" t="s">
        <v>221</v>
      </c>
      <c r="B70" s="158">
        <v>0.10620000213384628</v>
      </c>
      <c r="C70" s="158">
        <v>0.10610000044107437</v>
      </c>
      <c r="D70" s="158">
        <v>0.10599999874830246</v>
      </c>
      <c r="E70" s="158">
        <v>0.10610000044107437</v>
      </c>
      <c r="F70" s="158">
        <v>0.10589999705553055</v>
      </c>
      <c r="G70" s="158">
        <v>0.10599999874830246</v>
      </c>
      <c r="H70" s="158">
        <v>0.10589999705553055</v>
      </c>
      <c r="I70" s="158">
        <v>0.10580000281333923</v>
      </c>
      <c r="J70" s="158">
        <v>0.10570000112056732</v>
      </c>
      <c r="K70" s="158">
        <v>0.10570000112056732</v>
      </c>
      <c r="L70" s="158">
        <v>0.10580000281333923</v>
      </c>
      <c r="M70" s="158">
        <v>0.10570000112056732</v>
      </c>
      <c r="N70" s="158">
        <v>0.10559999942779541</v>
      </c>
      <c r="O70" s="158">
        <v>0.10540000349283218</v>
      </c>
      <c r="P70" s="158">
        <v>0.10530000180006027</v>
      </c>
      <c r="Q70" s="158">
        <v>0.10530000180006027</v>
      </c>
      <c r="R70" s="158">
        <v>0.10520000010728836</v>
      </c>
      <c r="S70" s="158">
        <v>0.10530000180006027</v>
      </c>
      <c r="T70" s="158">
        <v>0.10530000180006027</v>
      </c>
      <c r="U70" s="158">
        <v>0.10540000349283218</v>
      </c>
      <c r="V70" s="158">
        <f t="shared" si="1"/>
        <v>0.10530000180006027</v>
      </c>
      <c r="W70" s="158">
        <v>0.10520000010728836</v>
      </c>
      <c r="X70" s="158">
        <v>0.10520000010728836</v>
      </c>
      <c r="Y70" s="158">
        <v>0.10499999672174454</v>
      </c>
      <c r="Z70" s="158">
        <v>0.10490000247955322</v>
      </c>
      <c r="AA70" s="158">
        <v>0.10490000247955322</v>
      </c>
      <c r="AB70" s="158">
        <v>0.10480000078678131</v>
      </c>
      <c r="AC70" s="158">
        <v>0.1046999990940094</v>
      </c>
      <c r="AD70" s="158">
        <v>0.10480000078678131</v>
      </c>
      <c r="AE70" s="158">
        <v>0.1046999990940094</v>
      </c>
      <c r="AF70" s="158">
        <v>0.10480000078678131</v>
      </c>
    </row>
    <row r="71" spans="1:32" x14ac:dyDescent="0.2">
      <c r="A71" s="158" t="s">
        <v>222</v>
      </c>
      <c r="B71" s="158">
        <v>0.10649999976158142</v>
      </c>
      <c r="C71" s="158">
        <v>0.10610000044107437</v>
      </c>
      <c r="D71" s="158">
        <v>0.10599999874830246</v>
      </c>
      <c r="E71" s="158">
        <v>0.10610000044107437</v>
      </c>
      <c r="F71" s="158">
        <v>0.10589999705553055</v>
      </c>
      <c r="G71" s="158">
        <v>0.10580000281333923</v>
      </c>
      <c r="H71" s="158">
        <v>0.10570000112056732</v>
      </c>
      <c r="I71" s="158">
        <v>0.10559999942779541</v>
      </c>
      <c r="J71" s="158">
        <v>0.1054999977350235</v>
      </c>
      <c r="K71" s="158">
        <v>0.1054999977350235</v>
      </c>
      <c r="L71" s="158">
        <v>0.1054999977350235</v>
      </c>
      <c r="M71" s="158">
        <v>0.10540000349283218</v>
      </c>
      <c r="N71" s="158">
        <v>0.10540000349283218</v>
      </c>
      <c r="O71" s="158">
        <v>0.10530000180006027</v>
      </c>
      <c r="P71" s="158">
        <v>0.10499999672174454</v>
      </c>
      <c r="Q71" s="158">
        <v>0.10499999672174454</v>
      </c>
      <c r="R71" s="158">
        <v>0.10499999672174454</v>
      </c>
      <c r="S71" s="158">
        <v>0.10490000247955322</v>
      </c>
      <c r="T71" s="158">
        <v>0.10490000247955322</v>
      </c>
      <c r="U71" s="158">
        <v>0.10490000247955322</v>
      </c>
      <c r="V71" s="158">
        <f t="shared" si="1"/>
        <v>0.10485000163316727</v>
      </c>
      <c r="W71" s="158">
        <v>0.10480000078678131</v>
      </c>
      <c r="X71" s="158">
        <v>0.10480000078678131</v>
      </c>
      <c r="Y71" s="158">
        <v>0.1046999990940094</v>
      </c>
      <c r="Z71" s="158">
        <v>0.10450000315904617</v>
      </c>
      <c r="AA71" s="158">
        <v>0.10450000315904617</v>
      </c>
      <c r="AB71" s="158">
        <v>0.10450000315904617</v>
      </c>
      <c r="AC71" s="158">
        <v>0.10440000146627426</v>
      </c>
      <c r="AD71" s="158">
        <v>0.10440000146627426</v>
      </c>
      <c r="AE71" s="158">
        <v>0.10440000146627426</v>
      </c>
      <c r="AF71" s="158">
        <v>0.10429999977350235</v>
      </c>
    </row>
    <row r="72" spans="1:32" x14ac:dyDescent="0.2">
      <c r="A72" s="158" t="s">
        <v>223</v>
      </c>
      <c r="B72" s="158">
        <v>0.10710000246763229</v>
      </c>
      <c r="C72" s="158">
        <v>0.10689999908208847</v>
      </c>
      <c r="D72" s="158">
        <v>0.10679999738931656</v>
      </c>
      <c r="E72" s="158">
        <v>0.10679999738931656</v>
      </c>
      <c r="F72" s="158">
        <v>0.10689999908208847</v>
      </c>
      <c r="G72" s="158">
        <v>0.10670000314712524</v>
      </c>
      <c r="H72" s="158">
        <v>0.10670000314712524</v>
      </c>
      <c r="I72" s="158">
        <v>0.10649999976158142</v>
      </c>
      <c r="J72" s="158">
        <v>0.10649999976158142</v>
      </c>
      <c r="K72" s="158">
        <v>0.10639999806880951</v>
      </c>
      <c r="L72" s="158">
        <v>0.10649999976158142</v>
      </c>
      <c r="M72" s="158">
        <v>0.10639999806880951</v>
      </c>
      <c r="N72" s="158">
        <v>0.1062999963760376</v>
      </c>
      <c r="O72" s="158">
        <v>0.10620000213384628</v>
      </c>
      <c r="P72" s="158">
        <v>0.10610000044107437</v>
      </c>
      <c r="Q72" s="158">
        <v>0.10599999874830246</v>
      </c>
      <c r="R72" s="158">
        <v>0.10599999874830246</v>
      </c>
      <c r="S72" s="158">
        <v>0.10610000044107437</v>
      </c>
      <c r="T72" s="158">
        <v>0.10610000044107437</v>
      </c>
      <c r="U72" s="158">
        <v>0.10610000044107437</v>
      </c>
      <c r="V72" s="158">
        <f t="shared" si="1"/>
        <v>0.10610000044107437</v>
      </c>
      <c r="W72" s="158">
        <v>0.10610000044107437</v>
      </c>
      <c r="X72" s="158">
        <v>0.10599999874830246</v>
      </c>
      <c r="Y72" s="158">
        <v>0.10589999705553055</v>
      </c>
      <c r="Z72" s="158">
        <v>0.10580000281333923</v>
      </c>
      <c r="AA72" s="158">
        <v>0.10589999705553055</v>
      </c>
      <c r="AB72" s="158">
        <v>0.10559999942779541</v>
      </c>
      <c r="AC72" s="158">
        <v>0.10559999942779541</v>
      </c>
      <c r="AD72" s="158">
        <v>0.10559999942779541</v>
      </c>
      <c r="AE72" s="158">
        <v>0.10559999942779541</v>
      </c>
      <c r="AF72" s="158">
        <v>0.10589999705553055</v>
      </c>
    </row>
    <row r="73" spans="1:32" x14ac:dyDescent="0.2">
      <c r="A73" s="158" t="s">
        <v>224</v>
      </c>
      <c r="B73" s="158">
        <v>0.10710000246763229</v>
      </c>
      <c r="C73" s="158">
        <v>0.10679999738931656</v>
      </c>
      <c r="D73" s="158">
        <v>0.10670000314712524</v>
      </c>
      <c r="E73" s="158">
        <v>0.10670000314712524</v>
      </c>
      <c r="F73" s="158">
        <v>0.10660000145435333</v>
      </c>
      <c r="G73" s="158">
        <v>0.10660000145435333</v>
      </c>
      <c r="H73" s="158">
        <v>0.10639999806880951</v>
      </c>
      <c r="I73" s="158">
        <v>0.1062999963760376</v>
      </c>
      <c r="J73" s="158">
        <v>0.10620000213384628</v>
      </c>
      <c r="K73" s="158">
        <v>0.10620000213384628</v>
      </c>
      <c r="L73" s="158">
        <v>0.10620000213384628</v>
      </c>
      <c r="M73" s="158">
        <v>0.10599999874830246</v>
      </c>
      <c r="N73" s="158">
        <v>0.10589999705553055</v>
      </c>
      <c r="O73" s="158">
        <v>0.10570000112056732</v>
      </c>
      <c r="P73" s="158">
        <v>0.1054999977350235</v>
      </c>
      <c r="Q73" s="158">
        <v>0.1054999977350235</v>
      </c>
      <c r="R73" s="158">
        <v>0.1054999977350235</v>
      </c>
      <c r="S73" s="158">
        <v>0.1054999977350235</v>
      </c>
      <c r="T73" s="158">
        <v>0.10559999942779541</v>
      </c>
      <c r="U73" s="158">
        <v>0.10570000112056732</v>
      </c>
      <c r="V73" s="158">
        <f t="shared" si="1"/>
        <v>0.10559999942779541</v>
      </c>
      <c r="W73" s="158">
        <v>0.1054999977350235</v>
      </c>
      <c r="X73" s="158">
        <v>0.10540000349283218</v>
      </c>
      <c r="Y73" s="158">
        <v>0.10520000010728836</v>
      </c>
      <c r="Z73" s="158">
        <v>0.10509999841451645</v>
      </c>
      <c r="AA73" s="158">
        <v>0.10490000247955322</v>
      </c>
      <c r="AB73" s="158">
        <v>0.10480000078678131</v>
      </c>
      <c r="AC73" s="158">
        <v>0.10480000078678131</v>
      </c>
      <c r="AD73" s="158">
        <v>0.10480000078678131</v>
      </c>
      <c r="AE73" s="158">
        <v>0.1046999990940094</v>
      </c>
      <c r="AF73" s="158">
        <v>0.10490000247955322</v>
      </c>
    </row>
    <row r="74" spans="1:32" x14ac:dyDescent="0.2">
      <c r="A74" s="158" t="s">
        <v>225</v>
      </c>
      <c r="B74" s="158">
        <v>0.10719999670982361</v>
      </c>
      <c r="C74" s="158">
        <v>0.10719999670982361</v>
      </c>
      <c r="D74" s="158">
        <v>0.10719999670982361</v>
      </c>
      <c r="E74" s="158">
        <v>0.10729999840259552</v>
      </c>
      <c r="F74" s="158">
        <v>0.10729999840259552</v>
      </c>
      <c r="G74" s="158">
        <v>0.10740000009536743</v>
      </c>
      <c r="H74" s="158">
        <v>0.10729999840259552</v>
      </c>
      <c r="I74" s="158">
        <v>0.10729999840259552</v>
      </c>
      <c r="J74" s="158">
        <v>0.10719999670982361</v>
      </c>
      <c r="K74" s="158">
        <v>0.10719999670982361</v>
      </c>
      <c r="L74" s="158">
        <v>0.10719999670982361</v>
      </c>
      <c r="M74" s="158">
        <v>0.10729999840259552</v>
      </c>
      <c r="N74" s="158">
        <v>0.10689999908208847</v>
      </c>
      <c r="O74" s="158">
        <v>0.10679999738931656</v>
      </c>
      <c r="P74" s="158">
        <v>0.10660000145435333</v>
      </c>
      <c r="Q74" s="158">
        <v>0.10660000145435333</v>
      </c>
      <c r="R74" s="158">
        <v>0.10660000145435333</v>
      </c>
      <c r="S74" s="158">
        <v>0.10670000314712524</v>
      </c>
      <c r="T74" s="158">
        <v>0.10679999738931656</v>
      </c>
      <c r="U74" s="158">
        <v>0.10689999908208847</v>
      </c>
      <c r="V74" s="158">
        <f t="shared" si="1"/>
        <v>0.10684999823570251</v>
      </c>
      <c r="W74" s="158">
        <v>0.10679999738931656</v>
      </c>
      <c r="X74" s="158">
        <v>0.10679999738931656</v>
      </c>
      <c r="Y74" s="158">
        <v>0.10649999976158142</v>
      </c>
      <c r="Z74" s="158">
        <v>0.1062999963760376</v>
      </c>
      <c r="AA74" s="158">
        <v>0.10620000213384628</v>
      </c>
      <c r="AB74" s="158">
        <v>0.10610000044107437</v>
      </c>
      <c r="AC74" s="158">
        <v>0.10610000044107437</v>
      </c>
      <c r="AD74" s="158">
        <v>0.10610000044107437</v>
      </c>
      <c r="AE74" s="158">
        <v>0.10610000044107437</v>
      </c>
      <c r="AF74" s="158">
        <v>0.10620000213384628</v>
      </c>
    </row>
    <row r="75" spans="1:32" x14ac:dyDescent="0.2">
      <c r="A75" s="158" t="s">
        <v>226</v>
      </c>
      <c r="B75" s="158">
        <v>0.10740000009536743</v>
      </c>
      <c r="C75" s="158">
        <v>0.10710000246763229</v>
      </c>
      <c r="D75" s="158">
        <v>0.10710000246763229</v>
      </c>
      <c r="E75" s="158">
        <v>0.10700000077486038</v>
      </c>
      <c r="F75" s="158">
        <v>0.10689999908208847</v>
      </c>
      <c r="G75" s="158">
        <v>0.10719999670982361</v>
      </c>
      <c r="H75" s="158">
        <v>0.10679999738931656</v>
      </c>
      <c r="I75" s="158">
        <v>0.10670000314712524</v>
      </c>
      <c r="J75" s="158">
        <v>0.10670000314712524</v>
      </c>
      <c r="K75" s="158">
        <v>0.10670000314712524</v>
      </c>
      <c r="L75" s="158">
        <v>0.10670000314712524</v>
      </c>
      <c r="M75" s="158">
        <v>0.10649999976158142</v>
      </c>
      <c r="N75" s="158">
        <v>0.10639999806880951</v>
      </c>
      <c r="O75" s="158">
        <v>0.10620000213384628</v>
      </c>
      <c r="P75" s="158">
        <v>0.10599999874830246</v>
      </c>
      <c r="Q75" s="158">
        <v>0.10599999874830246</v>
      </c>
      <c r="R75" s="158">
        <v>0.10599999874830246</v>
      </c>
      <c r="S75" s="158">
        <v>0.10599999874830246</v>
      </c>
      <c r="T75" s="158">
        <v>0.10610000044107437</v>
      </c>
      <c r="U75" s="158">
        <v>0.10620000213384628</v>
      </c>
      <c r="V75" s="158">
        <f t="shared" si="1"/>
        <v>0.10615000128746033</v>
      </c>
      <c r="W75" s="158">
        <v>0.10610000044107437</v>
      </c>
      <c r="X75" s="158">
        <v>0.10599999874830246</v>
      </c>
      <c r="Y75" s="158">
        <v>0.10570000112056732</v>
      </c>
      <c r="Z75" s="158">
        <v>0.1054999977350235</v>
      </c>
      <c r="AA75" s="158">
        <v>0.10540000349283218</v>
      </c>
      <c r="AB75" s="158">
        <v>0.10540000349283218</v>
      </c>
      <c r="AC75" s="158">
        <v>0.10530000180006027</v>
      </c>
      <c r="AD75" s="158">
        <v>0.10540000349283218</v>
      </c>
      <c r="AE75" s="158">
        <v>0.10530000180006027</v>
      </c>
      <c r="AF75" s="158">
        <v>0.1054999977350235</v>
      </c>
    </row>
    <row r="76" spans="1:32" x14ac:dyDescent="0.2">
      <c r="A76" s="158" t="s">
        <v>227</v>
      </c>
      <c r="B76" s="158">
        <v>0.10859999805688858</v>
      </c>
      <c r="C76" s="158">
        <v>0.10819999873638153</v>
      </c>
      <c r="D76" s="158">
        <v>0.10809999704360962</v>
      </c>
      <c r="E76" s="158">
        <v>0.10819999873638153</v>
      </c>
      <c r="F76" s="158">
        <v>0.10809999704360962</v>
      </c>
      <c r="G76" s="158">
        <v>0.10819999873638153</v>
      </c>
      <c r="H76" s="158">
        <v>0.10809999704360962</v>
      </c>
      <c r="I76" s="158">
        <v>0.1080000028014183</v>
      </c>
      <c r="J76" s="158">
        <v>0.1080000028014183</v>
      </c>
      <c r="K76" s="158">
        <v>0.1080000028014183</v>
      </c>
      <c r="L76" s="158">
        <v>0.1080000028014183</v>
      </c>
      <c r="M76" s="158">
        <v>0.10779999941587448</v>
      </c>
      <c r="N76" s="158">
        <v>0.10769999772310257</v>
      </c>
      <c r="O76" s="158">
        <v>0.10750000178813934</v>
      </c>
      <c r="P76" s="158">
        <v>0.10729999840259552</v>
      </c>
      <c r="Q76" s="158">
        <v>0.10760000348091125</v>
      </c>
      <c r="R76" s="158">
        <v>0.10729999840259552</v>
      </c>
      <c r="S76" s="158">
        <v>0.10760000348091125</v>
      </c>
      <c r="T76" s="158">
        <v>0.10760000348091125</v>
      </c>
      <c r="U76" s="158">
        <v>0.10769999772310257</v>
      </c>
      <c r="V76" s="158">
        <f t="shared" si="1"/>
        <v>0.10799999907612801</v>
      </c>
      <c r="W76" s="158">
        <v>0.10830000042915344</v>
      </c>
      <c r="X76" s="158">
        <v>0.10819999873638153</v>
      </c>
      <c r="Y76" s="158">
        <v>0.10939999669790268</v>
      </c>
      <c r="Z76" s="158">
        <v>0.10899999737739563</v>
      </c>
      <c r="AA76" s="158">
        <v>0.10920000076293945</v>
      </c>
      <c r="AB76" s="158">
        <v>0.10930000245571136</v>
      </c>
      <c r="AC76" s="158">
        <v>0.10890000313520432</v>
      </c>
      <c r="AD76" s="158">
        <v>0.10890000313520432</v>
      </c>
      <c r="AE76" s="158">
        <v>0.1088000014424324</v>
      </c>
      <c r="AF76" s="158">
        <v>0.10830000042915344</v>
      </c>
    </row>
    <row r="77" spans="1:32" x14ac:dyDescent="0.2">
      <c r="A77" s="158" t="s">
        <v>228</v>
      </c>
      <c r="B77" s="158">
        <v>0.10719999670982361</v>
      </c>
      <c r="C77" s="158">
        <v>0.10660000145435333</v>
      </c>
      <c r="D77" s="158">
        <v>0.10660000145435333</v>
      </c>
      <c r="E77" s="158">
        <v>0.10660000145435333</v>
      </c>
      <c r="F77" s="158">
        <v>0.10639999806880951</v>
      </c>
      <c r="G77" s="158">
        <v>0.10649999976158142</v>
      </c>
      <c r="H77" s="158">
        <v>0.10660000145435333</v>
      </c>
      <c r="I77" s="158">
        <v>0.10620000213384628</v>
      </c>
      <c r="J77" s="158">
        <v>0.10620000213384628</v>
      </c>
      <c r="K77" s="158">
        <v>0.10620000213384628</v>
      </c>
      <c r="L77" s="158">
        <v>0.10610000044107437</v>
      </c>
      <c r="M77" s="158">
        <v>0.10589999705553055</v>
      </c>
      <c r="N77" s="158">
        <v>0.10580000281333923</v>
      </c>
      <c r="O77" s="158">
        <v>0.1054999977350235</v>
      </c>
      <c r="P77" s="158">
        <v>0.10530000180006027</v>
      </c>
      <c r="Q77" s="158">
        <v>0.10530000180006027</v>
      </c>
      <c r="R77" s="158">
        <v>0.10530000180006027</v>
      </c>
      <c r="S77" s="158">
        <v>0.10540000349283218</v>
      </c>
      <c r="T77" s="158">
        <v>0.10570000112056732</v>
      </c>
      <c r="U77" s="158">
        <v>0.10570000112056732</v>
      </c>
      <c r="V77" s="158">
        <f t="shared" si="1"/>
        <v>0.10610000044107437</v>
      </c>
      <c r="W77" s="158">
        <v>0.10649999976158142</v>
      </c>
      <c r="X77" s="158">
        <v>0.10639999806880951</v>
      </c>
      <c r="Y77" s="158">
        <v>0.10620000213384628</v>
      </c>
      <c r="Z77" s="158">
        <v>0.10580000281333923</v>
      </c>
      <c r="AA77" s="158">
        <v>0.10570000112056732</v>
      </c>
      <c r="AB77" s="158">
        <v>0.10559999942779541</v>
      </c>
      <c r="AC77" s="158">
        <v>0.10540000349283218</v>
      </c>
      <c r="AD77" s="158">
        <v>0.1054999977350235</v>
      </c>
      <c r="AE77" s="158">
        <v>0.1054999977350235</v>
      </c>
      <c r="AF77" s="158">
        <v>0.10580000281333923</v>
      </c>
    </row>
    <row r="78" spans="1:32" x14ac:dyDescent="0.2">
      <c r="A78" s="158" t="s">
        <v>229</v>
      </c>
      <c r="B78" s="158">
        <v>0.10790000110864639</v>
      </c>
      <c r="C78" s="158">
        <v>0.10760000348091125</v>
      </c>
      <c r="D78" s="158">
        <v>0.10750000178813934</v>
      </c>
      <c r="E78" s="158">
        <v>0.10750000178813934</v>
      </c>
      <c r="F78" s="158">
        <v>0.10750000178813934</v>
      </c>
      <c r="G78" s="158">
        <v>0.10760000348091125</v>
      </c>
      <c r="H78" s="158">
        <v>0.10750000178813934</v>
      </c>
      <c r="I78" s="158">
        <v>0.10750000178813934</v>
      </c>
      <c r="J78" s="158">
        <v>0.10740000009536743</v>
      </c>
      <c r="K78" s="158">
        <v>0.10740000009536743</v>
      </c>
      <c r="L78" s="158">
        <v>0.10740000009536743</v>
      </c>
      <c r="M78" s="158">
        <v>0.10719999670982361</v>
      </c>
      <c r="N78" s="158">
        <v>0.10700000077486038</v>
      </c>
      <c r="O78" s="158">
        <v>0.10670000314712524</v>
      </c>
      <c r="P78" s="158">
        <v>0.10679999738931656</v>
      </c>
      <c r="Q78" s="158">
        <v>0.10649999976158142</v>
      </c>
      <c r="R78" s="158">
        <v>0.10660000145435333</v>
      </c>
      <c r="S78" s="158">
        <v>0.10679999738931656</v>
      </c>
      <c r="T78" s="158">
        <v>0.10700000077486038</v>
      </c>
      <c r="U78" s="158">
        <v>0.10710000246763229</v>
      </c>
      <c r="V78" s="158">
        <f t="shared" si="1"/>
        <v>0.10710000246763229</v>
      </c>
      <c r="W78" s="158">
        <v>0.10710000246763229</v>
      </c>
      <c r="X78" s="158">
        <v>0.10679999738931656</v>
      </c>
      <c r="Y78" s="158">
        <v>0.10660000145435333</v>
      </c>
      <c r="Z78" s="158">
        <v>0.1062999963760376</v>
      </c>
      <c r="AA78" s="158">
        <v>0.10620000213384628</v>
      </c>
      <c r="AB78" s="158">
        <v>0.10599999874830246</v>
      </c>
      <c r="AC78" s="158">
        <v>0.10589999705553055</v>
      </c>
      <c r="AD78" s="158">
        <v>0.10599999874830246</v>
      </c>
      <c r="AE78" s="158">
        <v>0.10599999874830246</v>
      </c>
      <c r="AF78" s="158">
        <v>0.10610000044107437</v>
      </c>
    </row>
    <row r="79" spans="1:32" x14ac:dyDescent="0.2">
      <c r="A79" s="158" t="s">
        <v>230</v>
      </c>
      <c r="B79" s="158">
        <v>0.10639999806880951</v>
      </c>
      <c r="C79" s="158">
        <v>0.10589999705553055</v>
      </c>
      <c r="D79" s="158">
        <v>0.10570000112056732</v>
      </c>
      <c r="E79" s="158">
        <v>0.10570000112056732</v>
      </c>
      <c r="F79" s="158">
        <v>0.1054999977350235</v>
      </c>
      <c r="G79" s="158">
        <v>0.10559999942779541</v>
      </c>
      <c r="H79" s="158">
        <v>0.10540000349283218</v>
      </c>
      <c r="I79" s="158">
        <v>0.10530000180006027</v>
      </c>
      <c r="J79" s="158">
        <v>0.10509999841451645</v>
      </c>
      <c r="K79" s="158">
        <v>0.10520000010728836</v>
      </c>
      <c r="L79" s="158">
        <v>0.10520000010728836</v>
      </c>
      <c r="M79" s="158">
        <v>0.10499999672174454</v>
      </c>
      <c r="N79" s="158">
        <v>0.10480000078678131</v>
      </c>
      <c r="O79" s="158">
        <v>0.10450000315904617</v>
      </c>
      <c r="P79" s="158">
        <v>0.10429999977350235</v>
      </c>
      <c r="Q79" s="158">
        <v>0.10429999977350235</v>
      </c>
      <c r="R79" s="158">
        <v>0.10429999977350235</v>
      </c>
      <c r="S79" s="158">
        <v>0.10440000146627426</v>
      </c>
      <c r="T79" s="158">
        <v>0.10459999740123749</v>
      </c>
      <c r="U79" s="158">
        <v>0.1046999990940094</v>
      </c>
      <c r="V79" s="158">
        <f t="shared" si="1"/>
        <v>0.10520000010728836</v>
      </c>
      <c r="W79" s="158">
        <v>0.10570000112056732</v>
      </c>
      <c r="X79" s="158">
        <v>0.10540000349283218</v>
      </c>
      <c r="Y79" s="158">
        <v>0.10509999841451645</v>
      </c>
      <c r="Z79" s="158">
        <v>0.10499999672174454</v>
      </c>
      <c r="AA79" s="158">
        <v>0.10480000078678131</v>
      </c>
      <c r="AB79" s="158">
        <v>0.1046999990940094</v>
      </c>
      <c r="AC79" s="158">
        <v>0.10459999740123749</v>
      </c>
      <c r="AD79" s="158">
        <v>0.10459999740123749</v>
      </c>
      <c r="AE79" s="158">
        <v>0.1046999990940094</v>
      </c>
      <c r="AF79" s="158">
        <v>0.10400000214576721</v>
      </c>
    </row>
    <row r="80" spans="1:32" x14ac:dyDescent="0.2">
      <c r="A80" s="158" t="s">
        <v>231</v>
      </c>
      <c r="B80" s="158">
        <v>0.10719999670982361</v>
      </c>
      <c r="C80" s="158">
        <v>0.10679999738931656</v>
      </c>
      <c r="D80" s="158">
        <v>0.10670000314712524</v>
      </c>
      <c r="E80" s="158">
        <v>0.10660000145435333</v>
      </c>
      <c r="F80" s="158">
        <v>0.10660000145435333</v>
      </c>
      <c r="G80" s="158">
        <v>0.10679999738931656</v>
      </c>
      <c r="H80" s="158">
        <v>0.10670000314712524</v>
      </c>
      <c r="I80" s="158">
        <v>0.10670000314712524</v>
      </c>
      <c r="J80" s="158">
        <v>0.10660000145435333</v>
      </c>
      <c r="K80" s="158">
        <v>0.10679999738931656</v>
      </c>
      <c r="L80" s="158">
        <v>0.10660000145435333</v>
      </c>
      <c r="M80" s="158">
        <v>0.10639999806880951</v>
      </c>
      <c r="N80" s="158">
        <v>0.10620000213384628</v>
      </c>
      <c r="O80" s="158">
        <v>0.10599999874830246</v>
      </c>
      <c r="P80" s="158">
        <v>0.10580000281333923</v>
      </c>
      <c r="Q80" s="158">
        <v>0.10580000281333923</v>
      </c>
      <c r="R80" s="158">
        <v>0.10580000281333923</v>
      </c>
      <c r="S80" s="158">
        <v>0.10599999874830246</v>
      </c>
      <c r="T80" s="158">
        <v>0.10620000213384628</v>
      </c>
      <c r="U80" s="158">
        <v>0.1062999963760376</v>
      </c>
      <c r="V80" s="158">
        <f t="shared" si="1"/>
        <v>0.1062999963760376</v>
      </c>
      <c r="W80" s="158">
        <v>0.1062999963760376</v>
      </c>
      <c r="X80" s="158">
        <v>0.10610000044107437</v>
      </c>
      <c r="Y80" s="158">
        <v>0.10580000281333923</v>
      </c>
      <c r="Z80" s="158">
        <v>0.10559999942779541</v>
      </c>
      <c r="AA80" s="158">
        <v>0.10540000349283218</v>
      </c>
      <c r="AB80" s="158">
        <v>0.10530000180006027</v>
      </c>
      <c r="AC80" s="158">
        <v>0.10520000010728836</v>
      </c>
      <c r="AD80" s="158">
        <v>0.10520000010728836</v>
      </c>
      <c r="AE80" s="158">
        <v>0.10530000180006027</v>
      </c>
      <c r="AF80" s="158">
        <v>0.10530000180006027</v>
      </c>
    </row>
    <row r="81" spans="1:32" x14ac:dyDescent="0.2">
      <c r="A81" s="158" t="s">
        <v>232</v>
      </c>
      <c r="B81" s="158">
        <v>0.10719999670982361</v>
      </c>
      <c r="C81" s="158">
        <v>0.10660000145435333</v>
      </c>
      <c r="D81" s="158">
        <v>0.1062999963760376</v>
      </c>
      <c r="E81" s="158">
        <v>0.1062999963760376</v>
      </c>
      <c r="F81" s="158">
        <v>0.10620000213384628</v>
      </c>
      <c r="G81" s="158">
        <v>0.1062999963760376</v>
      </c>
      <c r="H81" s="158">
        <v>0.10620000213384628</v>
      </c>
      <c r="I81" s="158">
        <v>0.10610000044107437</v>
      </c>
      <c r="J81" s="158">
        <v>0.10599999874830246</v>
      </c>
      <c r="K81" s="158">
        <v>0.10599999874830246</v>
      </c>
      <c r="L81" s="158">
        <v>0.10599999874830246</v>
      </c>
      <c r="M81" s="158">
        <v>0.10570000112056732</v>
      </c>
      <c r="N81" s="158">
        <v>0.1054999977350235</v>
      </c>
      <c r="O81" s="158">
        <v>0.10520000010728836</v>
      </c>
      <c r="P81" s="158">
        <v>0.10499999672174454</v>
      </c>
      <c r="Q81" s="158">
        <v>0.10499999672174454</v>
      </c>
      <c r="R81" s="158">
        <v>0.10499999672174454</v>
      </c>
      <c r="S81" s="158">
        <v>0.10520000010728836</v>
      </c>
      <c r="T81" s="158">
        <v>0.10540000349283218</v>
      </c>
      <c r="U81" s="158">
        <v>0.1054999977350235</v>
      </c>
      <c r="V81" s="158">
        <f t="shared" si="1"/>
        <v>0.10545000061392784</v>
      </c>
      <c r="W81" s="158">
        <v>0.10540000349283218</v>
      </c>
      <c r="X81" s="158">
        <v>0.10520000010728836</v>
      </c>
      <c r="Y81" s="158">
        <v>0.10490000247955322</v>
      </c>
      <c r="Z81" s="158">
        <v>0.10459999740123749</v>
      </c>
      <c r="AA81" s="158">
        <v>0.10440000146627426</v>
      </c>
      <c r="AB81" s="158">
        <v>0.10429999977350235</v>
      </c>
      <c r="AC81" s="158">
        <v>0.10419999808073044</v>
      </c>
      <c r="AD81" s="158">
        <v>0.10419999808073044</v>
      </c>
      <c r="AE81" s="158">
        <v>0.10419999808073044</v>
      </c>
      <c r="AF81" s="158">
        <v>0.10440000146627426</v>
      </c>
    </row>
    <row r="82" spans="1:32" x14ac:dyDescent="0.2">
      <c r="A82" s="158" t="s">
        <v>233</v>
      </c>
      <c r="B82" s="158">
        <v>0.10769999772310257</v>
      </c>
      <c r="C82" s="158">
        <v>0.10729999840259552</v>
      </c>
      <c r="D82" s="158">
        <v>0.10689999908208847</v>
      </c>
      <c r="E82" s="158">
        <v>0.10689999908208847</v>
      </c>
      <c r="F82" s="158">
        <v>0.10689999908208847</v>
      </c>
      <c r="G82" s="158">
        <v>0.10719999670982361</v>
      </c>
      <c r="H82" s="158">
        <v>0.10710000246763229</v>
      </c>
      <c r="I82" s="158">
        <v>0.10710000246763229</v>
      </c>
      <c r="J82" s="158">
        <v>0.10700000077486038</v>
      </c>
      <c r="K82" s="158">
        <v>0.10700000077486038</v>
      </c>
      <c r="L82" s="158">
        <v>0.10689999908208847</v>
      </c>
      <c r="M82" s="158">
        <v>0.10670000314712524</v>
      </c>
      <c r="N82" s="158">
        <v>0.10639999806880951</v>
      </c>
      <c r="O82" s="158">
        <v>0.10620000213384628</v>
      </c>
      <c r="P82" s="158">
        <v>0.10599999874830246</v>
      </c>
      <c r="Q82" s="158">
        <v>0.10589999705553055</v>
      </c>
      <c r="R82" s="158">
        <v>0.10599999874830246</v>
      </c>
      <c r="S82" s="158">
        <v>0.10620000213384628</v>
      </c>
      <c r="T82" s="158">
        <v>0.10670000314712524</v>
      </c>
      <c r="U82" s="158">
        <v>0.10660000145435333</v>
      </c>
      <c r="V82" s="158">
        <f t="shared" si="1"/>
        <v>0.10660000145435333</v>
      </c>
      <c r="W82" s="158">
        <v>0.10660000145435333</v>
      </c>
      <c r="X82" s="158">
        <v>0.1062999963760376</v>
      </c>
      <c r="Y82" s="158">
        <v>0.10620000213384628</v>
      </c>
      <c r="Z82" s="158">
        <v>0.10559999942779541</v>
      </c>
      <c r="AA82" s="158">
        <v>0.1054999977350235</v>
      </c>
      <c r="AB82" s="158">
        <v>0.10530000180006027</v>
      </c>
      <c r="AC82" s="158">
        <v>0.10509999841451645</v>
      </c>
      <c r="AD82" s="158">
        <v>0.10509999841451645</v>
      </c>
      <c r="AE82" s="158">
        <v>0.10520000010728836</v>
      </c>
      <c r="AF82" s="158">
        <v>0.10530000180006027</v>
      </c>
    </row>
    <row r="83" spans="1:32" x14ac:dyDescent="0.2">
      <c r="A83" s="158" t="s">
        <v>234</v>
      </c>
      <c r="B83" s="158">
        <v>0.10710000246763229</v>
      </c>
      <c r="C83" s="158">
        <v>0.10679999738931656</v>
      </c>
      <c r="D83" s="158">
        <v>0.10639999806880951</v>
      </c>
      <c r="E83" s="158">
        <v>0.10639999806880951</v>
      </c>
      <c r="F83" s="158">
        <v>0.1062999963760376</v>
      </c>
      <c r="G83" s="158">
        <v>0.10649999976158142</v>
      </c>
      <c r="H83" s="158">
        <v>0.10639999806880951</v>
      </c>
      <c r="I83" s="158">
        <v>0.1062999963760376</v>
      </c>
      <c r="J83" s="158">
        <v>0.10639999806880951</v>
      </c>
      <c r="K83" s="158">
        <v>0.10620000213384628</v>
      </c>
      <c r="L83" s="158">
        <v>0.10620000213384628</v>
      </c>
      <c r="M83" s="158">
        <v>0.10599999874830246</v>
      </c>
      <c r="N83" s="158">
        <v>0.10580000281333923</v>
      </c>
      <c r="O83" s="158">
        <v>0.1054999977350235</v>
      </c>
      <c r="P83" s="158">
        <v>0.10530000180006027</v>
      </c>
      <c r="Q83" s="158">
        <v>0.10530000180006027</v>
      </c>
      <c r="R83" s="158">
        <v>0.10540000349283218</v>
      </c>
      <c r="S83" s="158">
        <v>0.10559999942779541</v>
      </c>
      <c r="T83" s="158">
        <v>0.10580000281333923</v>
      </c>
      <c r="U83" s="158">
        <v>0.10589999705553055</v>
      </c>
      <c r="V83" s="158">
        <f t="shared" si="1"/>
        <v>0.10589999705553055</v>
      </c>
      <c r="W83" s="158">
        <v>0.10589999705553055</v>
      </c>
      <c r="X83" s="158">
        <v>0.10570000112056732</v>
      </c>
      <c r="Y83" s="158">
        <v>0.10530000180006027</v>
      </c>
      <c r="Z83" s="158">
        <v>0.10509999841451645</v>
      </c>
      <c r="AA83" s="158">
        <v>0.10520000010728836</v>
      </c>
      <c r="AB83" s="158">
        <v>0.10480000078678131</v>
      </c>
      <c r="AC83" s="158">
        <v>0.10459999740123749</v>
      </c>
      <c r="AD83" s="158">
        <v>0.1046999990940094</v>
      </c>
      <c r="AE83" s="158">
        <v>0.1046999990940094</v>
      </c>
      <c r="AF83" s="158">
        <v>0.10509999841451645</v>
      </c>
    </row>
    <row r="84" spans="1:32" x14ac:dyDescent="0.2">
      <c r="A84" s="158" t="s">
        <v>235</v>
      </c>
      <c r="B84" s="158">
        <v>0.10719999670982361</v>
      </c>
      <c r="C84" s="158">
        <v>0.10679999738931656</v>
      </c>
      <c r="D84" s="158">
        <v>0.10670000314712524</v>
      </c>
      <c r="E84" s="158">
        <v>0.10649999976158142</v>
      </c>
      <c r="F84" s="158">
        <v>0.10639999806880951</v>
      </c>
      <c r="G84" s="158">
        <v>0.10670000314712524</v>
      </c>
      <c r="H84" s="158">
        <v>0.10660000145435333</v>
      </c>
      <c r="I84" s="158">
        <v>0.10639999806880951</v>
      </c>
      <c r="J84" s="158">
        <v>0.10639999806880951</v>
      </c>
      <c r="K84" s="158">
        <v>0.10639999806880951</v>
      </c>
      <c r="L84" s="158">
        <v>0.10639999806880951</v>
      </c>
      <c r="M84" s="158">
        <v>0.10610000044107437</v>
      </c>
      <c r="N84" s="158">
        <v>0.10580000281333923</v>
      </c>
      <c r="O84" s="158">
        <v>0.10559999942779541</v>
      </c>
      <c r="P84" s="158">
        <v>0.10540000349283218</v>
      </c>
      <c r="Q84" s="158">
        <v>0.10540000349283218</v>
      </c>
      <c r="R84" s="158">
        <v>0.1054999977350235</v>
      </c>
      <c r="S84" s="158">
        <v>0.10559999942779541</v>
      </c>
      <c r="T84" s="158">
        <v>0.10589999705553055</v>
      </c>
      <c r="U84" s="158">
        <v>0.10599999874830246</v>
      </c>
      <c r="V84" s="158">
        <f t="shared" si="1"/>
        <v>0.10604999959468842</v>
      </c>
      <c r="W84" s="158">
        <v>0.10610000044107437</v>
      </c>
      <c r="X84" s="158">
        <v>0.10580000281333923</v>
      </c>
      <c r="Y84" s="158">
        <v>0.1054999977350235</v>
      </c>
      <c r="Z84" s="158">
        <v>0.10520000010728836</v>
      </c>
      <c r="AA84" s="158">
        <v>0.10499999672174454</v>
      </c>
      <c r="AB84" s="158">
        <v>0.10490000247955322</v>
      </c>
      <c r="AC84" s="158">
        <v>0.1046999990940094</v>
      </c>
      <c r="AD84" s="158">
        <v>0.10480000078678131</v>
      </c>
      <c r="AE84" s="158">
        <v>0.10480000078678131</v>
      </c>
      <c r="AF84" s="158">
        <v>0.10499999672174454</v>
      </c>
    </row>
    <row r="85" spans="1:32" x14ac:dyDescent="0.2">
      <c r="A85" s="158" t="s">
        <v>236</v>
      </c>
      <c r="B85" s="158">
        <v>0.10639999806880951</v>
      </c>
      <c r="C85" s="158">
        <v>0.10599999874830246</v>
      </c>
      <c r="D85" s="158">
        <v>0.10580000281333923</v>
      </c>
      <c r="E85" s="158">
        <v>0.10580000281333923</v>
      </c>
      <c r="F85" s="158">
        <v>0.10610000044107437</v>
      </c>
      <c r="G85" s="158">
        <v>0.10620000213384628</v>
      </c>
      <c r="H85" s="158">
        <v>0.10610000044107437</v>
      </c>
      <c r="I85" s="158">
        <v>0.10599999874830246</v>
      </c>
      <c r="J85" s="158">
        <v>0.10580000281333923</v>
      </c>
      <c r="K85" s="158">
        <v>0.10580000281333923</v>
      </c>
      <c r="L85" s="158">
        <v>0.10580000281333923</v>
      </c>
      <c r="M85" s="158">
        <v>0.10559999942779541</v>
      </c>
      <c r="N85" s="158">
        <v>0.10530000180006027</v>
      </c>
      <c r="O85" s="158">
        <v>0.10490000247955322</v>
      </c>
      <c r="P85" s="158">
        <v>0.10490000247955322</v>
      </c>
      <c r="Q85" s="158">
        <v>0.10480000078678131</v>
      </c>
      <c r="R85" s="158">
        <v>0.10480000078678131</v>
      </c>
      <c r="S85" s="158">
        <v>0.10509999841451645</v>
      </c>
      <c r="T85" s="158">
        <v>0.10530000180006027</v>
      </c>
      <c r="U85" s="158">
        <v>0.10559999942779541</v>
      </c>
      <c r="V85" s="158">
        <f t="shared" si="1"/>
        <v>0.10619999840855598</v>
      </c>
      <c r="W85" s="158">
        <v>0.10679999738931656</v>
      </c>
      <c r="X85" s="158">
        <v>0.1062999963760376</v>
      </c>
      <c r="Y85" s="158">
        <v>0.10589999705553055</v>
      </c>
      <c r="Z85" s="158">
        <v>0.10580000281333923</v>
      </c>
      <c r="AA85" s="158">
        <v>0.10570000112056732</v>
      </c>
      <c r="AB85" s="158">
        <v>0.10540000349283218</v>
      </c>
      <c r="AC85" s="158">
        <v>0.1054999977350235</v>
      </c>
      <c r="AD85" s="158">
        <v>0.10520000010728836</v>
      </c>
      <c r="AE85" s="158">
        <v>0.10540000349283218</v>
      </c>
      <c r="AF85" s="158">
        <v>0.10480000078678131</v>
      </c>
    </row>
    <row r="86" spans="1:32" x14ac:dyDescent="0.2">
      <c r="A86" s="158" t="s">
        <v>237</v>
      </c>
      <c r="B86" s="158">
        <v>0.10670000314712524</v>
      </c>
      <c r="C86" s="158">
        <v>0.1062999963760376</v>
      </c>
      <c r="D86" s="158">
        <v>0.10620000213384628</v>
      </c>
      <c r="E86" s="158">
        <v>0.10610000044107437</v>
      </c>
      <c r="F86" s="158">
        <v>0.10599999874830246</v>
      </c>
      <c r="G86" s="158">
        <v>0.1062999963760376</v>
      </c>
      <c r="H86" s="158">
        <v>0.10620000213384628</v>
      </c>
      <c r="I86" s="158">
        <v>0.10610000044107437</v>
      </c>
      <c r="J86" s="158">
        <v>0.10649999976158142</v>
      </c>
      <c r="K86" s="158">
        <v>0.10599999874830246</v>
      </c>
      <c r="L86" s="158">
        <v>0.10610000044107437</v>
      </c>
      <c r="M86" s="158">
        <v>0.10589999705553055</v>
      </c>
      <c r="N86" s="158">
        <v>0.1054999977350235</v>
      </c>
      <c r="O86" s="158">
        <v>0.10520000010728836</v>
      </c>
      <c r="P86" s="158">
        <v>0.10499999672174454</v>
      </c>
      <c r="Q86" s="158">
        <v>0.10499999672174454</v>
      </c>
      <c r="R86" s="158">
        <v>0.10509999841451645</v>
      </c>
      <c r="S86" s="158">
        <v>0.10520000010728836</v>
      </c>
      <c r="T86" s="158">
        <v>0.1054999977350235</v>
      </c>
      <c r="U86" s="158">
        <v>0.10559999942779541</v>
      </c>
      <c r="V86" s="158">
        <f t="shared" si="1"/>
        <v>0.10559999942779541</v>
      </c>
      <c r="W86" s="158">
        <v>0.10559999942779541</v>
      </c>
      <c r="X86" s="158">
        <v>0.10540000349283218</v>
      </c>
      <c r="Y86" s="158">
        <v>0.10509999841451645</v>
      </c>
      <c r="Z86" s="158">
        <v>0.10480000078678131</v>
      </c>
      <c r="AA86" s="158">
        <v>0.10459999740123749</v>
      </c>
      <c r="AB86" s="158">
        <v>0.10440000146627426</v>
      </c>
      <c r="AC86" s="158">
        <v>0.10429999977350235</v>
      </c>
      <c r="AD86" s="158">
        <v>0.10429999977350235</v>
      </c>
      <c r="AE86" s="158">
        <v>0.10440000146627426</v>
      </c>
      <c r="AF86" s="158">
        <v>0.10459999740123749</v>
      </c>
    </row>
    <row r="87" spans="1:32" x14ac:dyDescent="0.2">
      <c r="A87" s="158" t="s">
        <v>238</v>
      </c>
      <c r="B87" s="158">
        <v>0.10679999738931656</v>
      </c>
      <c r="C87" s="158">
        <v>0.10649999976158142</v>
      </c>
      <c r="D87" s="158">
        <v>0.10639999806880951</v>
      </c>
      <c r="E87" s="158">
        <v>0.1062999963760376</v>
      </c>
      <c r="F87" s="158">
        <v>0.10620000213384628</v>
      </c>
      <c r="G87" s="158">
        <v>0.10639999806880951</v>
      </c>
      <c r="H87" s="158">
        <v>0.1062999963760376</v>
      </c>
      <c r="I87" s="158">
        <v>0.10620000213384628</v>
      </c>
      <c r="J87" s="158">
        <v>0.10610000044107437</v>
      </c>
      <c r="K87" s="158">
        <v>0.10610000044107437</v>
      </c>
      <c r="L87" s="158">
        <v>0.10610000044107437</v>
      </c>
      <c r="M87" s="158">
        <v>0.10580000281333923</v>
      </c>
      <c r="N87" s="158">
        <v>0.10559999942779541</v>
      </c>
      <c r="O87" s="158">
        <v>0.1054999977350235</v>
      </c>
      <c r="P87" s="158">
        <v>0.10509999841451645</v>
      </c>
      <c r="Q87" s="158">
        <v>0.10509999841451645</v>
      </c>
      <c r="R87" s="158">
        <v>0.10520000010728836</v>
      </c>
      <c r="S87" s="158">
        <v>0.10530000180006027</v>
      </c>
      <c r="T87" s="158">
        <v>0.10559999942779541</v>
      </c>
      <c r="U87" s="158">
        <v>0.10559999942779541</v>
      </c>
      <c r="V87" s="158">
        <f t="shared" si="1"/>
        <v>0.10565000027418137</v>
      </c>
      <c r="W87" s="158">
        <v>0.10570000112056732</v>
      </c>
      <c r="X87" s="158">
        <v>0.10540000349283218</v>
      </c>
      <c r="Y87" s="158">
        <v>0.10509999841451645</v>
      </c>
      <c r="Z87" s="158">
        <v>0.10490000247955322</v>
      </c>
      <c r="AA87" s="158">
        <v>0.10459999740123749</v>
      </c>
      <c r="AB87" s="158">
        <v>0.10450000315904617</v>
      </c>
      <c r="AC87" s="158">
        <v>0.10440000146627426</v>
      </c>
      <c r="AD87" s="158">
        <v>0.10440000146627426</v>
      </c>
      <c r="AE87" s="158">
        <v>0.10440000146627426</v>
      </c>
      <c r="AF87" s="158">
        <v>0.10459999740123749</v>
      </c>
    </row>
    <row r="88" spans="1:32" x14ac:dyDescent="0.2">
      <c r="A88" s="158" t="s">
        <v>239</v>
      </c>
      <c r="B88" s="158">
        <v>0.10679999738931656</v>
      </c>
      <c r="C88" s="158">
        <v>0.1062999963760376</v>
      </c>
      <c r="D88" s="158">
        <v>0.10620000213384628</v>
      </c>
      <c r="E88" s="158">
        <v>0.10610000044107437</v>
      </c>
      <c r="F88" s="158">
        <v>0.10610000044107437</v>
      </c>
      <c r="G88" s="158">
        <v>0.10620000213384628</v>
      </c>
      <c r="H88" s="158">
        <v>0.10620000213384628</v>
      </c>
      <c r="I88" s="158">
        <v>0.10599999874830246</v>
      </c>
      <c r="J88" s="158">
        <v>0.10589999705553055</v>
      </c>
      <c r="K88" s="158">
        <v>0.10589999705553055</v>
      </c>
      <c r="L88" s="158">
        <v>0.10589999705553055</v>
      </c>
      <c r="M88" s="158">
        <v>0.10570000112056732</v>
      </c>
      <c r="N88" s="158">
        <v>0.10540000349283218</v>
      </c>
      <c r="O88" s="158">
        <v>0.10520000010728836</v>
      </c>
      <c r="P88" s="158">
        <v>0.10490000247955322</v>
      </c>
      <c r="Q88" s="158">
        <v>0.10499999672174454</v>
      </c>
      <c r="R88" s="158">
        <v>0.10499999672174454</v>
      </c>
      <c r="S88" s="158">
        <v>0.10520000010728836</v>
      </c>
      <c r="T88" s="158">
        <v>0.1054999977350235</v>
      </c>
      <c r="U88" s="158">
        <v>0.1054999977350235</v>
      </c>
      <c r="V88" s="158">
        <f t="shared" si="1"/>
        <v>0.1054999977350235</v>
      </c>
      <c r="W88" s="158">
        <v>0.1054999977350235</v>
      </c>
      <c r="X88" s="158">
        <v>0.10520000010728836</v>
      </c>
      <c r="Y88" s="158">
        <v>0.10499999672174454</v>
      </c>
      <c r="Z88" s="158">
        <v>0.1046999990940094</v>
      </c>
      <c r="AA88" s="158">
        <v>0.10450000315904617</v>
      </c>
      <c r="AB88" s="158">
        <v>0.10440000146627426</v>
      </c>
      <c r="AC88" s="158">
        <v>0.10429999977350235</v>
      </c>
      <c r="AD88" s="158">
        <v>0.10419999808073044</v>
      </c>
      <c r="AE88" s="158">
        <v>0.10429999977350235</v>
      </c>
      <c r="AF88" s="158">
        <v>0.10450000315904617</v>
      </c>
    </row>
    <row r="89" spans="1:32" x14ac:dyDescent="0.2">
      <c r="A89" s="158" t="s">
        <v>240</v>
      </c>
      <c r="B89" s="158">
        <v>0.10649999976158142</v>
      </c>
      <c r="C89" s="158">
        <v>0.10610000044107437</v>
      </c>
      <c r="D89" s="158">
        <v>0.10589999705553055</v>
      </c>
      <c r="E89" s="158">
        <v>0.10589999705553055</v>
      </c>
      <c r="F89" s="158">
        <v>0.10589999705553055</v>
      </c>
      <c r="G89" s="158">
        <v>0.10599999874830246</v>
      </c>
      <c r="H89" s="158">
        <v>0.10620000213384628</v>
      </c>
      <c r="I89" s="158">
        <v>0.10570000112056732</v>
      </c>
      <c r="J89" s="158">
        <v>0.10570000112056732</v>
      </c>
      <c r="K89" s="158">
        <v>0.10559999942779541</v>
      </c>
      <c r="L89" s="158">
        <v>0.10570000112056732</v>
      </c>
      <c r="M89" s="158">
        <v>0.10540000349283218</v>
      </c>
      <c r="N89" s="158">
        <v>0.10520000010728836</v>
      </c>
      <c r="O89" s="158">
        <v>0.10490000247955322</v>
      </c>
      <c r="P89" s="158">
        <v>0.1046999990940094</v>
      </c>
      <c r="Q89" s="158">
        <v>0.1046999990940094</v>
      </c>
      <c r="R89" s="158">
        <v>0.1046999990940094</v>
      </c>
      <c r="S89" s="158">
        <v>0.10509999841451645</v>
      </c>
      <c r="T89" s="158">
        <v>0.10520000010728836</v>
      </c>
      <c r="U89" s="158">
        <v>0.10530000180006027</v>
      </c>
      <c r="V89" s="158">
        <f t="shared" si="1"/>
        <v>0.10530000180006027</v>
      </c>
      <c r="W89" s="158">
        <v>0.10530000180006027</v>
      </c>
      <c r="X89" s="158">
        <v>0.10499999672174454</v>
      </c>
      <c r="Y89" s="158">
        <v>0.10480000078678131</v>
      </c>
      <c r="Z89" s="158">
        <v>0.10450000315904617</v>
      </c>
      <c r="AA89" s="158">
        <v>0.10419999808073044</v>
      </c>
      <c r="AB89" s="158">
        <v>0.10409999638795853</v>
      </c>
      <c r="AC89" s="158">
        <v>0.10400000214576721</v>
      </c>
      <c r="AD89" s="158">
        <v>0.10400000214576721</v>
      </c>
      <c r="AE89" s="158">
        <v>0.10409999638795853</v>
      </c>
      <c r="AF89" s="158">
        <v>0.10419999808073044</v>
      </c>
    </row>
    <row r="90" spans="1:32" x14ac:dyDescent="0.2">
      <c r="A90" s="158" t="s">
        <v>241</v>
      </c>
      <c r="B90" s="158">
        <v>0.10740000009536743</v>
      </c>
      <c r="C90" s="158">
        <v>0.10700000077486038</v>
      </c>
      <c r="D90" s="158">
        <v>0.10700000077486038</v>
      </c>
      <c r="E90" s="158">
        <v>0.10670000314712524</v>
      </c>
      <c r="F90" s="158">
        <v>0.10660000145435333</v>
      </c>
      <c r="G90" s="158">
        <v>0.10689999908208847</v>
      </c>
      <c r="H90" s="158">
        <v>0.10670000314712524</v>
      </c>
      <c r="I90" s="158">
        <v>0.10660000145435333</v>
      </c>
      <c r="J90" s="158">
        <v>0.10649999976158142</v>
      </c>
      <c r="K90" s="158">
        <v>0.10649999976158142</v>
      </c>
      <c r="L90" s="158">
        <v>0.10679999738931656</v>
      </c>
      <c r="M90" s="158">
        <v>0.1062999963760376</v>
      </c>
      <c r="N90" s="158">
        <v>0.10599999874830246</v>
      </c>
      <c r="O90" s="158">
        <v>0.10580000281333923</v>
      </c>
      <c r="P90" s="158">
        <v>0.1054999977350235</v>
      </c>
      <c r="Q90" s="158">
        <v>0.1054999977350235</v>
      </c>
      <c r="R90" s="158">
        <v>0.10559999942779541</v>
      </c>
      <c r="S90" s="158">
        <v>0.10570000112056732</v>
      </c>
      <c r="T90" s="158">
        <v>0.10599999874830246</v>
      </c>
      <c r="U90" s="158">
        <v>0.10610000044107437</v>
      </c>
      <c r="V90" s="158">
        <f t="shared" si="1"/>
        <v>0.10610000044107437</v>
      </c>
      <c r="W90" s="158">
        <v>0.10610000044107437</v>
      </c>
      <c r="X90" s="158">
        <v>0.10580000281333923</v>
      </c>
      <c r="Y90" s="158">
        <v>0.1054999977350235</v>
      </c>
      <c r="Z90" s="158">
        <v>0.10530000180006027</v>
      </c>
      <c r="AA90" s="158">
        <v>0.10499999672174454</v>
      </c>
      <c r="AB90" s="158">
        <v>0.10490000247955322</v>
      </c>
      <c r="AC90" s="158">
        <v>0.10480000078678131</v>
      </c>
      <c r="AD90" s="158">
        <v>0.10490000247955322</v>
      </c>
      <c r="AE90" s="158">
        <v>0.10480000078678131</v>
      </c>
      <c r="AF90" s="158">
        <v>0.10499999672174454</v>
      </c>
    </row>
    <row r="91" spans="1:32" x14ac:dyDescent="0.2">
      <c r="A91" s="158" t="s">
        <v>242</v>
      </c>
      <c r="B91" s="158">
        <v>0.10719999670982361</v>
      </c>
      <c r="C91" s="158">
        <v>0.10660000145435333</v>
      </c>
      <c r="D91" s="158">
        <v>0.10639999806880951</v>
      </c>
      <c r="E91" s="158">
        <v>0.10639999806880951</v>
      </c>
      <c r="F91" s="158">
        <v>0.10620000213384628</v>
      </c>
      <c r="G91" s="158">
        <v>0.10639999806880951</v>
      </c>
      <c r="H91" s="158">
        <v>0.10620000213384628</v>
      </c>
      <c r="I91" s="158">
        <v>0.10610000044107437</v>
      </c>
      <c r="J91" s="158">
        <v>0.10599999874830246</v>
      </c>
      <c r="K91" s="158">
        <v>0.10610000044107437</v>
      </c>
      <c r="L91" s="158">
        <v>0.10599999874830246</v>
      </c>
      <c r="M91" s="158">
        <v>0.10580000281333923</v>
      </c>
      <c r="N91" s="158">
        <v>0.1054999977350235</v>
      </c>
      <c r="O91" s="158">
        <v>0.10540000349283218</v>
      </c>
      <c r="P91" s="158">
        <v>0.10499999672174454</v>
      </c>
      <c r="Q91" s="158">
        <v>0.10509999841451645</v>
      </c>
      <c r="R91" s="158">
        <v>0.10509999841451645</v>
      </c>
      <c r="S91" s="158">
        <v>0.10520000010728836</v>
      </c>
      <c r="T91" s="158">
        <v>0.1054999977350235</v>
      </c>
      <c r="U91" s="158">
        <v>0.10559999942779541</v>
      </c>
      <c r="V91" s="158">
        <f t="shared" si="1"/>
        <v>0.10559999942779541</v>
      </c>
      <c r="W91" s="158">
        <v>0.10559999942779541</v>
      </c>
      <c r="X91" s="158">
        <v>0.10540000349283218</v>
      </c>
      <c r="Y91" s="158">
        <v>0.10509999841451645</v>
      </c>
      <c r="Z91" s="158">
        <v>0.10490000247955322</v>
      </c>
      <c r="AA91" s="158">
        <v>0.10459999740123749</v>
      </c>
      <c r="AB91" s="158">
        <v>0.10440000146627426</v>
      </c>
      <c r="AC91" s="158">
        <v>0.10440000146627426</v>
      </c>
      <c r="AD91" s="158">
        <v>0.10440000146627426</v>
      </c>
      <c r="AE91" s="158">
        <v>0.10440000146627426</v>
      </c>
      <c r="AF91" s="158">
        <v>0.10459999740123749</v>
      </c>
    </row>
    <row r="92" spans="1:32" x14ac:dyDescent="0.2">
      <c r="A92" s="158" t="s">
        <v>243</v>
      </c>
      <c r="B92" s="158">
        <v>0.10740000009536743</v>
      </c>
      <c r="C92" s="158">
        <v>0.10679999738931656</v>
      </c>
      <c r="D92" s="158">
        <v>0.10660000145435333</v>
      </c>
      <c r="E92" s="158">
        <v>0.10639999806880951</v>
      </c>
      <c r="F92" s="158">
        <v>0.1062999963760376</v>
      </c>
      <c r="G92" s="158">
        <v>0.10649999976158142</v>
      </c>
      <c r="H92" s="158">
        <v>0.1062999963760376</v>
      </c>
      <c r="I92" s="158">
        <v>0.10620000213384628</v>
      </c>
      <c r="J92" s="158">
        <v>0.10610000044107437</v>
      </c>
      <c r="K92" s="158">
        <v>0.10610000044107437</v>
      </c>
      <c r="L92" s="158">
        <v>0.10599999874830246</v>
      </c>
      <c r="M92" s="158">
        <v>0.10580000281333923</v>
      </c>
      <c r="N92" s="158">
        <v>0.1054999977350235</v>
      </c>
      <c r="O92" s="158">
        <v>0.10530000180006027</v>
      </c>
      <c r="P92" s="158">
        <v>0.10499999672174454</v>
      </c>
      <c r="Q92" s="158">
        <v>0.10499999672174454</v>
      </c>
      <c r="R92" s="158">
        <v>0.10509999841451645</v>
      </c>
      <c r="S92" s="158">
        <v>0.10520000010728836</v>
      </c>
      <c r="T92" s="158">
        <v>0.1054999977350235</v>
      </c>
      <c r="U92" s="158">
        <v>0.10559999942779541</v>
      </c>
      <c r="V92" s="158">
        <f t="shared" si="1"/>
        <v>0.10559999942779541</v>
      </c>
      <c r="W92" s="158">
        <v>0.10559999942779541</v>
      </c>
      <c r="X92" s="158">
        <v>0.10530000180006027</v>
      </c>
      <c r="Y92" s="158">
        <v>0.10509999841451645</v>
      </c>
      <c r="Z92" s="158">
        <v>0.10480000078678131</v>
      </c>
      <c r="AA92" s="158">
        <v>0.10450000315904617</v>
      </c>
      <c r="AB92" s="158">
        <v>0.10440000146627426</v>
      </c>
      <c r="AC92" s="158">
        <v>0.10429999977350235</v>
      </c>
      <c r="AD92" s="158">
        <v>0.10429999977350235</v>
      </c>
      <c r="AE92" s="158">
        <v>0.10429999977350235</v>
      </c>
      <c r="AF92" s="158">
        <v>0.10450000315904617</v>
      </c>
    </row>
    <row r="93" spans="1:32" x14ac:dyDescent="0.2">
      <c r="A93" s="158" t="s">
        <v>244</v>
      </c>
      <c r="B93" s="158">
        <v>0.10750000178813934</v>
      </c>
      <c r="C93" s="158">
        <v>0.10639999806880951</v>
      </c>
      <c r="D93" s="158">
        <v>0.10639999806880951</v>
      </c>
      <c r="E93" s="158">
        <v>0.10670000314712524</v>
      </c>
      <c r="F93" s="158">
        <v>0.10639999806880951</v>
      </c>
      <c r="G93" s="158">
        <v>0.10660000145435333</v>
      </c>
      <c r="H93" s="158">
        <v>0.1062999963760376</v>
      </c>
      <c r="I93" s="158">
        <v>0.10620000213384628</v>
      </c>
      <c r="J93" s="158">
        <v>0.10599999874830246</v>
      </c>
      <c r="K93" s="158">
        <v>0.10599999874830246</v>
      </c>
      <c r="L93" s="158">
        <v>0.10599999874830246</v>
      </c>
      <c r="M93" s="158">
        <v>0.10570000112056732</v>
      </c>
      <c r="N93" s="158">
        <v>0.1054999977350235</v>
      </c>
      <c r="O93" s="158">
        <v>0.10530000180006027</v>
      </c>
      <c r="P93" s="158">
        <v>0.10490000247955322</v>
      </c>
      <c r="Q93" s="158">
        <v>0.10490000247955322</v>
      </c>
      <c r="R93" s="158">
        <v>0.10499999672174454</v>
      </c>
      <c r="S93" s="158">
        <v>0.10509999841451645</v>
      </c>
      <c r="T93" s="158">
        <v>0.10530000180006027</v>
      </c>
      <c r="U93" s="158">
        <v>0.10530000180006027</v>
      </c>
      <c r="V93" s="158">
        <f t="shared" si="1"/>
        <v>0.10530000180006027</v>
      </c>
      <c r="W93" s="158">
        <v>0.10530000180006027</v>
      </c>
      <c r="X93" s="158">
        <v>0.10499999672174454</v>
      </c>
      <c r="Y93" s="158">
        <v>0.1046999990940094</v>
      </c>
      <c r="Z93" s="158">
        <v>0.10450000315904617</v>
      </c>
      <c r="AA93" s="158">
        <v>0.10419999808073044</v>
      </c>
      <c r="AB93" s="158">
        <v>0.10400000214576721</v>
      </c>
      <c r="AC93" s="158">
        <v>0.10400000214576721</v>
      </c>
      <c r="AD93" s="158">
        <v>0.10409999638795853</v>
      </c>
      <c r="AE93" s="158">
        <v>0.1039000004529953</v>
      </c>
      <c r="AF93" s="158">
        <v>0.10350000113248825</v>
      </c>
    </row>
    <row r="94" spans="1:32" x14ac:dyDescent="0.2">
      <c r="A94" s="156" t="s">
        <v>468</v>
      </c>
      <c r="B94" s="156">
        <f>$B$55-AVERAGE($B$58,$B$59,$B$60,$B$61,$B$62,$B$63,$B$64,$B$65,$B$66,$B$67,$B$68,$B$69,$B$70,$B$71,$B$72,$B$73,$B$74,$B$75,$B$76,$B$77,$B$78,$B$79,$B$80,$B$81,$B$82,$B$83,$B$84,$B$85,$B$86,$B$87,$B$88,$B$89,$B$90,$B$91,$B$92,$B$93)</f>
        <v>4.2777773406770525E-3</v>
      </c>
      <c r="C94" s="156">
        <f>$C$55-AVERAGE($C$58,$C$59,$C$60,$C$61,$C$62,$C$63,$C$64,$C$65,$C$66,$C$67,$C$68,$C$69,$C$70,$C$71,$C$72,$C$73,$C$74,$C$75,$C$76,$C$77,$C$78,$C$79,$C$80,$C$81,$C$82,$C$83,$C$84,$C$85,$C$86,$C$87,$C$88,$C$89,$C$90,$C$91,$C$92,$C$93)</f>
        <v>6.244441494345665E-3</v>
      </c>
      <c r="D94" s="156">
        <f>$D$55-AVERAGE($D$58,$D$59,$D$60,$D$61,$D$62,$D$63,$D$64,$D$65,$D$66,$D$67,$D$68,$D$69,$D$70,$D$71,$D$72,$D$73,$D$74,$D$75,$D$76,$D$77,$D$78,$D$79,$D$80,$D$81,$D$82,$D$83,$D$84,$D$85,$D$86,$D$87,$D$88,$D$89,$D$90,$D$91,$D$92,$D$93)</f>
        <v>5.7444458620415778E-3</v>
      </c>
      <c r="E94" s="156">
        <f>$E$55-AVERAGE($E$58,$E$59,$E$60,$E$61,$E$62,$E$63,$E$64,$E$65,$E$66,$E$67,$E$68,$E$69,$E$70,$E$71,$E$72,$E$73,$E$74,$E$75,$E$76,$E$77,$E$78,$E$79,$E$80,$E$81,$E$82,$E$83,$E$84,$E$85,$E$86,$E$87,$E$88,$E$89,$E$90,$E$91,$E$92,$E$93)</f>
        <v>4.9694412284427281E-3</v>
      </c>
      <c r="F94" s="156">
        <f>$F$55-AVERAGE($F$58,$F$59,$F$60,$F$61,$F$62,$F$63,$F$64,$F$65,$F$66,$F$67,$F$68,$F$69,$F$70,$F$71,$F$72,$F$73,$F$74,$F$75,$F$76,$F$77,$F$78,$F$79,$F$80,$F$81,$F$82,$F$83,$F$84,$F$85,$F$86,$F$87,$F$88,$F$89,$F$90,$F$91,$F$92,$F$93)</f>
        <v>6.06944370600912E-3</v>
      </c>
      <c r="G94" s="156">
        <f>$G$55-AVERAGE($G$58,$G$59,$G$60,$G$61,$G$62,$G$63,$G$64,$G$65,$G$66,$G$67,$G$68,$G$69,$G$70,$G$71,$G$72,$G$73,$G$74,$G$75,$G$76,$G$77,$G$78,$G$79,$G$80,$G$81,$G$82,$G$83,$G$84,$G$85,$G$86,$G$87,$G$88,$G$89,$G$90,$G$91,$G$92,$G$93)</f>
        <v>7.7888882822460537E-3</v>
      </c>
      <c r="H94" s="156">
        <f>$H$55-AVERAGE($H$58,$H$59,$H$60,$H$61,$H$62,$H$63,$H$64,$H$65,$H$66,$H$67,$H$68,$H$69,$H$70,$H$71,$H$72,$H$73,$H$74,$H$75,$H$76,$H$77,$H$78,$H$79,$H$80,$H$81,$H$82,$H$83,$H$84,$H$85,$H$86,$H$87,$H$88,$H$89,$H$90,$H$91,$H$92,$H$93)</f>
        <v>1.1208336179455117E-2</v>
      </c>
      <c r="I94" s="156">
        <f>$I$55-AVERAGE($I$58,$I$59,$I$60,$I$61,$I$62,$I$63,$I$64,$I$65,$I$66,$I$67,$I$68,$I$69,$I$70,$I$71,$I$72,$I$73,$I$74,$I$75,$I$76,$I$77,$I$78,$I$79,$I$80,$I$81,$I$82,$I$83,$I$84,$I$85,$I$86,$I$87,$I$88,$I$89,$I$90,$I$91,$I$92,$I$93)</f>
        <v>1.7044446948501796E-2</v>
      </c>
      <c r="J94" s="156">
        <f>$J$55-AVERAGE($J$58,$J$59,$J$60,$J$61,$J$62,$J$63,$J$64,$J$65,$J$66,$J$67,$J$68,$J$69,$J$70,$J$71,$J$72,$J$73,$J$74,$J$75,$J$76,$J$77,$J$78,$J$79,$J$80,$J$81,$J$82,$J$83,$J$84,$J$85,$J$86,$J$87,$J$88,$J$89,$J$90,$J$91,$J$92,$J$93)</f>
        <v>2.6094450925787285E-2</v>
      </c>
      <c r="K94" s="156">
        <f>$K$55-AVERAGE($K$58,$K$59,$K$60,$K$61,$K$62,$K$63,$K$64,$K$65,$K$66,$K$67,$K$68,$K$69,$K$70,$K$71,$K$72,$K$73,$K$74,$K$75,$K$76,$K$77,$K$78,$K$79,$K$80,$K$81,$K$82,$K$83,$K$84,$K$85,$K$86,$K$87,$K$88,$K$89,$K$90,$K$91,$K$92,$K$93)</f>
        <v>3.9819444219271347E-2</v>
      </c>
      <c r="L94" s="156">
        <f>$L$55-AVERAGE($L$58,$L$59,$L$60,$L$61,$L$62,$L$63,$L$64,$L$65,$L$66,$L$67,$L$68,$L$69,$L$70,$L$71,$L$72,$L$73,$L$74,$L$75,$L$76,$L$77,$L$78,$L$79,$L$80,$L$81,$L$82,$L$83,$L$84,$L$85,$L$86,$L$87,$L$88,$L$89,$L$90,$L$91,$L$92,$L$93)</f>
        <v>5.8894440117809504E-2</v>
      </c>
      <c r="M94" s="156">
        <f>$M$55-AVERAGE($M$58,$M$59,$M$60,$M$61,$M$62,$M$63,$M$64,$M$65,$M$66,$M$67,$M$68,$M$69,$M$70,$M$71,$M$72,$M$73,$M$74,$M$75,$M$76,$M$77,$M$78,$M$79,$M$80,$M$81,$M$82,$M$83,$M$84,$M$85,$M$86,$M$87,$M$88,$M$89,$M$90,$M$91,$M$92,$M$93)</f>
        <v>8.3977777096960277E-2</v>
      </c>
      <c r="N94" s="156">
        <f>$N$55-AVERAGE($N$58,$N$59,$N$60,$N$61,$N$62,$N$63,$N$64,$N$65,$N$66,$N$67,$N$68,$N$69,$N$70,$N$71,$N$72,$N$73,$N$74,$N$75,$N$76,$N$77,$N$78,$N$79,$N$80,$N$81,$N$82,$N$83,$N$84,$N$85,$N$86,$N$87,$N$88,$N$89,$N$90,$N$91,$N$92,$N$93)</f>
        <v>0.11322777801089817</v>
      </c>
      <c r="O94" s="156">
        <f>$O$55-AVERAGE($O$58,$O$59,$O$60,$O$61,$O$62,$O$63,$O$64,$O$65,$O$66,$O$67,$O$68,$O$69,$O$70,$O$71,$O$72,$O$73,$O$74,$O$75,$O$76,$O$77,$O$78,$O$79,$O$80,$O$81,$O$82,$O$83,$O$84,$O$85,$O$86,$O$87,$O$88,$O$89,$O$90,$O$91,$O$92,$O$93)</f>
        <v>0.1477027918315596</v>
      </c>
      <c r="P94" s="156">
        <f>$P$55-AVERAGE($P$58,$P$59,$P$60,$P$61,$P$62,$P$63,$P$64,$P$65,$P$66,$P$67,$P$68,$P$69,$P$70,$P$71,$P$72,$P$73,$P$74,$P$75,$P$76,$P$77,$P$78,$P$79,$P$80,$P$81,$P$82,$P$83,$P$84,$P$85,$P$86,$P$87,$P$88,$P$89,$P$90,$P$91,$P$92,$P$93)</f>
        <v>0.18891943784223664</v>
      </c>
      <c r="Q94" s="156">
        <f>$Q$55-AVERAGE($Q$58,$Q$59,$Q$60,$Q$61,$Q$62,$Q$63,$Q$64,$Q$65,$Q$66,$Q$67,$Q$68,$Q$69,$Q$70,$Q$71,$Q$72,$Q$73,$Q$74,$Q$75,$Q$76,$Q$77,$Q$78,$Q$79,$Q$80,$Q$81,$Q$82,$Q$83,$Q$84,$Q$85,$Q$86,$Q$87,$Q$88,$Q$89,$Q$90,$Q$91,$Q$92,$Q$93)</f>
        <v>0.23362221258382004</v>
      </c>
      <c r="R94" s="156">
        <f>$R$55-AVERAGE($R$58,$R$59,$R$60,$R$61,$R$62,$R$63,$R$64,$R$65,$R$66,$R$67,$R$68,$R$69,$R$70,$R$71,$R$72,$R$73,$R$74,$R$75,$R$76,$R$77,$R$78,$R$79,$R$80,$R$81,$R$82,$R$83,$R$84,$R$85,$R$86,$R$87,$R$88,$R$89,$R$90,$R$91,$R$92,$R$93)</f>
        <v>0.27981666413446266</v>
      </c>
      <c r="S94" s="156">
        <f>$S$55-AVERAGE($S$58,$S$59,$S$60,$S$61,$S$62,$S$63,$S$64,$S$65,$S$66,$S$67,$S$68,$S$69,$S$70,$S$71,$S$72,$S$73,$S$74,$S$75,$S$76,$S$77,$S$78,$S$79,$S$80,$S$81,$S$82,$S$83,$S$84,$S$85,$S$86,$S$87,$S$88,$S$89,$S$90,$S$91,$S$92,$S$93)</f>
        <v>0.31694444496598506</v>
      </c>
      <c r="T94" s="156">
        <f>$T$55-AVERAGE($T$58,$T$59,$T$60,$T$61,$T$62,$T$63,$T$64,$T$65,$T$66,$T$67,$T$68,$T$69,$T$70,$T$71,$T$72,$T$73,$T$74,$T$75,$T$76,$T$77,$T$78,$T$79,$T$80,$T$81,$T$82,$T$83,$T$84,$T$85,$T$86,$T$87,$T$88,$T$89,$T$90,$T$91,$T$92,$T$93)</f>
        <v>0.35493333823978901</v>
      </c>
      <c r="U94" s="156">
        <f>$U$55-AVERAGE($U$58,$U$59,$U$60,$U$61,$U$62,$U$63,$U$64,$U$65,$U$66,$U$67,$U$68,$U$69,$U$70,$U$71,$U$72,$U$73,$U$74,$U$75,$U$76,$U$77,$U$78,$U$79,$U$80,$U$81,$U$82,$U$83,$U$84,$U$85,$U$86,$U$87,$U$88,$U$89,$U$90,$U$91,$U$92,$U$93)</f>
        <v>0.3762666765186522</v>
      </c>
      <c r="V94" s="156">
        <f>$V$55-AVERAGE($V$58,$V$59,$V$60,$V$61,$V$62,$V$63,$V$64,$V$65,$V$66,$V$67,$V$68,$V$69,$V$70,$V$71,$V$72,$V$73,$V$74,$V$75,$V$76,$V$77,$V$78,$V$79,$V$80,$V$81,$V$82,$V$83,$V$84,$V$85,$V$86,$V$87,$V$88,$V$89,$V$90,$V$91,$V$92,$V$93)</f>
        <v>0.38849862716678119</v>
      </c>
      <c r="W94" s="156">
        <f>$W$55-AVERAGE($W$58,$W$59,$W$60,$W$61,$W$62,$W$63,$W$64,$W$65,$W$66,$W$67,$W$68,$W$69,$W$70,$W$71,$W$72,$W$73,$W$74,$W$75,$W$76,$W$77,$W$78,$W$79,$W$80,$W$81,$W$82,$W$83,$W$84,$W$85,$W$86,$W$87,$W$88,$W$89,$W$90,$W$91,$W$92,$W$93)</f>
        <v>0.40073057781491017</v>
      </c>
      <c r="X94" s="156">
        <f>$X$55-AVERAGE($X$58,$X$59,$X$60,$X$61,$X$62,$X$63,$X$64,$X$65,$X$66,$X$67,$X$68,$X$69,$X$70,$X$71,$X$72,$X$73,$X$74,$X$75,$X$76,$X$77,$X$78,$X$79,$X$80,$X$81,$X$82,$X$83,$X$84,$X$85,$X$86,$X$87,$X$88,$X$89,$X$90,$X$91,$X$92,$X$93)</f>
        <v>0.4112889085792833</v>
      </c>
      <c r="Y94" s="156">
        <f>$Y$55-AVERAGE($Y$58,$Y$59,$Y$60,$Y$61,$Y$62,$Y$63,$Y$64,$Y$65,$Y$66,$Y$67,$Y$68,$Y$69,$Y$70,$Y$71,$Y$72,$Y$73,$Y$74,$Y$75,$Y$76,$Y$77,$Y$78,$Y$79,$Y$80,$Y$81,$Y$82,$Y$83,$Y$84,$Y$85,$Y$86,$Y$87,$Y$88,$Y$89,$Y$90,$Y$91,$Y$92,$Y$93)</f>
        <v>0.4212499772095018</v>
      </c>
      <c r="Z94" s="156">
        <f>$Z$55-AVERAGE($Z$58,$Z$59,$Z$60,$Z$61,$Z$62,$Z$63,$Z$64,$Z$65,$Z$66,$Z$67,$Z$68,$Z$69,$Z$70,$Z$71,$Z$72,$Z$73,$Z$74,$Z$75,$Z$76,$Z$77,$Z$78,$Z$79,$Z$80,$Z$81,$Z$82,$Z$83,$Z$84,$Z$85,$Z$86,$Z$87,$Z$88,$Z$89,$Z$90,$Z$91,$Z$92,$Z$93)</f>
        <v>0.43241112472282517</v>
      </c>
      <c r="AA94" s="156">
        <f>$AA$55-AVERAGE($AA$58,$AA$59,$AA$60,$AA$61,$AA$62,$AA$63,$AA$64,$AA$65,$AA$66,$AA$67,$AA$68,$AA$69,$AA$70,$AA$71,$AA$72,$AA$73,$AA$74,$AA$75,$AA$76,$AA$77,$AA$78,$AA$79,$AA$80,$AA$81,$AA$82,$AA$83,$AA$84,$AA$85,$AA$86,$AA$87,$AA$88,$AA$89,$AA$90,$AA$91,$AA$92,$AA$93)</f>
        <v>0.43842775726483929</v>
      </c>
      <c r="AB94" s="156">
        <f>$AB$55-AVERAGE($AB$58,$AB$59,$AB$60,$AB$61,$AB$62,$AB$63,$AB$64,$AB$65,$AB$66,$AB$67,$AB$68,$AB$69,$AB$70,$AB$71,$AB$72,$AB$73,$AB$74,$AB$75,$AB$76,$AB$77,$AB$78,$AB$79,$AB$80,$AB$81,$AB$82,$AB$83,$AB$84,$AB$85,$AB$86,$AB$87,$AB$88,$AB$89,$AB$90,$AB$91,$AB$92,$AB$93)</f>
        <v>0.44282775496443111</v>
      </c>
      <c r="AC94" s="156">
        <f>$AC$55-AVERAGE($AC$58,$AC$59,$AC$60,$AC$61,$AC$62,$AC$63,$AC$64,$AC$65,$AC$66,$AC$67,$AC$68,$AC$69,$AC$70,$AC$71,$AC$72,$AC$73,$AC$74,$AC$75,$AC$76,$AC$77,$AC$78,$AC$79,$AC$80,$AC$81,$AC$82,$AC$83,$AC$84,$AC$85,$AC$86,$AC$87,$AC$88,$AC$89,$AC$90,$AC$91,$AC$92,$AC$93)</f>
        <v>0.44858052560852635</v>
      </c>
      <c r="AD94" s="156">
        <f>$AD$55-AVERAGE($AD$58,$AD$59,$AD$60,$AD$61,$AD$62,$AD$63,$AD$64,$AD$65,$AD$66,$AD$67,$AD$68,$AD$69,$AD$70,$AD$71,$AD$72,$AD$73,$AD$74,$AD$75,$AD$76,$AD$77,$AD$78,$AD$79,$AD$80,$AD$81,$AD$82,$AD$83,$AD$84,$AD$85,$AD$86,$AD$87,$AD$88,$AD$89,$AD$90,$AD$91,$AD$92,$AD$93)</f>
        <v>0.45519999228417873</v>
      </c>
      <c r="AE94" s="156">
        <f>$AE$55-AVERAGE($AE$58,$AE$59,$AE$60,$AE$61,$AE$62,$AE$63,$AE$64,$AE$65,$AE$66,$AE$67,$AE$68,$AE$69,$AE$70,$AE$71,$AE$72,$AE$73,$AE$74,$AE$75,$AE$76,$AE$77,$AE$78,$AE$79,$AE$80,$AE$81,$AE$82,$AE$83,$AE$84,$AE$85,$AE$86,$AE$87,$AE$88,$AE$89,$AE$90,$AE$91,$AE$92,$AE$93)</f>
        <v>0.46133888036840492</v>
      </c>
      <c r="AF94" s="156">
        <f>$AF$55-AVERAGE($AF$58,$AF$59,$AF$60,$AF$61,$AF$62,$AF$63,$AF$64,$AF$65,$AF$66,$AF$67,$AF$68,$AF$69,$AF$70,$AF$71,$AF$72,$AF$73,$AF$74,$AF$75,$AF$76,$AF$77,$AF$78,$AF$79,$AF$80,$AF$81,$AF$82,$AF$83,$AF$84,$AF$85,$AF$86,$AF$87,$AF$88,$AF$89,$AF$90,$AF$91,$AF$92,$AF$93)</f>
        <v>0.47108889722989666</v>
      </c>
    </row>
    <row r="95" spans="1:32" x14ac:dyDescent="0.2">
      <c r="A95" s="157" t="s">
        <v>469</v>
      </c>
      <c r="B95" s="157">
        <f>$B$56-AVERAGE($B$58,$B$59,$B$60,$B$61,$B$62,$B$63,$B$64,$B$65,$B$66,$B$68,$B$69,$B$70,$B$71,$B$72,$B$73,$B$74,$B$75,$B$76,$B$77,$B$78,$B$79,$B$80,$B$81,$B$82,$B$83,$B$84,$B$85,$B$86,$B$87,$B$88,$B$89,$B$90,$B$91,$B$92,$B$93)</f>
        <v>1.7628573945590448E-3</v>
      </c>
      <c r="C95" s="157">
        <f>$C$56-AVERAGE($C$58,$C$59,$C$60,$C$61,$C$62,$C$63,$C$64,$C$65,$C$66,$C$68,$C$69,$C$70,$C$71,$C$72,$C$73,$C$74,$C$75,$C$76,$C$77,$C$78,$C$79,$C$80,$C$81,$C$82,$C$83,$C$84,$C$85,$C$86,$C$87,$C$88,$C$89,$C$90,$C$91,$C$92,$C$93)</f>
        <v>1.8999970385006476E-3</v>
      </c>
      <c r="D95" s="157">
        <f>$D$56-AVERAGE($D$58,$D$59,$D$60,$D$61,$D$62,$D$63,$D$64,$D$65,$D$66,$D$68,$D$69,$D$70,$D$71,$D$72,$D$73,$D$74,$D$75,$D$76,$D$77,$D$78,$D$79,$D$80,$D$81,$D$82,$D$83,$D$84,$D$85,$D$86,$D$87,$D$88,$D$89,$D$90,$D$91,$D$92,$D$93)</f>
        <v>2.1085698689733284E-3</v>
      </c>
      <c r="E95" s="157">
        <f>$E$56-AVERAGE($E$58,$E$59,$E$60,$E$61,$E$62,$E$63,$E$64,$E$65,$E$66,$E$68,$E$69,$E$70,$E$71,$E$72,$E$73,$E$74,$E$75,$E$76,$E$77,$E$78,$E$79,$E$80,$E$81,$E$82,$E$83,$E$84,$E$85,$E$86,$E$87,$E$88,$E$89,$E$90,$E$91,$E$92,$E$93)</f>
        <v>2.6285722851753235E-3</v>
      </c>
      <c r="F95" s="157">
        <f>$F$56-AVERAGE($F$58,$F$59,$F$60,$F$61,$F$62,$F$63,$F$64,$F$65,$F$66,$F$68,$F$69,$F$70,$F$71,$F$72,$F$73,$F$74,$F$75,$F$76,$F$77,$F$78,$F$79,$F$80,$F$81,$F$82,$F$83,$F$84,$F$85,$F$86,$F$87,$F$88,$F$89,$F$90,$F$91,$F$92,$F$93)</f>
        <v>3.5285713417189529E-3</v>
      </c>
      <c r="G95" s="157">
        <f>$G$56-AVERAGE($G$58,$G$59,$G$60,$G$61,$G$62,$G$63,$G$64,$G$65,$G$66,$G$68,$G$69,$G$70,$G$71,$G$72,$G$73,$G$74,$G$75,$G$76,$G$77,$G$78,$G$79,$G$80,$G$81,$G$82,$G$83,$G$84,$G$85,$G$86,$G$87,$G$88,$G$89,$G$90,$G$91,$G$92,$G$93)</f>
        <v>5.854288595063345E-3</v>
      </c>
      <c r="H95" s="157">
        <f>$H$56-AVERAGE($H$58,$H$59,$H$60,$H$61,$H$62,$H$63,$H$64,$H$65,$H$66,$H$68,$H$69,$H$70,$H$71,$H$72,$H$73,$H$74,$H$75,$H$76,$H$77,$H$78,$H$79,$H$80,$H$81,$H$82,$H$83,$H$84,$H$85,$H$86,$H$87,$H$88,$H$89,$H$90,$H$91,$H$92,$H$93)</f>
        <v>9.765713981219698E-3</v>
      </c>
      <c r="I95" s="157">
        <f>$I$56-AVERAGE($I$58,$I$59,$I$60,$I$61,$I$62,$I$63,$I$64,$I$65,$I$66,$I$68,$I$69,$I$70,$I$71,$I$72,$I$73,$I$74,$I$75,$I$76,$I$77,$I$78,$I$79,$I$80,$I$81,$I$82,$I$83,$I$84,$I$85,$I$86,$I$87,$I$88,$I$89,$I$90,$I$91,$I$92,$I$93)</f>
        <v>1.6100000483649124E-2</v>
      </c>
      <c r="J95" s="157">
        <f>$J$56-AVERAGE($J$58,$J$59,$J$60,$J$61,$J$62,$J$63,$J$64,$J$65,$J$66,$J$68,$J$69,$J$70,$J$71,$J$72,$J$73,$J$74,$J$75,$J$76,$J$77,$J$78,$J$79,$J$80,$J$81,$J$82,$J$83,$J$84,$J$85,$J$86,$J$87,$J$88,$J$89,$J$90,$J$91,$J$92,$J$93)</f>
        <v>2.6354280752795084E-2</v>
      </c>
      <c r="K95" s="157">
        <f>$K$56-AVERAGE($K$58,$K$59,$K$60,$K$61,$K$62,$K$63,$K$64,$K$65,$K$66,$K$68,$K$69,$K$70,$K$71,$K$72,$K$73,$K$74,$K$75,$K$76,$K$77,$K$78,$K$79,$K$80,$K$81,$K$82,$K$83,$K$84,$K$85,$K$86,$K$87,$K$88,$K$89,$K$90,$K$91,$K$92,$K$93)</f>
        <v>4.1271422164780747E-2</v>
      </c>
      <c r="L95" s="157">
        <f>$L$56-AVERAGE($L$58,$L$59,$L$60,$L$61,$L$62,$L$63,$L$64,$L$65,$L$66,$L$68,$L$69,$L$70,$L$71,$L$72,$L$73,$L$74,$L$75,$L$76,$L$77,$L$78,$L$79,$L$80,$L$81,$L$82,$L$83,$L$84,$L$85,$L$86,$L$87,$L$88,$L$89,$L$90,$L$91,$L$92,$L$93)</f>
        <v>6.2262863985129771E-2</v>
      </c>
      <c r="M95" s="157">
        <f>$M$56-AVERAGE($M$58,$M$59,$M$60,$M$61,$M$62,$M$63,$M$64,$M$65,$M$66,$M$68,$M$69,$M$70,$M$71,$M$72,$M$73,$M$74,$M$75,$M$76,$M$77,$M$78,$M$79,$M$80,$M$81,$M$82,$M$83,$M$84,$M$85,$M$86,$M$87,$M$88,$M$89,$M$90,$M$91,$M$92,$M$93)</f>
        <v>8.9345713811261315E-2</v>
      </c>
      <c r="N95" s="157">
        <f>$N$56-AVERAGE($N$58,$N$59,$N$60,$N$61,$N$62,$N$63,$N$64,$N$65,$N$66,$N$68,$N$69,$N$70,$N$71,$N$72,$N$73,$N$74,$N$75,$N$76,$N$77,$N$78,$N$79,$N$80,$N$81,$N$82,$N$83,$N$84,$N$85,$N$86,$N$87,$N$88,$N$89,$N$90,$N$91,$N$92,$N$93)</f>
        <v>0.12050285999264036</v>
      </c>
      <c r="O95" s="157">
        <f>$O$56-AVERAGE($O$58,$O$59,$O$60,$O$61,$O$62,$O$63,$O$64,$O$65,$O$66,$O$68,$O$69,$O$70,$O$71,$O$72,$O$73,$O$74,$O$75,$O$76,$O$77,$O$78,$O$79,$O$80,$O$81,$O$82,$O$83,$O$84,$O$85,$O$86,$O$87,$O$88,$O$89,$O$90,$O$91,$O$92,$O$93)</f>
        <v>0.15717999424253193</v>
      </c>
      <c r="P95" s="157">
        <f>$P$56-AVERAGE($P$58,$P$59,$P$60,$P$61,$P$62,$P$63,$P$64,$P$65,$P$66,$P$68,$P$69,$P$70,$P$71,$P$72,$P$73,$P$74,$P$75,$P$76,$P$77,$P$78,$P$79,$P$80,$P$81,$P$82,$P$83,$P$84,$P$85,$P$86,$P$87,$P$88,$P$89,$P$90,$P$91,$P$92,$P$93)</f>
        <v>0.20098855942487717</v>
      </c>
      <c r="Q95" s="157">
        <f>$Q$56-AVERAGE($Q$58,$Q$59,$Q$60,$Q$61,$Q$62,$Q$63,$Q$64,$Q$65,$Q$66,$Q$68,$Q$69,$Q$70,$Q$71,$Q$72,$Q$73,$Q$74,$Q$75,$Q$76,$Q$77,$Q$78,$Q$79,$Q$80,$Q$81,$Q$82,$Q$83,$Q$84,$Q$85,$Q$86,$Q$87,$Q$88,$Q$89,$Q$90,$Q$91,$Q$92,$Q$93)</f>
        <v>0.24468285483973368</v>
      </c>
      <c r="R95" s="157">
        <f>$R$56-AVERAGE($R$58,$R$59,$R$60,$R$61,$R$62,$R$63,$R$64,$R$65,$R$66,$R$68,$R$69,$R$70,$R$71,$R$72,$R$73,$R$74,$R$75,$R$76,$R$77,$R$78,$R$79,$R$80,$R$81,$R$82,$R$83,$R$84,$R$85,$R$86,$R$87,$R$88,$R$89,$R$90,$R$91,$R$92,$R$93)</f>
        <v>0.28927715037550245</v>
      </c>
      <c r="S95" s="157">
        <f>$S$56-AVERAGE($S$58,$S$59,$S$60,$S$61,$S$62,$S$63,$S$64,$S$65,$S$66,$S$68,$S$69,$S$70,$S$71,$S$72,$S$73,$S$74,$S$75,$S$76,$S$77,$S$78,$S$79,$S$80,$S$81,$S$82,$S$83,$S$84,$S$85,$S$86,$S$87,$S$88,$S$89,$S$90,$S$91,$S$92,$S$93)</f>
        <v>0.3261114192860467</v>
      </c>
      <c r="T95" s="157">
        <f>$T$56-AVERAGE($T$58,$T$59,$T$60,$T$61,$T$62,$T$63,$T$64,$T$65,$T$66,$T$68,$T$69,$T$70,$T$71,$T$72,$T$73,$T$74,$T$75,$T$76,$T$77,$T$78,$T$79,$T$80,$T$81,$T$82,$T$83,$T$84,$T$85,$T$86,$T$87,$T$88,$T$89,$T$90,$T$91,$T$92,$T$93)</f>
        <v>0.36308857926300592</v>
      </c>
      <c r="U95" s="157">
        <f>$U$56-AVERAGE($U$58,$U$59,$U$60,$U$61,$U$62,$U$63,$U$64,$U$65,$U$66,$U$68,$U$69,$U$70,$U$71,$U$72,$U$73,$U$74,$U$75,$U$76,$U$77,$U$78,$U$79,$U$80,$U$81,$U$82,$U$83,$U$84,$U$85,$U$86,$U$87,$U$88,$U$89,$U$90,$U$91,$U$92,$U$93)</f>
        <v>0.3790314393384116</v>
      </c>
      <c r="V95" s="157">
        <f>$V$56-AVERAGE($V$58,$V$59,$V$60,$V$61,$V$62,$V$63,$V$64,$V$65,$V$66,$V$68,$V$69,$V$70,$V$71,$V$72,$V$73,$V$74,$V$75,$V$76,$V$77,$V$78,$V$79,$V$80,$V$81,$V$82,$V$83,$V$84,$V$85,$V$86,$V$87,$V$88,$V$89,$V$90,$V$91,$V$92,$V$93)</f>
        <v>0.390658563375473</v>
      </c>
      <c r="W95" s="157">
        <f>$W$56-AVERAGE($W$58,$W$59,$W$60,$W$61,$W$62,$W$63,$W$64,$W$65,$W$66,$W$68,$W$69,$W$70,$W$71,$W$72,$W$73,$W$74,$W$75,$W$76,$W$77,$W$78,$W$79,$W$80,$W$81,$W$82,$W$83,$W$84,$W$85,$W$86,$W$87,$W$88,$W$89,$W$90,$W$91,$W$92,$W$93)</f>
        <v>0.40228568741253445</v>
      </c>
      <c r="X95" s="157">
        <f>$X$56-AVERAGE($X$58,$X$59,$X$60,$X$61,$X$62,$X$63,$X$64,$X$65,$X$66,$X$68,$X$69,$X$70,$X$71,$X$72,$X$73,$X$74,$X$75,$X$76,$X$77,$X$78,$X$79,$X$80,$X$81,$X$82,$X$83,$X$84,$X$85,$X$86,$X$87,$X$88,$X$89,$X$90,$X$91,$X$92,$X$93)</f>
        <v>0.41133716255426406</v>
      </c>
      <c r="Y95" s="157">
        <f>$Y$56-AVERAGE($Y$58,$Y$59,$Y$60,$Y$61,$Y$62,$Y$63,$Y$64,$Y$65,$Y$66,$Y$68,$Y$69,$Y$70,$Y$71,$Y$72,$Y$73,$Y$74,$Y$75,$Y$76,$Y$77,$Y$78,$Y$79,$Y$80,$Y$81,$Y$82,$Y$83,$Y$84,$Y$85,$Y$86,$Y$87,$Y$88,$Y$89,$Y$90,$Y$91,$Y$92,$Y$93)</f>
        <v>0.42120573456798283</v>
      </c>
      <c r="Z95" s="157">
        <f>$Z$56-AVERAGE($Z$58,$Z$59,$Z$60,$Z$61,$Z$62,$Z$63,$Z$64,$Z$65,$Z$66,$Z$68,$Z$69,$Z$70,$Z$71,$Z$72,$Z$73,$Z$74,$Z$75,$Z$76,$Z$77,$Z$78,$Z$79,$Z$80,$Z$81,$Z$82,$Z$83,$Z$84,$Z$85,$Z$86,$Z$87,$Z$88,$Z$89,$Z$90,$Z$91,$Z$92,$Z$93)</f>
        <v>0.43087141513824462</v>
      </c>
      <c r="AA95" s="157">
        <f>$AA$56-AVERAGE($AA$58,$AA$59,$AA$60,$AA$61,$AA$62,$AA$63,$AA$64,$AA$65,$AA$66,$AA$68,$AA$69,$AA$70,$AA$71,$AA$72,$AA$73,$AA$74,$AA$75,$AA$76,$AA$77,$AA$78,$AA$79,$AA$80,$AA$81,$AA$82,$AA$83,$AA$84,$AA$85,$AA$86,$AA$87,$AA$88,$AA$89,$AA$90,$AA$91,$AA$92,$AA$93)</f>
        <v>0.43505429710660659</v>
      </c>
      <c r="AB95" s="157">
        <f>$AB$56-AVERAGE($AB$58,$AB$59,$AB$60,$AB$61,$AB$62,$AB$63,$AB$64,$AB$65,$AB$66,$AB$68,$AB$69,$AB$70,$AB$71,$AB$72,$AB$73,$AB$74,$AB$75,$AB$76,$AB$77,$AB$78,$AB$79,$AB$80,$AB$81,$AB$82,$AB$83,$AB$84,$AB$85,$AB$86,$AB$87,$AB$88,$AB$89,$AB$90,$AB$91,$AB$92,$AB$93)</f>
        <v>0.44047142480100904</v>
      </c>
      <c r="AC95" s="157">
        <f>$AC$56-AVERAGE($AC$58,$AC$59,$AC$60,$AC$61,$AC$62,$AC$63,$AC$64,$AC$65,$AC$66,$AC$68,$AC$69,$AC$70,$AC$71,$AC$72,$AC$73,$AC$74,$AC$75,$AC$76,$AC$77,$AC$78,$AC$79,$AC$80,$AC$81,$AC$82,$AC$83,$AC$84,$AC$85,$AC$86,$AC$87,$AC$88,$AC$89,$AC$90,$AC$91,$AC$92,$AC$93)</f>
        <v>0.44531144712652482</v>
      </c>
      <c r="AD95" s="157">
        <f>$AD$56-AVERAGE($AD$58,$AD$59,$AD$60,$AD$61,$AD$62,$AD$63,$AD$64,$AD$65,$AD$66,$AD$68,$AD$69,$AD$70,$AD$71,$AD$72,$AD$73,$AD$74,$AD$75,$AD$76,$AD$77,$AD$78,$AD$79,$AD$80,$AD$81,$AD$82,$AD$83,$AD$84,$AD$85,$AD$86,$AD$87,$AD$88,$AD$89,$AD$90,$AD$91,$AD$92,$AD$93)</f>
        <v>0.45035429937498911</v>
      </c>
      <c r="AE95" s="157">
        <f>$AE$56-AVERAGE($AE$58,$AE$59,$AE$60,$AE$61,$AE$62,$AE$63,$AE$64,$AE$65,$AE$66,$AE$68,$AE$69,$AE$70,$AE$71,$AE$72,$AE$73,$AE$74,$AE$75,$AE$76,$AE$77,$AE$78,$AE$79,$AE$80,$AE$81,$AE$82,$AE$83,$AE$84,$AE$85,$AE$86,$AE$87,$AE$88,$AE$89,$AE$90,$AE$91,$AE$92,$AE$93)</f>
        <v>0.45678857437201908</v>
      </c>
      <c r="AF95" s="157">
        <f>$AF$56-AVERAGE($AF$58,$AF$59,$AF$60,$AF$61,$AF$62,$AF$63,$AF$64,$AF$65,$AF$66,$AF$68,$AF$69,$AF$70,$AF$71,$AF$72,$AF$73,$AF$74,$AF$75,$AF$76,$AF$77,$AF$78,$AF$79,$AF$80,$AF$81,$AF$82,$AF$83,$AF$84,$AF$85,$AF$86,$AF$87,$AF$88,$AF$89,$AF$90,$AF$91,$AF$92,$AF$93)</f>
        <v>0.46222573582615173</v>
      </c>
    </row>
    <row r="96" spans="1:32" x14ac:dyDescent="0.2">
      <c r="A96" s="168" t="s">
        <v>470</v>
      </c>
      <c r="B96" s="168">
        <f>$B$57-AVERAGE($B$58,$B$59,$B$60,$B$61,$B$62,$B$63,$B$64,$B$65,$B$66,$B$68,$B$69,$B$70,$B$71,$B$72,$B$73,$B$74,$B$75,$B$76,$B$77,$B$78,$B$79,$B$80,$B$81,$B$82,$B$83,$B$84,$B$85,$B$86,$B$87,$B$88,$B$89,$B$90,$B$91,$B$92,$B$93)</f>
        <v>1.7628573945590448E-3</v>
      </c>
      <c r="C96" s="168">
        <f>$C$57-AVERAGE($C$58,$C$59,$C$60,$C$61,$C$62,$C$63,$C$64,$C$65,$C$66,$C$68,$C$69,$C$70,$C$71,$C$72,$C$73,$C$74,$C$75,$C$76,$C$77,$C$78,$C$79,$C$80,$C$81,$C$82,$C$83,$C$84,$C$85,$C$86,$C$87,$C$88,$C$89,$C$90,$C$91,$C$92,$C$93)</f>
        <v>1.8999970385006476E-3</v>
      </c>
      <c r="D96" s="168">
        <f>$D$57-AVERAGE($D$58,$D$59,$D$60,$D$61,$D$62,$D$63,$D$64,$D$65,$D$66,$D$68,$D$69,$D$70,$D$71,$D$72,$D$73,$D$74,$D$75,$D$76,$D$77,$D$78,$D$79,$D$80,$D$81,$D$82,$D$83,$D$84,$D$85,$D$86,$D$87,$D$88,$D$89,$D$90,$D$91,$D$92,$D$93)</f>
        <v>2.1085698689733284E-3</v>
      </c>
      <c r="E96" s="168">
        <f>$E$57-AVERAGE($E$58,$E$59,$E$60,$E$61,$E$62,$E$63,$E$64,$E$65,$E$66,$E$68,$E$69,$E$70,$E$71,$E$72,$E$73,$E$74,$E$75,$E$76,$E$77,$E$78,$E$79,$E$80,$E$81,$E$82,$E$83,$E$84,$E$85,$E$86,$E$87,$E$88,$E$89,$E$90,$E$91,$E$92,$E$93)</f>
        <v>2.6285722851753235E-3</v>
      </c>
      <c r="F96" s="168">
        <f>$F$57-AVERAGE($F$58,$F$59,$F$60,$F$61,$F$62,$F$63,$F$64,$F$65,$F$66,$F$68,$F$69,$F$70,$F$71,$F$72,$F$73,$F$74,$F$75,$F$76,$F$77,$F$78,$F$79,$F$80,$F$81,$F$82,$F$83,$F$84,$F$85,$F$86,$F$87,$F$88,$F$89,$F$90,$F$91,$F$92,$F$93)</f>
        <v>3.8285689694540909E-3</v>
      </c>
      <c r="G96" s="168">
        <f>$G$57-AVERAGE($G$58,$G$59,$G$60,$G$61,$G$62,$G$63,$G$64,$G$65,$G$66,$G$68,$G$69,$G$70,$G$71,$G$72,$G$73,$G$74,$G$75,$G$76,$G$77,$G$78,$G$79,$G$80,$G$81,$G$82,$G$83,$G$84,$G$85,$G$86,$G$87,$G$88,$G$89,$G$90,$G$91,$G$92,$G$93)</f>
        <v>6.1542862227984829E-3</v>
      </c>
      <c r="H96" s="168">
        <f>$H$57-AVERAGE($H$58,$H$59,$H$60,$H$61,$H$62,$H$63,$H$64,$H$65,$H$66,$H$68,$H$69,$H$70,$H$71,$H$72,$H$73,$H$74,$H$75,$H$76,$H$77,$H$78,$H$79,$H$80,$H$81,$H$82,$H$83,$H$84,$H$85,$H$86,$H$87,$H$88,$H$89,$H$90,$H$91,$H$92,$H$93)</f>
        <v>1.0165713301726748E-2</v>
      </c>
      <c r="I96" s="168">
        <f>$I$57-AVERAGE($I$58,$I$59,$I$60,$I$61,$I$62,$I$63,$I$64,$I$65,$I$66,$I$68,$I$69,$I$70,$I$71,$I$72,$I$73,$I$74,$I$75,$I$76,$I$77,$I$78,$I$79,$I$80,$I$81,$I$82,$I$83,$I$84,$I$85,$I$86,$I$87,$I$88,$I$89,$I$90,$I$91,$I$92,$I$93)</f>
        <v>1.7000000817435135E-2</v>
      </c>
      <c r="J96" s="168">
        <f>$J$57-AVERAGE($J$58,$J$59,$J$60,$J$61,$J$62,$J$63,$J$64,$J$65,$J$66,$J$68,$J$69,$J$70,$J$71,$J$72,$J$73,$J$74,$J$75,$J$76,$J$77,$J$78,$J$79,$J$80,$J$81,$J$82,$J$83,$J$84,$J$85,$J$86,$J$87,$J$88,$J$89,$J$90,$J$91,$J$92,$J$93)</f>
        <v>2.755428616489683E-2</v>
      </c>
      <c r="K96" s="168">
        <f>$K$57-AVERAGE($K$58,$K$59,$K$60,$K$61,$K$62,$K$63,$K$64,$K$65,$K$66,$K$68,$K$69,$K$70,$K$71,$K$72,$K$73,$K$74,$K$75,$K$76,$K$77,$K$78,$K$79,$K$80,$K$81,$K$82,$K$83,$K$84,$K$85,$K$86,$K$87,$K$88,$K$89,$K$90,$K$91,$K$92,$K$93)</f>
        <v>4.297143604074205E-2</v>
      </c>
      <c r="L96" s="168">
        <f>$L$57-AVERAGE($L$58,$L$59,$L$60,$L$61,$L$62,$L$63,$L$64,$L$65,$L$66,$L$68,$L$69,$L$70,$L$71,$L$72,$L$73,$L$74,$L$75,$L$76,$L$77,$L$78,$L$79,$L$80,$L$81,$L$82,$L$83,$L$84,$L$85,$L$86,$L$87,$L$88,$L$89,$L$90,$L$91,$L$92,$L$93)</f>
        <v>6.4462856522628245E-2</v>
      </c>
      <c r="M96" s="168">
        <f>$M$57-AVERAGE($M$58,$M$59,$M$60,$M$61,$M$62,$M$63,$M$64,$M$65,$M$66,$M$68,$M$69,$M$70,$M$71,$M$72,$M$73,$M$74,$M$75,$M$76,$M$77,$M$78,$M$79,$M$80,$M$81,$M$82,$M$83,$M$84,$M$85,$M$86,$M$87,$M$88,$M$89,$M$90,$M$91,$M$92,$M$93)</f>
        <v>9.2145716505391259E-2</v>
      </c>
      <c r="N96" s="168">
        <f>$N$57-AVERAGE($N$58,$N$59,$N$60,$N$61,$N$62,$N$63,$N$64,$N$65,$N$66,$N$68,$N$69,$N$70,$N$71,$N$72,$N$73,$N$74,$N$75,$N$76,$N$77,$N$78,$N$79,$N$80,$N$81,$N$82,$N$83,$N$84,$N$85,$N$86,$N$87,$N$88,$N$89,$N$90,$N$91,$N$92,$N$93)</f>
        <v>0.12380285624946867</v>
      </c>
      <c r="O96" s="168">
        <f>$O$57-AVERAGE($O$58,$O$59,$O$60,$O$61,$O$62,$O$63,$O$64,$O$65,$O$66,$O$68,$O$69,$O$70,$O$71,$O$72,$O$73,$O$74,$O$75,$O$76,$O$77,$O$78,$O$79,$O$80,$O$81,$O$82,$O$83,$O$84,$O$85,$O$86,$O$87,$O$88,$O$89,$O$90,$O$91,$O$92,$O$93)</f>
        <v>0.16217998947416035</v>
      </c>
      <c r="P96" s="168">
        <f>$P$57-AVERAGE($P$58,$P$59,$P$60,$P$61,$P$62,$P$63,$P$64,$P$65,$P$66,$P$68,$P$69,$P$70,$P$71,$P$72,$P$73,$P$74,$P$75,$P$76,$P$77,$P$78,$P$79,$P$80,$P$81,$P$82,$P$83,$P$84,$P$85,$P$86,$P$87,$P$88,$P$89,$P$90,$P$91,$P$92,$P$93)</f>
        <v>0.2060885712504387</v>
      </c>
      <c r="Q96" s="168">
        <f>$Q$57-AVERAGE($Q$58,$Q$59,$Q$60,$Q$61,$Q$62,$Q$63,$Q$64,$Q$65,$Q$66,$Q$68,$Q$69,$Q$70,$Q$71,$Q$72,$Q$73,$Q$74,$Q$75,$Q$76,$Q$77,$Q$78,$Q$79,$Q$80,$Q$81,$Q$82,$Q$83,$Q$84,$Q$85,$Q$86,$Q$87,$Q$88,$Q$89,$Q$90,$Q$91,$Q$92,$Q$93)</f>
        <v>0.24968285007136209</v>
      </c>
      <c r="R96" s="168">
        <f>$R$57-AVERAGE($R$58,$R$59,$R$60,$R$61,$R$62,$R$63,$R$64,$R$65,$R$66,$R$68,$R$69,$R$70,$R$71,$R$72,$R$73,$R$74,$R$75,$R$76,$R$77,$R$78,$R$79,$R$80,$R$81,$R$82,$R$83,$R$84,$R$85,$R$86,$R$87,$R$88,$R$89,$R$90,$R$91,$R$92,$R$93)</f>
        <v>0.2921771547624043</v>
      </c>
      <c r="S96" s="168">
        <f>$S$57-AVERAGE($S$58,$S$59,$S$60,$S$61,$S$62,$S$63,$S$64,$S$65,$S$66,$S$68,$S$69,$S$70,$S$71,$S$72,$S$73,$S$74,$S$75,$S$76,$S$77,$S$78,$S$79,$S$80,$S$81,$S$82,$S$83,$S$84,$S$85,$S$86,$S$87,$S$88,$S$89,$S$90,$S$91,$S$92,$S$93)</f>
        <v>0.32901142367294856</v>
      </c>
      <c r="T96" s="168">
        <f>$T$57-AVERAGE($T$58,$T$59,$T$60,$T$61,$T$62,$T$63,$T$64,$T$65,$T$66,$T$68,$T$69,$T$70,$T$71,$T$72,$T$73,$T$74,$T$75,$T$76,$T$77,$T$78,$T$79,$T$80,$T$81,$T$82,$T$83,$T$84,$T$85,$T$86,$T$87,$T$88,$T$89,$T$90,$T$91,$T$92,$T$93)</f>
        <v>0.3653885734932763</v>
      </c>
      <c r="U96" s="168">
        <f>$U$57-AVERAGE($U$58,$U$59,$U$60,$U$61,$U$62,$U$63,$U$64,$U$65,$U$66,$U$68,$U$69,$U$70,$U$71,$U$72,$U$73,$U$74,$U$75,$U$76,$U$77,$U$78,$U$79,$U$80,$U$81,$U$82,$U$83,$U$84,$U$85,$U$86,$U$87,$U$88,$U$89,$U$90,$U$91,$U$92,$U$93)</f>
        <v>0.37813143900462559</v>
      </c>
      <c r="V96" s="168">
        <f>$V$57-AVERAGE($V$58,$V$59,$V$60,$V$61,$V$62,$V$63,$V$64,$V$65,$V$66,$V$68,$V$69,$V$70,$V$71,$V$72,$V$73,$V$74,$V$75,$V$76,$V$77,$V$78,$V$79,$V$80,$V$81,$V$82,$V$83,$V$84,$V$85,$V$86,$V$87,$V$88,$V$89,$V$90,$V$91,$V$92,$V$93)</f>
        <v>0.38885857760906217</v>
      </c>
      <c r="W96" s="168">
        <f>$W$57-AVERAGE($W$58,$W$59,$W$60,$W$61,$W$62,$W$63,$W$64,$W$65,$W$66,$W$68,$W$69,$W$70,$W$71,$W$72,$W$73,$W$74,$W$75,$W$76,$W$77,$W$78,$W$79,$W$80,$W$81,$W$82,$W$83,$W$84,$W$85,$W$86,$W$87,$W$88,$W$89,$W$90,$W$91,$W$92,$W$93)</f>
        <v>0.39958571621349881</v>
      </c>
      <c r="X96" s="168">
        <f>$X$57-AVERAGE($X$58,$X$59,$X$60,$X$61,$X$62,$X$63,$X$64,$X$65,$X$66,$X$68,$X$69,$X$70,$X$71,$X$72,$X$73,$X$74,$X$75,$X$76,$X$77,$X$78,$X$79,$X$80,$X$81,$X$82,$X$83,$X$84,$X$85,$X$86,$X$87,$X$88,$X$89,$X$90,$X$91,$X$92,$X$93)</f>
        <v>0.40953716188669204</v>
      </c>
      <c r="Y96" s="168">
        <f>$Y$57-AVERAGE($Y$58,$Y$59,$Y$60,$Y$61,$Y$62,$Y$63,$Y$64,$Y$65,$Y$66,$Y$68,$Y$69,$Y$70,$Y$71,$Y$72,$Y$73,$Y$74,$Y$75,$Y$76,$Y$77,$Y$78,$Y$79,$Y$80,$Y$81,$Y$82,$Y$83,$Y$84,$Y$85,$Y$86,$Y$87,$Y$88,$Y$89,$Y$90,$Y$91,$Y$92,$Y$93)</f>
        <v>0.42000571425471989</v>
      </c>
      <c r="Z96" s="168">
        <f>$Z$57-AVERAGE($Z$58,$Z$59,$Z$60,$Z$61,$Z$62,$Z$63,$Z$64,$Z$65,$Z$66,$Z$68,$Z$69,$Z$70,$Z$71,$Z$72,$Z$73,$Z$74,$Z$75,$Z$76,$Z$77,$Z$78,$Z$79,$Z$80,$Z$81,$Z$82,$Z$83,$Z$84,$Z$85,$Z$86,$Z$87,$Z$88,$Z$89,$Z$90,$Z$91,$Z$92,$Z$93)</f>
        <v>0.42757140398025512</v>
      </c>
      <c r="AA96" s="168">
        <f>$AA$57-AVERAGE($AA$58,$AA$59,$AA$60,$AA$61,$AA$62,$AA$63,$AA$64,$AA$65,$AA$66,$AA$68,$AA$69,$AA$70,$AA$71,$AA$72,$AA$73,$AA$74,$AA$75,$AA$76,$AA$77,$AA$78,$AA$79,$AA$80,$AA$81,$AA$82,$AA$83,$AA$84,$AA$85,$AA$86,$AA$87,$AA$88,$AA$89,$AA$90,$AA$91,$AA$92,$AA$93)</f>
        <v>0.43195425953183852</v>
      </c>
      <c r="AB96" s="168">
        <f>$AB$57-AVERAGE($AB$58,$AB$59,$AB$60,$AB$61,$AB$62,$AB$63,$AB$64,$AB$65,$AB$66,$AB$68,$AB$69,$AB$70,$AB$71,$AB$72,$AB$73,$AB$74,$AB$75,$AB$76,$AB$77,$AB$78,$AB$79,$AB$80,$AB$81,$AB$82,$AB$83,$AB$84,$AB$85,$AB$86,$AB$87,$AB$88,$AB$89,$AB$90,$AB$91,$AB$92,$AB$93)</f>
        <v>0.43687142346586499</v>
      </c>
      <c r="AC96" s="168">
        <f>$AC$57-AVERAGE($AC$58,$AC$59,$AC$60,$AC$61,$AC$62,$AC$63,$AC$64,$AC$65,$AC$66,$AC$68,$AC$69,$AC$70,$AC$71,$AC$72,$AC$73,$AC$74,$AC$75,$AC$76,$AC$77,$AC$78,$AC$79,$AC$80,$AC$81,$AC$82,$AC$83,$AC$84,$AC$85,$AC$86,$AC$87,$AC$88,$AC$89,$AC$90,$AC$91,$AC$92,$AC$93)</f>
        <v>0.44061144207205094</v>
      </c>
      <c r="AD96" s="168">
        <f>$AD$57-AVERAGE($AD$58,$AD$59,$AD$60,$AD$61,$AD$62,$AD$63,$AD$64,$AD$65,$AD$66,$AD$68,$AD$69,$AD$70,$AD$71,$AD$72,$AD$73,$AD$74,$AD$75,$AD$76,$AD$77,$AD$78,$AD$79,$AD$80,$AD$81,$AD$82,$AD$83,$AD$84,$AD$85,$AD$86,$AD$87,$AD$88,$AD$89,$AD$90,$AD$91,$AD$92,$AD$93)</f>
        <v>0.44725426180022104</v>
      </c>
      <c r="AE96" s="168">
        <f>$AE$57-AVERAGE($AE$58,$AE$59,$AE$60,$AE$61,$AE$62,$AE$63,$AE$64,$AE$65,$AE$66,$AE$68,$AE$69,$AE$70,$AE$71,$AE$72,$AE$73,$AE$74,$AE$75,$AE$76,$AE$77,$AE$78,$AE$79,$AE$80,$AE$81,$AE$82,$AE$83,$AE$84,$AE$85,$AE$86,$AE$87,$AE$88,$AE$89,$AE$90,$AE$91,$AE$92,$AE$93)</f>
        <v>0.45318857303687504</v>
      </c>
      <c r="AF96" s="168">
        <f>$AF$57-AVERAGE($AF$58,$AF$59,$AF$60,$AF$61,$AF$62,$AF$63,$AF$64,$AF$65,$AF$66,$AF$68,$AF$69,$AF$70,$AF$71,$AF$72,$AF$73,$AF$74,$AF$75,$AF$76,$AF$77,$AF$78,$AF$79,$AF$80,$AF$81,$AF$82,$AF$83,$AF$84,$AF$85,$AF$86,$AF$87,$AF$88,$AF$89,$AF$90,$AF$91,$AF$92,$AF$93)</f>
        <v>0.45862573449100769</v>
      </c>
    </row>
    <row r="97" spans="1:32" x14ac:dyDescent="0.2">
      <c r="A97" t="s">
        <v>471</v>
      </c>
      <c r="H97">
        <f>INDEX(LOGEST($B$94:$H$94,$B$54:$H$54,TRUE,TRUE), 3)</f>
        <v>0.69084920936815053</v>
      </c>
      <c r="I97">
        <f>INDEX(LOGEST($B$94:$I$94,$B$54:$I$54,TRUE,TRUE), 3)</f>
        <v>0.77036763373533068</v>
      </c>
      <c r="J97">
        <f>INDEX(LOGEST($B$94:$J$94,$B$54:$J$54,TRUE,TRUE), 3)</f>
        <v>0.82043199665178801</v>
      </c>
      <c r="K97">
        <f>INDEX(LOGEST($B$94:$K$94,$B$54:$K$54,TRUE,TRUE), 3)</f>
        <v>0.85664367788949192</v>
      </c>
      <c r="L97">
        <f>INDEX(LOGEST($B$94:$L$94,$B$54:$L$54,TRUE,TRUE), 3)</f>
        <v>0.88514827399460394</v>
      </c>
      <c r="M97">
        <f>INDEX(LOGEST($B$94:$M$94,$B$54:$M$54,TRUE,TRUE), 3)</f>
        <v>0.90798922186719522</v>
      </c>
      <c r="N97">
        <f>INDEX(LOGEST($B$94:$N$94,$B$54:$N$54,TRUE,TRUE), 3)</f>
        <v>0.92650116028781104</v>
      </c>
      <c r="O97">
        <f>INDEX(LOGEST($B$94:$O$94,$B$54:$O$54,TRUE,TRUE), 3)</f>
        <v>0.94100310648689411</v>
      </c>
      <c r="P97">
        <f>INDEX(LOGEST($B$94:$P$94,$B$54:$P$54,TRUE,TRUE), 3)</f>
        <v>0.95206313081726823</v>
      </c>
      <c r="Q97">
        <f>INDEX(LOGEST($B$94:$Q$94,$B$54:$Q$54,TRUE,TRUE), 3)</f>
        <v>0.96026640535861607</v>
      </c>
      <c r="R97">
        <f>INDEX(LOGEST($B$94:$R$94,$B$54:$R$54,TRUE,TRUE), 3)</f>
        <v>0.96599869471063005</v>
      </c>
      <c r="S97">
        <f>INDEX(LOGEST($B$94:$S$94,$B$54:$S$54,TRUE,TRUE), 3)</f>
        <v>0.96920464586185628</v>
      </c>
      <c r="T97" s="155">
        <f>INDEX(LOGEST($B$94:$T$94,$B$54:$T$54,TRUE,TRUE), 3)</f>
        <v>0.97028856760354287</v>
      </c>
      <c r="U97">
        <f>INDEX(LOGEST($B$94:$U$94,$B$54:$U$54,TRUE,TRUE), 3)</f>
        <v>0.96883644738419616</v>
      </c>
      <c r="V97">
        <f>INDEX(LOGEST($B$94:$V$94,$B$54:$V$54,TRUE,TRUE), 3)</f>
        <v>0.96487338205209372</v>
      </c>
      <c r="W97">
        <f>INDEX(LOGEST($B$94:$W$94,$B$54:$W$54,TRUE,TRUE), 3)</f>
        <v>0.95896255878350234</v>
      </c>
      <c r="X97">
        <f>INDEX(LOGEST($B$94:$X$94,$B$54:$X$54,TRUE,TRUE), 3)</f>
        <v>0.95149015126057568</v>
      </c>
      <c r="Y97">
        <f>INDEX(LOGEST($B$94:$Y$94,$B$54:$Y$54,TRUE,TRUE), 3)</f>
        <v>0.94283841975489402</v>
      </c>
      <c r="Z97">
        <f>INDEX(LOGEST($B$94:$Z$94,$B$54:$Z$54,TRUE,TRUE), 3)</f>
        <v>0.93342689022448644</v>
      </c>
      <c r="AA97">
        <f>INDEX(LOGEST($B$94:$AA$94,$B$54:$AA$54,TRUE,TRUE), 3)</f>
        <v>0.9231870478455273</v>
      </c>
      <c r="AB97">
        <f>INDEX(LOGEST($B$94:$AB$94,$B$54:$AB$54,TRUE,TRUE), 3)</f>
        <v>0.91227306501672167</v>
      </c>
      <c r="AC97">
        <f>INDEX(LOGEST($B$94:$AC$94,$B$54:$AC$54,TRUE,TRUE), 3)</f>
        <v>0.90099169430391135</v>
      </c>
      <c r="AD97">
        <f>INDEX(LOGEST($B$94:$AD$94,$B$54:$AD$54,TRUE,TRUE), 3)</f>
        <v>0.88955787370421313</v>
      </c>
      <c r="AE97">
        <f>INDEX(LOGEST($B$94:$AE$94,$B$54:$AE$54,TRUE,TRUE), 3)</f>
        <v>0.87805752996156483</v>
      </c>
      <c r="AF97">
        <f>INDEX(LOGEST($B$94:$AF$94,$B$54:$AF$54,TRUE,TRUE), 3)</f>
        <v>0.86680526177948736</v>
      </c>
    </row>
    <row r="98" spans="1:32" x14ac:dyDescent="0.2">
      <c r="A98" t="s">
        <v>472</v>
      </c>
      <c r="H98">
        <f>INDEX(LOGEST($B$95:$H$95,$B$54:$H$54,TRUE,TRUE), 3)</f>
        <v>0.90707554386234768</v>
      </c>
      <c r="I98">
        <f>INDEX(LOGEST($B$95:$I$95,$B$54:$I$54,TRUE,TRUE), 3)</f>
        <v>0.92356700067634789</v>
      </c>
      <c r="J98">
        <f>INDEX(LOGEST($B$95:$J$95,$B$54:$J$54,TRUE,TRUE), 3)</f>
        <v>0.9386683359899658</v>
      </c>
      <c r="K98">
        <f>INDEX(LOGEST($B$95:$K$95,$B$54:$K$54,TRUE,TRUE), 3)</f>
        <v>0.95191314149814588</v>
      </c>
      <c r="L98">
        <f>INDEX(LOGEST($B$95:$L$95,$B$54:$L$54,TRUE,TRUE), 3)</f>
        <v>0.9626714491588334</v>
      </c>
      <c r="M98">
        <f>INDEX(LOGEST($B$95:$M$95,$B$54:$M$54,TRUE,TRUE), 3)</f>
        <v>0.97108937158756603</v>
      </c>
      <c r="N98">
        <f>INDEX(LOGEST($B$95:$N$95,$B$54:$N$54,TRUE,TRUE), 3)</f>
        <v>0.97722780772470952</v>
      </c>
      <c r="O98">
        <f>INDEX(LOGEST($B$95:$O$95,$B$54:$O$54,TRUE,TRUE), 3)</f>
        <v>0.98118066569840456</v>
      </c>
      <c r="P98">
        <f>INDEX(LOGEST($B$95:$P$95,$B$54:$P$54,TRUE,TRUE), 3)</f>
        <v>0.98333018330916544</v>
      </c>
      <c r="Q98" s="155">
        <f>INDEX(LOGEST($B$95:$Q$95,$B$54:$Q$54,TRUE,TRUE), 3)</f>
        <v>0.98368301693509863</v>
      </c>
      <c r="R98">
        <f>INDEX(LOGEST($B$95:$R$95,$B$54:$R$54,TRUE,TRUE), 3)</f>
        <v>0.98242093530383834</v>
      </c>
      <c r="S98">
        <f>INDEX(LOGEST($B$95:$S$95,$B$54:$S$54,TRUE,TRUE), 3)</f>
        <v>0.97933456529395924</v>
      </c>
      <c r="T98">
        <f>INDEX(LOGEST($B$95:$T$95,$B$54:$T$54,TRUE,TRUE), 3)</f>
        <v>0.97481177294663235</v>
      </c>
      <c r="U98">
        <f>INDEX(LOGEST($B$95:$U$95,$B$54:$U$54,TRUE,TRUE), 3)</f>
        <v>0.96805913612030159</v>
      </c>
      <c r="V98">
        <f>INDEX(LOGEST($B$95:$V$95,$B$54:$V$54,TRUE,TRUE), 3)</f>
        <v>0.95940862948040639</v>
      </c>
      <c r="W98">
        <f>INDEX(LOGEST($B$95:$W$95,$B$54:$W$54,TRUE,TRUE), 3)</f>
        <v>0.94939523129946213</v>
      </c>
      <c r="X98">
        <f>INDEX(LOGEST($B$95:$X$95,$B$54:$X$54,TRUE,TRUE), 3)</f>
        <v>0.93828805345304722</v>
      </c>
      <c r="Y98">
        <f>INDEX(LOGEST($B$95:$Y$95,$B$54:$Y$54,TRUE,TRUE), 3)</f>
        <v>0.92650194532255736</v>
      </c>
      <c r="Z98">
        <f>INDEX(LOGEST($B$95:$Z$95,$B$54:$Z$54,TRUE,TRUE), 3)</f>
        <v>0.91429649627644216</v>
      </c>
      <c r="AA98">
        <f>INDEX(LOGEST($B$95:$AA$95,$B$54:$AA$54,TRUE,TRUE), 3)</f>
        <v>0.90154854552175645</v>
      </c>
      <c r="AB98">
        <f>INDEX(LOGEST($B$95:$AB$95,$B$54:$AB$54,TRUE,TRUE), 3)</f>
        <v>0.8885520526153402</v>
      </c>
      <c r="AC98">
        <f>INDEX(LOGEST($B$95:$AC$95,$B$54:$AC$54,TRUE,TRUE), 3)</f>
        <v>0.87542885611059607</v>
      </c>
      <c r="AD98">
        <f>INDEX(LOGEST($B$95:$AD$95,$B$54:$AD$54,TRUE,TRUE), 3)</f>
        <v>0.86231647472862005</v>
      </c>
      <c r="AE98">
        <f>INDEX(LOGEST($B$95:$AE$95,$B$54:$AE$54,TRUE,TRUE), 3)</f>
        <v>0.84938989873134407</v>
      </c>
      <c r="AF98">
        <f>INDEX(LOGEST($B$95:$AF$95,$B$54:$AF$54,TRUE,TRUE), 3)</f>
        <v>0.83664907332791516</v>
      </c>
    </row>
    <row r="99" spans="1:32" x14ac:dyDescent="0.2">
      <c r="A99" t="s">
        <v>473</v>
      </c>
      <c r="H99">
        <f>INDEX(LOGEST($B$96:$H$96,$B$54:$H$54,TRUE,TRUE), 3)</f>
        <v>0.9151057809939559</v>
      </c>
      <c r="I99">
        <f>INDEX(LOGEST($B$96:$I$96,$B$54:$I$54,TRUE,TRUE), 3)</f>
        <v>0.93002383360308172</v>
      </c>
      <c r="J99">
        <f>INDEX(LOGEST($B$96:$J$96,$B$54:$J$54,TRUE,TRUE), 3)</f>
        <v>0.94431206160801773</v>
      </c>
      <c r="K99">
        <f>INDEX(LOGEST($B$96:$K$96,$B$54:$K$54,TRUE,TRUE), 3)</f>
        <v>0.95660050681121578</v>
      </c>
      <c r="L99">
        <f>INDEX(LOGEST($B$96:$L$96,$B$54:$L$54,TRUE,TRUE), 3)</f>
        <v>0.9664895023024318</v>
      </c>
      <c r="M99">
        <f>INDEX(LOGEST($B$96:$M$96,$B$54:$M$54,TRUE,TRUE), 3)</f>
        <v>0.97411759641393825</v>
      </c>
      <c r="N99">
        <f>INDEX(LOGEST($B$96:$N$96,$B$54:$N$54,TRUE,TRUE), 3)</f>
        <v>0.97954749162577326</v>
      </c>
      <c r="O99">
        <f>INDEX(LOGEST($B$96:$O$96,$B$54:$O$54,TRUE,TRUE), 3)</f>
        <v>0.98294660558463332</v>
      </c>
      <c r="P99" s="155">
        <f>INDEX(LOGEST($B$96:$P$96,$B$54:$P$54,TRUE,TRUE), 3)</f>
        <v>0.98459296696430509</v>
      </c>
      <c r="Q99">
        <f>INDEX(LOGEST($B$96:$Q$96,$B$54:$Q$54,TRUE,TRUE), 3)</f>
        <v>0.98447486240828286</v>
      </c>
      <c r="R99">
        <f>INDEX(LOGEST($B$96:$R$96,$B$54:$R$54,TRUE,TRUE), 3)</f>
        <v>0.98267441804481215</v>
      </c>
      <c r="S99">
        <f>INDEX(LOGEST($B$96:$S$96,$B$54:$S$54,TRUE,TRUE), 3)</f>
        <v>0.97912996402097519</v>
      </c>
      <c r="T99">
        <f>INDEX(LOGEST($B$96:$T$96,$B$54:$T$54,TRUE,TRUE), 3)</f>
        <v>0.97419294874759754</v>
      </c>
      <c r="U99">
        <f>INDEX(LOGEST($B$96:$U$96,$B$54:$U$54,TRUE,TRUE), 3)</f>
        <v>0.96689744484595241</v>
      </c>
      <c r="V99">
        <f>INDEX(LOGEST($B$96:$V$96,$B$54:$V$54,TRUE,TRUE), 3)</f>
        <v>0.95773929831086324</v>
      </c>
      <c r="W99">
        <f>INDEX(LOGEST($B$96:$W$96,$B$54:$W$54,TRUE,TRUE), 3)</f>
        <v>0.94725445487967985</v>
      </c>
      <c r="X99">
        <f>INDEX(LOGEST($B$96:$X$96,$B$54:$X$54,TRUE,TRUE), 3)</f>
        <v>0.93581994118695089</v>
      </c>
      <c r="Y99">
        <f>INDEX(LOGEST($B$96:$Y$96,$B$54:$Y$54,TRUE,TRUE), 3)</f>
        <v>0.92380865766401921</v>
      </c>
      <c r="Z99">
        <f>INDEX(LOGEST($B$96:$Z$96,$B$54:$Z$54,TRUE,TRUE), 3)</f>
        <v>0.91129376640451165</v>
      </c>
      <c r="AA99">
        <f>INDEX(LOGEST($B$96:$AA$96,$B$54:$AA$54,TRUE,TRUE), 3)</f>
        <v>0.89830433148803557</v>
      </c>
      <c r="AB99">
        <f>INDEX(LOGEST($B$96:$AB$96,$B$54:$AB$54,TRUE,TRUE), 3)</f>
        <v>0.88508189324030273</v>
      </c>
      <c r="AC99">
        <f>INDEX(LOGEST($B$96:$AC$96,$B$54:$AC$54,TRUE,TRUE), 3)</f>
        <v>0.8717083494585377</v>
      </c>
      <c r="AD99">
        <f>INDEX(LOGEST($B$96:$AD$96,$B$54:$AD$54,TRUE,TRUE), 3)</f>
        <v>0.85849069009163104</v>
      </c>
      <c r="AE99">
        <f>INDEX(LOGEST($B$96:$AE$96,$B$54:$AE$54,TRUE,TRUE), 3)</f>
        <v>0.84545651381574305</v>
      </c>
      <c r="AF99">
        <f>INDEX(LOGEST($B$96:$AF$96,$B$54:$AF$54,TRUE,TRUE), 3)</f>
        <v>0.83263454105416201</v>
      </c>
    </row>
    <row r="100" spans="1:32" s="160" customFormat="1" x14ac:dyDescent="0.2">
      <c r="A100" s="160" t="s">
        <v>474</v>
      </c>
      <c r="B100" s="160">
        <f>$K$43*EXP($J$49*$B$54)</f>
        <v>2.9362265310216031E-3</v>
      </c>
      <c r="C100" s="160">
        <f>$K$43*EXP($J$49*$C$54)</f>
        <v>3.8972176404385777E-3</v>
      </c>
      <c r="D100" s="160">
        <f>$K$43*EXP($J$49*$D$54)</f>
        <v>5.1727294118758468E-3</v>
      </c>
      <c r="E100" s="160">
        <f>$K$43*EXP($J$49*$E$54)</f>
        <v>6.8657006195513119E-3</v>
      </c>
      <c r="F100" s="160">
        <f>$K$43*EXP($J$49*$F$54)</f>
        <v>9.1127606422028405E-3</v>
      </c>
      <c r="G100" s="160">
        <f>$K$43*EXP($J$49*$G$54)</f>
        <v>1.2095255986782035E-2</v>
      </c>
      <c r="H100" s="160">
        <f>$K$43*EXP($J$49*$H$54)</f>
        <v>1.6053885658783476E-2</v>
      </c>
      <c r="I100" s="160">
        <f>$K$43*EXP($J$49*$I$54)</f>
        <v>2.1308126510670277E-2</v>
      </c>
      <c r="J100" s="160">
        <f>$K$43*EXP($J$49*$J$54)</f>
        <v>2.8282016269769259E-2</v>
      </c>
      <c r="K100" s="160">
        <f>$K$43*EXP($J$49*$K$54)</f>
        <v>3.753837503653585E-2</v>
      </c>
      <c r="L100" s="160">
        <f>$K$43*EXP($J$49*$L$54)</f>
        <v>4.9824227061556488E-2</v>
      </c>
      <c r="M100" s="160">
        <f>$K$43*EXP($J$49*$M$54)</f>
        <v>6.6131088515828995E-2</v>
      </c>
      <c r="N100" s="160">
        <f>$K$43*EXP($J$49*$N$54)</f>
        <v>8.7774986712494063E-2</v>
      </c>
      <c r="O100" s="160">
        <f>$K$43*EXP($J$49*$O$54)</f>
        <v>0.1165026686432719</v>
      </c>
      <c r="P100" s="160">
        <f>$K$43*EXP($J$49*$P$54)</f>
        <v>0.1546325702726882</v>
      </c>
      <c r="Q100" s="160">
        <f>$K$43*EXP($J$49*$Q$54)</f>
        <v>0.20524192336188807</v>
      </c>
      <c r="R100" s="160">
        <f>$K$43*EXP($J$49*$R$54)</f>
        <v>0.27241510007240244</v>
      </c>
      <c r="S100" s="160">
        <f>$K$43*EXP($J$49*$S$54)</f>
        <v>0.36157323772788852</v>
      </c>
      <c r="T100" s="160">
        <f>$K$43*EXP($J$49*$T$54)</f>
        <v>0.47991174573759415</v>
      </c>
    </row>
    <row r="101" spans="1:32" s="161" customFormat="1" x14ac:dyDescent="0.2">
      <c r="A101" s="161" t="s">
        <v>475</v>
      </c>
      <c r="B101" s="161">
        <f>$Q$43*EXP($P$49*$B$54)</f>
        <v>1.1438630300634439E-3</v>
      </c>
      <c r="C101" s="161">
        <f>$Q$43*EXP($P$49*$C$54)</f>
        <v>1.6660368488588631E-3</v>
      </c>
      <c r="D101" s="161">
        <f>$Q$43*EXP($P$49*$D$54)</f>
        <v>2.4265831736878661E-3</v>
      </c>
      <c r="E101" s="161">
        <f>$Q$43*EXP($P$49*$E$54)</f>
        <v>3.5343191255692921E-3</v>
      </c>
      <c r="F101" s="161">
        <f>$Q$43*EXP($P$49*$F$54)</f>
        <v>5.1477368741417251E-3</v>
      </c>
      <c r="G101" s="161">
        <f>$Q$43*EXP($P$49*$G$54)</f>
        <v>7.4976803123656972E-3</v>
      </c>
      <c r="H101" s="161">
        <f>$Q$43*EXP($P$49*$H$54)</f>
        <v>1.0920373640078267E-2</v>
      </c>
      <c r="I101" s="161">
        <f>$Q$43*EXP($P$49*$I$54)</f>
        <v>1.5905527505918494E-2</v>
      </c>
      <c r="J101" s="161">
        <f>$Q$43*EXP($P$49*$J$54)</f>
        <v>2.3166405617575263E-2</v>
      </c>
      <c r="K101" s="161">
        <f>$Q$43*EXP($P$49*$K$54)</f>
        <v>3.3741876780780854E-2</v>
      </c>
      <c r="L101" s="161">
        <f>$Q$43*EXP($P$49*$L$54)</f>
        <v>4.9145053724936119E-2</v>
      </c>
      <c r="M101" s="161">
        <f>$Q$43*EXP($P$49*$M$54)</f>
        <v>7.1579785597538553E-2</v>
      </c>
      <c r="N101" s="161">
        <f>$Q$43*EXP($P$49*$N$54)</f>
        <v>0.10425597934772124</v>
      </c>
      <c r="O101" s="161">
        <f>$Q$43*EXP($P$49*$O$54)</f>
        <v>0.15184886541663836</v>
      </c>
      <c r="P101" s="161">
        <f>$Q$43*EXP($P$49*$P$54)</f>
        <v>0.22116791835426133</v>
      </c>
      <c r="Q101" s="161">
        <f>$Q$43*EXP($P$49*$Q$54)</f>
        <v>0.32213113989982778</v>
      </c>
    </row>
    <row r="102" spans="1:32" s="169" customFormat="1" x14ac:dyDescent="0.2">
      <c r="A102" s="169" t="s">
        <v>476</v>
      </c>
      <c r="B102" s="169">
        <f>$W$43*EXP($V$49*$B$54)</f>
        <v>1.123839599108477E-3</v>
      </c>
      <c r="C102" s="169">
        <f>$W$43*EXP($V$49*$C$54)</f>
        <v>1.6525344326348162E-3</v>
      </c>
      <c r="D102" s="169">
        <f>$W$43*EXP($V$49*$D$54)</f>
        <v>2.4299464560690216E-3</v>
      </c>
      <c r="E102" s="169">
        <f>$W$43*EXP($V$49*$E$54)</f>
        <v>3.5730812397947957E-3</v>
      </c>
      <c r="F102" s="169">
        <f>$W$43*EXP($V$49*$F$54)</f>
        <v>5.2539880104300034E-3</v>
      </c>
      <c r="G102" s="169">
        <f>$W$43*EXP($V$49*$G$54)</f>
        <v>7.7256541794520047E-3</v>
      </c>
      <c r="H102" s="169">
        <f>$W$43*EXP($V$49*$H$54)</f>
        <v>1.1360081595542007E-2</v>
      </c>
      <c r="I102" s="169">
        <f>$W$43*EXP($V$49*$I$54)</f>
        <v>1.6704275244497944E-2</v>
      </c>
      <c r="J102" s="169">
        <f>$W$43*EXP($V$49*$J$54)</f>
        <v>2.4562571060532411E-2</v>
      </c>
      <c r="K102" s="169">
        <f>$W$43*EXP($V$49*$K$54)</f>
        <v>3.6117693720499819E-2</v>
      </c>
      <c r="L102" s="169">
        <f>$W$43*EXP($V$49*$L$54)</f>
        <v>5.3108764407155541E-2</v>
      </c>
      <c r="M102" s="169">
        <f>$W$43*EXP($V$49*$M$54)</f>
        <v>7.8093049868625947E-2</v>
      </c>
      <c r="N102" s="169">
        <f>$W$43*EXP($V$49*$N$54)</f>
        <v>0.11483084771149421</v>
      </c>
      <c r="O102" s="169">
        <f>$W$43*EXP($V$49*$O$54)</f>
        <v>0.16885143566966665</v>
      </c>
      <c r="P102" s="169">
        <f>$W$43*EXP($V$49*$P$54)</f>
        <v>0.24828526389824568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80D98-3133-AC4D-9122-A4213C5A3AE0}">
  <sheetPr codeName="Sheet57"/>
  <dimension ref="A42:AF102"/>
  <sheetViews>
    <sheetView workbookViewId="0"/>
  </sheetViews>
  <sheetFormatPr baseColWidth="10" defaultRowHeight="15" x14ac:dyDescent="0.2"/>
  <sheetData>
    <row r="42" spans="9:24" x14ac:dyDescent="0.2">
      <c r="I42" t="s">
        <v>249</v>
      </c>
      <c r="O42" t="s">
        <v>249</v>
      </c>
      <c r="U42" t="s">
        <v>249</v>
      </c>
    </row>
    <row r="43" spans="9:24" x14ac:dyDescent="0.2">
      <c r="I43" t="s">
        <v>250</v>
      </c>
      <c r="J43" s="159">
        <f t="array" ref="J43:K47">LOGEST($B$94:$Q$94,$B$54:$Q$54,TRUE,TRUE)</f>
        <v>1.0003827182878513</v>
      </c>
      <c r="K43" s="159">
        <v>1.9649662901424199E-3</v>
      </c>
      <c r="L43" t="s">
        <v>255</v>
      </c>
      <c r="O43" t="s">
        <v>250</v>
      </c>
      <c r="P43" s="159">
        <f t="array" ref="P43:Q47">LOGEST($B$95:$P$95,$B$54:$P$54,TRUE,TRUE)</f>
        <v>1.0003975053633496</v>
      </c>
      <c r="Q43" s="159">
        <v>1.7916460114556095E-3</v>
      </c>
      <c r="R43" t="s">
        <v>255</v>
      </c>
      <c r="U43" t="s">
        <v>250</v>
      </c>
      <c r="V43" s="159">
        <f t="array" ref="V43:W47">LOGEST($B$96:$Q$96,$B$54:$Q$54,TRUE,TRUE)</f>
        <v>1.0003857264642362</v>
      </c>
      <c r="W43" s="159">
        <v>1.8356560493869628E-3</v>
      </c>
      <c r="X43" t="s">
        <v>255</v>
      </c>
    </row>
    <row r="44" spans="9:24" x14ac:dyDescent="0.2">
      <c r="I44" t="s">
        <v>251</v>
      </c>
      <c r="J44" s="159">
        <v>1.4028903128927192E-5</v>
      </c>
      <c r="K44" s="159">
        <v>0.1111642978888473</v>
      </c>
      <c r="L44" t="s">
        <v>256</v>
      </c>
      <c r="O44" t="s">
        <v>251</v>
      </c>
      <c r="P44" s="159">
        <v>1.2879583457667546E-5</v>
      </c>
      <c r="Q44" s="159">
        <v>9.5363014478398234E-2</v>
      </c>
      <c r="R44" t="s">
        <v>256</v>
      </c>
      <c r="U44" t="s">
        <v>251</v>
      </c>
      <c r="V44" s="159">
        <v>1.4532207772402042E-5</v>
      </c>
      <c r="W44" s="159">
        <v>0.1151524576759594</v>
      </c>
      <c r="X44" t="s">
        <v>256</v>
      </c>
    </row>
    <row r="45" spans="9:24" x14ac:dyDescent="0.2">
      <c r="I45" t="s">
        <v>252</v>
      </c>
      <c r="J45" s="159">
        <v>0.98152916900308229</v>
      </c>
      <c r="K45" s="159">
        <v>0.23283804097077601</v>
      </c>
      <c r="L45" t="s">
        <v>257</v>
      </c>
      <c r="O45" t="s">
        <v>252</v>
      </c>
      <c r="P45" s="159">
        <v>0.98653072489120319</v>
      </c>
      <c r="Q45" s="159">
        <v>0.19398653913919434</v>
      </c>
      <c r="R45" t="s">
        <v>257</v>
      </c>
      <c r="U45" t="s">
        <v>252</v>
      </c>
      <c r="V45" s="159">
        <v>0.98050823804456366</v>
      </c>
      <c r="W45" s="159">
        <v>0.2411914001836242</v>
      </c>
      <c r="X45" t="s">
        <v>257</v>
      </c>
    </row>
    <row r="46" spans="9:24" x14ac:dyDescent="0.2">
      <c r="I46" t="s">
        <v>253</v>
      </c>
      <c r="J46" s="159">
        <v>743.95182156862734</v>
      </c>
      <c r="K46" s="159">
        <v>14</v>
      </c>
      <c r="L46" t="s">
        <v>258</v>
      </c>
      <c r="O46" t="s">
        <v>253</v>
      </c>
      <c r="P46" s="159">
        <v>952.1595869112216</v>
      </c>
      <c r="Q46" s="159">
        <v>13</v>
      </c>
      <c r="R46" t="s">
        <v>258</v>
      </c>
      <c r="U46" t="s">
        <v>253</v>
      </c>
      <c r="V46" s="159">
        <v>704.25215349991902</v>
      </c>
      <c r="W46" s="159">
        <v>14</v>
      </c>
      <c r="X46" t="s">
        <v>258</v>
      </c>
    </row>
    <row r="47" spans="9:24" x14ac:dyDescent="0.2">
      <c r="I47" t="s">
        <v>254</v>
      </c>
      <c r="J47" s="159">
        <v>40.332271748434678</v>
      </c>
      <c r="K47" s="159">
        <v>0.75898974652352269</v>
      </c>
      <c r="L47" t="s">
        <v>259</v>
      </c>
      <c r="O47" t="s">
        <v>254</v>
      </c>
      <c r="P47" s="159">
        <v>35.830505433103369</v>
      </c>
      <c r="Q47" s="159">
        <v>0.48920010577362827</v>
      </c>
      <c r="R47" t="s">
        <v>259</v>
      </c>
      <c r="U47" t="s">
        <v>254</v>
      </c>
      <c r="V47" s="159">
        <v>40.968665830925381</v>
      </c>
      <c r="W47" s="159">
        <v>0.8144260813155203</v>
      </c>
      <c r="X47" t="s">
        <v>259</v>
      </c>
    </row>
    <row r="49" spans="1:32" x14ac:dyDescent="0.2">
      <c r="I49" t="s">
        <v>260</v>
      </c>
      <c r="J49">
        <f>LN($J$43)</f>
        <v>3.8264506988801457E-4</v>
      </c>
      <c r="O49" t="s">
        <v>260</v>
      </c>
      <c r="P49">
        <f>LN($P$43)</f>
        <v>3.9742637902308276E-4</v>
      </c>
      <c r="U49" t="s">
        <v>260</v>
      </c>
      <c r="V49">
        <f>LN($V$43)</f>
        <v>3.856520909081334E-4</v>
      </c>
    </row>
    <row r="50" spans="1:32" x14ac:dyDescent="0.2">
      <c r="I50" t="s">
        <v>261</v>
      </c>
      <c r="J50">
        <f>ROUND(LN(2)/$J$49, 1)</f>
        <v>1811.5</v>
      </c>
      <c r="O50" t="s">
        <v>261</v>
      </c>
      <c r="P50">
        <f>ROUND(LN(2)/$P$49, 1)</f>
        <v>1744.1</v>
      </c>
      <c r="U50" t="s">
        <v>261</v>
      </c>
      <c r="V50">
        <f>ROUND(LN(2)/$V$49, 1)</f>
        <v>1797.3</v>
      </c>
    </row>
    <row r="51" spans="1:32" x14ac:dyDescent="0.2">
      <c r="I51" t="s">
        <v>204</v>
      </c>
      <c r="J51" s="155">
        <f>ROUND($J$50/60, 1)</f>
        <v>30.2</v>
      </c>
      <c r="O51" t="s">
        <v>204</v>
      </c>
      <c r="P51" s="155">
        <f>ROUND($P$50/60, 1)</f>
        <v>29.1</v>
      </c>
      <c r="U51" t="s">
        <v>204</v>
      </c>
      <c r="V51" s="155">
        <f>ROUND($V$50/60, 1)</f>
        <v>30</v>
      </c>
    </row>
    <row r="54" spans="1:32" x14ac:dyDescent="0.2">
      <c r="A54" t="s">
        <v>206</v>
      </c>
      <c r="B54" s="166">
        <v>0</v>
      </c>
      <c r="C54" s="166">
        <v>900.1</v>
      </c>
      <c r="D54" s="166">
        <v>1800.2</v>
      </c>
      <c r="E54" s="166">
        <v>2700.3</v>
      </c>
      <c r="F54" s="166">
        <v>3600.4</v>
      </c>
      <c r="G54" s="166">
        <v>4500.5</v>
      </c>
      <c r="H54" s="166">
        <v>5400.6</v>
      </c>
      <c r="I54" s="166">
        <v>6300.7</v>
      </c>
      <c r="J54" s="166">
        <v>7200.8</v>
      </c>
      <c r="K54" s="166">
        <v>8100.9</v>
      </c>
      <c r="L54" s="166">
        <v>9001</v>
      </c>
      <c r="M54" s="166">
        <v>9901.1</v>
      </c>
      <c r="N54" s="166">
        <v>10801.2</v>
      </c>
      <c r="O54" s="166">
        <v>11701.3</v>
      </c>
      <c r="P54" s="166">
        <v>12601.4</v>
      </c>
      <c r="Q54" s="166">
        <v>13501.5</v>
      </c>
      <c r="R54" s="166">
        <v>14401.6</v>
      </c>
      <c r="S54" s="166">
        <v>15301.7</v>
      </c>
      <c r="T54" s="166">
        <v>16201.8</v>
      </c>
      <c r="U54" s="166">
        <v>17101.900000000001</v>
      </c>
      <c r="V54" s="166">
        <v>18002</v>
      </c>
      <c r="W54" s="166">
        <v>18902.099999999999</v>
      </c>
      <c r="X54" s="166">
        <v>19802.2</v>
      </c>
      <c r="Y54" s="166">
        <v>20702.3</v>
      </c>
      <c r="Z54" s="166">
        <v>21602.400000000001</v>
      </c>
      <c r="AA54" s="166">
        <v>22502.5</v>
      </c>
      <c r="AB54" s="166">
        <v>23402.6</v>
      </c>
      <c r="AC54" s="166">
        <v>24302.7</v>
      </c>
      <c r="AD54" s="166">
        <v>25202.799999999999</v>
      </c>
      <c r="AE54" s="166">
        <v>26102.9</v>
      </c>
      <c r="AF54" s="166">
        <v>27003</v>
      </c>
    </row>
    <row r="55" spans="1:32" x14ac:dyDescent="0.2">
      <c r="A55" s="156" t="s">
        <v>477</v>
      </c>
      <c r="B55" s="156">
        <v>0.10999999940395355</v>
      </c>
      <c r="C55" s="156">
        <v>0.10989999771118164</v>
      </c>
      <c r="D55" s="156">
        <v>0.10989999771118164</v>
      </c>
      <c r="E55" s="156">
        <v>0.11069999635219574</v>
      </c>
      <c r="F55" s="156">
        <v>0.1120000034570694</v>
      </c>
      <c r="G55" s="156">
        <v>0.11500000208616257</v>
      </c>
      <c r="H55" s="156">
        <v>0.11980000138282776</v>
      </c>
      <c r="I55" s="156">
        <v>0.12770000100135803</v>
      </c>
      <c r="J55" s="156">
        <v>0.14030000567436218</v>
      </c>
      <c r="K55" s="156">
        <v>0.15809999406337738</v>
      </c>
      <c r="L55" s="156">
        <v>0.18240000307559967</v>
      </c>
      <c r="M55" s="156">
        <v>0.21310000121593475</v>
      </c>
      <c r="N55" s="156">
        <v>0.24819999933242798</v>
      </c>
      <c r="O55" s="156">
        <v>0.28979998826980591</v>
      </c>
      <c r="P55" s="156">
        <v>0.33180001378059387</v>
      </c>
      <c r="Q55" s="156">
        <v>0.37639999389648438</v>
      </c>
      <c r="R55" s="156">
        <v>0.4154999852180481</v>
      </c>
      <c r="S55" s="156">
        <v>0.45219999551773071</v>
      </c>
      <c r="T55" s="156">
        <v>0.47859999537467957</v>
      </c>
      <c r="U55" s="156">
        <v>0.49290001392364502</v>
      </c>
      <c r="V55" s="156">
        <f t="shared" ref="V55:V57" si="0">AVERAGE(U55,W55)</f>
        <v>0.5033000111579895</v>
      </c>
      <c r="W55" s="156">
        <v>0.51370000839233398</v>
      </c>
      <c r="X55" s="156">
        <v>0.52359998226165771</v>
      </c>
      <c r="Y55" s="156">
        <v>0.53189998865127563</v>
      </c>
      <c r="Z55" s="156">
        <v>0.53570002317428589</v>
      </c>
      <c r="AA55" s="156">
        <v>0.54000002145767212</v>
      </c>
      <c r="AB55" s="156">
        <v>0.54430001974105835</v>
      </c>
      <c r="AC55" s="156">
        <v>0.55010002851486206</v>
      </c>
      <c r="AD55" s="156">
        <v>0.55479997396469116</v>
      </c>
      <c r="AE55" s="156">
        <v>0.56089997291564941</v>
      </c>
      <c r="AF55" s="156">
        <v>0.56519997119903564</v>
      </c>
    </row>
    <row r="56" spans="1:32" x14ac:dyDescent="0.2">
      <c r="A56" s="157" t="s">
        <v>478</v>
      </c>
      <c r="B56" s="157">
        <v>0.10949999839067459</v>
      </c>
      <c r="C56" s="157">
        <v>0.1096000000834465</v>
      </c>
      <c r="D56" s="157">
        <v>0.10999999940395355</v>
      </c>
      <c r="E56" s="157">
        <v>0.11050000041723251</v>
      </c>
      <c r="F56" s="157">
        <v>0.11259999871253967</v>
      </c>
      <c r="G56" s="157">
        <v>0.11490000039339066</v>
      </c>
      <c r="H56" s="157">
        <v>0.1193000003695488</v>
      </c>
      <c r="I56" s="157">
        <v>0.12729999423027039</v>
      </c>
      <c r="J56" s="157">
        <v>0.14030000567436218</v>
      </c>
      <c r="K56" s="157">
        <v>0.15809999406337738</v>
      </c>
      <c r="L56" s="157">
        <v>0.18299999833106995</v>
      </c>
      <c r="M56" s="157">
        <v>0.21310000121593475</v>
      </c>
      <c r="N56" s="157">
        <v>0.24879999458789825</v>
      </c>
      <c r="O56" s="157">
        <v>0.29080000519752502</v>
      </c>
      <c r="P56" s="157">
        <v>0.33509999513626099</v>
      </c>
      <c r="Q56" s="157">
        <v>0.37950000166893005</v>
      </c>
      <c r="R56" s="157">
        <v>0.41670000553131104</v>
      </c>
      <c r="S56" s="157">
        <v>0.45260000228881836</v>
      </c>
      <c r="T56" s="157">
        <v>0.4781000018119812</v>
      </c>
      <c r="U56" s="157">
        <v>0.49340000748634338</v>
      </c>
      <c r="V56" s="157">
        <f t="shared" si="0"/>
        <v>0.50329999625682831</v>
      </c>
      <c r="W56" s="157">
        <v>0.51319998502731323</v>
      </c>
      <c r="X56" s="157">
        <v>0.5228000283241272</v>
      </c>
      <c r="Y56" s="157">
        <v>0.53100001811981201</v>
      </c>
      <c r="Z56" s="157">
        <v>0.53560000658035278</v>
      </c>
      <c r="AA56" s="157">
        <v>0.54129999876022339</v>
      </c>
      <c r="AB56" s="157">
        <v>0.54559999704360962</v>
      </c>
      <c r="AC56" s="157">
        <v>0.54900002479553223</v>
      </c>
      <c r="AD56" s="157">
        <v>0.55460000038146973</v>
      </c>
      <c r="AE56" s="157">
        <v>0.56180000305175781</v>
      </c>
      <c r="AF56" s="157">
        <v>0.56629997491836548</v>
      </c>
    </row>
    <row r="57" spans="1:32" x14ac:dyDescent="0.2">
      <c r="A57" s="168" t="s">
        <v>479</v>
      </c>
      <c r="B57" s="168">
        <v>0.10999999940395355</v>
      </c>
      <c r="C57" s="168">
        <v>0.10970000177621841</v>
      </c>
      <c r="D57" s="168">
        <v>0.10980000346899033</v>
      </c>
      <c r="E57" s="168">
        <v>0.11050000041723251</v>
      </c>
      <c r="F57" s="168">
        <v>0.11159999668598175</v>
      </c>
      <c r="G57" s="168">
        <v>0.11429999768733978</v>
      </c>
      <c r="H57" s="168">
        <v>0.11869999766349792</v>
      </c>
      <c r="I57" s="168">
        <v>0.12590000033378601</v>
      </c>
      <c r="J57" s="168">
        <v>0.13740000128746033</v>
      </c>
      <c r="K57" s="168">
        <v>0.15440000593662262</v>
      </c>
      <c r="L57" s="168">
        <v>0.1785999983549118</v>
      </c>
      <c r="M57" s="168">
        <v>0.20800000429153442</v>
      </c>
      <c r="N57" s="168">
        <v>0.24390000104904175</v>
      </c>
      <c r="O57" s="168">
        <v>0.28720000386238098</v>
      </c>
      <c r="P57" s="168">
        <v>0.33410000801086426</v>
      </c>
      <c r="Q57" s="168">
        <v>0.37929999828338623</v>
      </c>
      <c r="R57" s="168">
        <v>0.42590001225471497</v>
      </c>
      <c r="S57" s="168">
        <v>0.46419999003410339</v>
      </c>
      <c r="T57" s="168">
        <v>0.49500000476837158</v>
      </c>
      <c r="U57" s="168">
        <v>0.50349998474121094</v>
      </c>
      <c r="V57" s="168">
        <f t="shared" si="0"/>
        <v>0.51109999418258667</v>
      </c>
      <c r="W57" s="168">
        <v>0.5187000036239624</v>
      </c>
      <c r="X57" s="168">
        <v>0.53189998865127563</v>
      </c>
      <c r="Y57" s="168">
        <v>0.53780001401901245</v>
      </c>
      <c r="Z57" s="168">
        <v>0.53960001468658447</v>
      </c>
      <c r="AA57" s="168">
        <v>0.54250001907348633</v>
      </c>
      <c r="AB57" s="168">
        <v>0.54640001058578491</v>
      </c>
      <c r="AC57" s="168">
        <v>0.54930001497268677</v>
      </c>
      <c r="AD57" s="168">
        <v>0.55470001697540283</v>
      </c>
      <c r="AE57" s="168">
        <v>0.56180000305175781</v>
      </c>
      <c r="AF57" s="168">
        <v>0.56590002775192261</v>
      </c>
    </row>
    <row r="58" spans="1:32" x14ac:dyDescent="0.2">
      <c r="A58" s="158" t="s">
        <v>209</v>
      </c>
      <c r="B58" s="158">
        <v>0.10480000078678131</v>
      </c>
      <c r="C58" s="158">
        <v>0.1046999990940094</v>
      </c>
      <c r="D58" s="158">
        <v>0.1046999990940094</v>
      </c>
      <c r="E58" s="158">
        <v>0.10480000078678131</v>
      </c>
      <c r="F58" s="158">
        <v>0.10459999740123749</v>
      </c>
      <c r="G58" s="158">
        <v>0.10450000315904617</v>
      </c>
      <c r="H58" s="158">
        <v>0.10440000146627426</v>
      </c>
      <c r="I58" s="158">
        <v>0.10429999977350235</v>
      </c>
      <c r="J58" s="158">
        <v>0.10419999808073044</v>
      </c>
      <c r="K58" s="158">
        <v>0.10419999808073044</v>
      </c>
      <c r="L58" s="158">
        <v>0.10419999808073044</v>
      </c>
      <c r="M58" s="158">
        <v>0.10409999638795853</v>
      </c>
      <c r="N58" s="158">
        <v>0.10400000214576721</v>
      </c>
      <c r="O58" s="158">
        <v>0.1039000004529953</v>
      </c>
      <c r="P58" s="158">
        <v>0.10379999876022339</v>
      </c>
      <c r="Q58" s="158">
        <v>0.10379999876022339</v>
      </c>
      <c r="R58" s="158">
        <v>0.1039000004529953</v>
      </c>
      <c r="S58" s="158">
        <v>0.10360000282526016</v>
      </c>
      <c r="T58" s="158">
        <v>0.10360000282526016</v>
      </c>
      <c r="U58" s="158">
        <v>0.10379999876022339</v>
      </c>
      <c r="V58" s="158">
        <f>AVERAGE(U58,W58)</f>
        <v>0.10359999909996986</v>
      </c>
      <c r="W58" s="158">
        <v>0.10339999943971634</v>
      </c>
      <c r="X58" s="158">
        <v>0.10329999774694443</v>
      </c>
      <c r="Y58" s="158">
        <v>0.10320000350475311</v>
      </c>
      <c r="Z58" s="158">
        <v>0.10320000350475311</v>
      </c>
      <c r="AA58" s="158">
        <v>0.1031000018119812</v>
      </c>
      <c r="AB58" s="158">
        <v>0.1031000018119812</v>
      </c>
      <c r="AC58" s="158">
        <v>0.10300000011920929</v>
      </c>
      <c r="AD58" s="158">
        <v>0.10300000011920929</v>
      </c>
      <c r="AE58" s="158">
        <v>0.10289999842643738</v>
      </c>
      <c r="AF58" s="158">
        <v>0.10289999842643738</v>
      </c>
    </row>
    <row r="59" spans="1:32" x14ac:dyDescent="0.2">
      <c r="A59" s="158" t="s">
        <v>210</v>
      </c>
      <c r="B59" s="158">
        <v>0.10660000145435333</v>
      </c>
      <c r="C59" s="158">
        <v>0.10649999976158142</v>
      </c>
      <c r="D59" s="158">
        <v>0.10649999976158142</v>
      </c>
      <c r="E59" s="158">
        <v>0.10649999976158142</v>
      </c>
      <c r="F59" s="158">
        <v>0.10639999806880951</v>
      </c>
      <c r="G59" s="158">
        <v>0.1062999963760376</v>
      </c>
      <c r="H59" s="158">
        <v>0.1062999963760376</v>
      </c>
      <c r="I59" s="158">
        <v>0.10610000044107437</v>
      </c>
      <c r="J59" s="158">
        <v>0.10610000044107437</v>
      </c>
      <c r="K59" s="158">
        <v>0.10610000044107437</v>
      </c>
      <c r="L59" s="158">
        <v>0.10610000044107437</v>
      </c>
      <c r="M59" s="158">
        <v>0.10599999874830246</v>
      </c>
      <c r="N59" s="158">
        <v>0.10589999705553055</v>
      </c>
      <c r="O59" s="158">
        <v>0.10589999705553055</v>
      </c>
      <c r="P59" s="158">
        <v>0.10570000112056732</v>
      </c>
      <c r="Q59" s="158">
        <v>0.10570000112056732</v>
      </c>
      <c r="R59" s="158">
        <v>0.10570000112056732</v>
      </c>
      <c r="S59" s="158">
        <v>0.10559999942779541</v>
      </c>
      <c r="T59" s="158">
        <v>0.10559999942779541</v>
      </c>
      <c r="U59" s="158">
        <v>0.10559999942779541</v>
      </c>
      <c r="V59" s="158">
        <f t="shared" ref="V59:V93" si="1">AVERAGE(U59,W59)</f>
        <v>0.1055000014603138</v>
      </c>
      <c r="W59" s="158">
        <v>0.10540000349283218</v>
      </c>
      <c r="X59" s="158">
        <v>0.10540000349283218</v>
      </c>
      <c r="Y59" s="158">
        <v>0.10530000180006027</v>
      </c>
      <c r="Z59" s="158">
        <v>0.10530000180006027</v>
      </c>
      <c r="AA59" s="158">
        <v>0.10520000010728836</v>
      </c>
      <c r="AB59" s="158">
        <v>0.10520000010728836</v>
      </c>
      <c r="AC59" s="158">
        <v>0.10520000010728836</v>
      </c>
      <c r="AD59" s="158">
        <v>0.10509999841451645</v>
      </c>
      <c r="AE59" s="158">
        <v>0.10509999841451645</v>
      </c>
      <c r="AF59" s="158">
        <v>0.10509999841451645</v>
      </c>
    </row>
    <row r="60" spans="1:32" x14ac:dyDescent="0.2">
      <c r="A60" s="158" t="s">
        <v>211</v>
      </c>
      <c r="B60" s="158">
        <v>0.10740000009536743</v>
      </c>
      <c r="C60" s="158">
        <v>0.10740000009536743</v>
      </c>
      <c r="D60" s="158">
        <v>0.10729999840259552</v>
      </c>
      <c r="E60" s="158">
        <v>0.10729999840259552</v>
      </c>
      <c r="F60" s="158">
        <v>0.10719999670982361</v>
      </c>
      <c r="G60" s="158">
        <v>0.10719999670982361</v>
      </c>
      <c r="H60" s="158">
        <v>0.10710000246763229</v>
      </c>
      <c r="I60" s="158">
        <v>0.10689999908208847</v>
      </c>
      <c r="J60" s="158">
        <v>0.10689999908208847</v>
      </c>
      <c r="K60" s="158">
        <v>0.10710000246763229</v>
      </c>
      <c r="L60" s="158">
        <v>0.10679999738931656</v>
      </c>
      <c r="M60" s="158">
        <v>0.10670000314712524</v>
      </c>
      <c r="N60" s="158">
        <v>0.10670000314712524</v>
      </c>
      <c r="O60" s="158">
        <v>0.10660000145435333</v>
      </c>
      <c r="P60" s="158">
        <v>0.10649999976158142</v>
      </c>
      <c r="Q60" s="158">
        <v>0.10649999976158142</v>
      </c>
      <c r="R60" s="158">
        <v>0.10639999806880951</v>
      </c>
      <c r="S60" s="158">
        <v>0.1062999963760376</v>
      </c>
      <c r="T60" s="158">
        <v>0.1062999963760376</v>
      </c>
      <c r="U60" s="158">
        <v>0.1062999963760376</v>
      </c>
      <c r="V60" s="158">
        <f t="shared" si="1"/>
        <v>0.10624999925494194</v>
      </c>
      <c r="W60" s="158">
        <v>0.10620000213384628</v>
      </c>
      <c r="X60" s="158">
        <v>0.10610000044107437</v>
      </c>
      <c r="Y60" s="158">
        <v>0.10610000044107437</v>
      </c>
      <c r="Z60" s="158">
        <v>0.10599999874830246</v>
      </c>
      <c r="AA60" s="158">
        <v>0.10589999705553055</v>
      </c>
      <c r="AB60" s="158">
        <v>0.10589999705553055</v>
      </c>
      <c r="AC60" s="158">
        <v>0.10599999874830246</v>
      </c>
      <c r="AD60" s="158">
        <v>0.10580000281333923</v>
      </c>
      <c r="AE60" s="158">
        <v>0.10580000281333923</v>
      </c>
      <c r="AF60" s="158">
        <v>0.10580000281333923</v>
      </c>
    </row>
    <row r="61" spans="1:32" x14ac:dyDescent="0.2">
      <c r="A61" s="158" t="s">
        <v>212</v>
      </c>
      <c r="B61" s="158">
        <v>0.10700000077486038</v>
      </c>
      <c r="C61" s="158">
        <v>0.10689999908208847</v>
      </c>
      <c r="D61" s="158">
        <v>0.10679999738931656</v>
      </c>
      <c r="E61" s="158">
        <v>0.10689999908208847</v>
      </c>
      <c r="F61" s="158">
        <v>0.10670000314712524</v>
      </c>
      <c r="G61" s="158">
        <v>0.10689999908208847</v>
      </c>
      <c r="H61" s="158">
        <v>0.10660000145435333</v>
      </c>
      <c r="I61" s="158">
        <v>0.10639999806880951</v>
      </c>
      <c r="J61" s="158">
        <v>0.10639999806880951</v>
      </c>
      <c r="K61" s="158">
        <v>0.1062999963760376</v>
      </c>
      <c r="L61" s="158">
        <v>0.1062999963760376</v>
      </c>
      <c r="M61" s="158">
        <v>0.1062999963760376</v>
      </c>
      <c r="N61" s="158">
        <v>0.10620000213384628</v>
      </c>
      <c r="O61" s="158">
        <v>0.10610000044107437</v>
      </c>
      <c r="P61" s="158">
        <v>0.10599999874830246</v>
      </c>
      <c r="Q61" s="158">
        <v>0.10599999874830246</v>
      </c>
      <c r="R61" s="158">
        <v>0.10599999874830246</v>
      </c>
      <c r="S61" s="158">
        <v>0.10580000281333923</v>
      </c>
      <c r="T61" s="158">
        <v>0.10580000281333923</v>
      </c>
      <c r="U61" s="158">
        <v>0.10580000281333923</v>
      </c>
      <c r="V61" s="158">
        <f t="shared" si="1"/>
        <v>0.10575000196695328</v>
      </c>
      <c r="W61" s="158">
        <v>0.10570000112056732</v>
      </c>
      <c r="X61" s="158">
        <v>0.10559999942779541</v>
      </c>
      <c r="Y61" s="158">
        <v>0.10559999942779541</v>
      </c>
      <c r="Z61" s="158">
        <v>0.10559999942779541</v>
      </c>
      <c r="AA61" s="158">
        <v>0.10540000349283218</v>
      </c>
      <c r="AB61" s="158">
        <v>0.10540000349283218</v>
      </c>
      <c r="AC61" s="158">
        <v>0.10540000349283218</v>
      </c>
      <c r="AD61" s="158">
        <v>0.10540000349283218</v>
      </c>
      <c r="AE61" s="158">
        <v>0.10530000180006027</v>
      </c>
      <c r="AF61" s="158">
        <v>0.10530000180006027</v>
      </c>
    </row>
    <row r="62" spans="1:32" x14ac:dyDescent="0.2">
      <c r="A62" s="158" t="s">
        <v>213</v>
      </c>
      <c r="B62" s="158">
        <v>0.10570000112056732</v>
      </c>
      <c r="C62" s="158">
        <v>0.1054999977350235</v>
      </c>
      <c r="D62" s="158">
        <v>0.1054999977350235</v>
      </c>
      <c r="E62" s="158">
        <v>0.1054999977350235</v>
      </c>
      <c r="F62" s="158">
        <v>0.10540000349283218</v>
      </c>
      <c r="G62" s="158">
        <v>0.10530000180006027</v>
      </c>
      <c r="H62" s="158">
        <v>0.10520000010728836</v>
      </c>
      <c r="I62" s="158">
        <v>0.10520000010728836</v>
      </c>
      <c r="J62" s="158">
        <v>0.10499999672174454</v>
      </c>
      <c r="K62" s="158">
        <v>0.10499999672174454</v>
      </c>
      <c r="L62" s="158">
        <v>0.10499999672174454</v>
      </c>
      <c r="M62" s="158">
        <v>0.10490000247955322</v>
      </c>
      <c r="N62" s="158">
        <v>0.10490000247955322</v>
      </c>
      <c r="O62" s="158">
        <v>0.10480000078678131</v>
      </c>
      <c r="P62" s="158">
        <v>0.10459999740123749</v>
      </c>
      <c r="Q62" s="158">
        <v>0.10459999740123749</v>
      </c>
      <c r="R62" s="158">
        <v>0.10459999740123749</v>
      </c>
      <c r="S62" s="158">
        <v>0.10440000146627426</v>
      </c>
      <c r="T62" s="158">
        <v>0.10450000315904617</v>
      </c>
      <c r="U62" s="158">
        <v>0.10450000315904617</v>
      </c>
      <c r="V62" s="158">
        <f t="shared" si="1"/>
        <v>0.10445000231266022</v>
      </c>
      <c r="W62" s="158">
        <v>0.10440000146627426</v>
      </c>
      <c r="X62" s="158">
        <v>0.10440000146627426</v>
      </c>
      <c r="Y62" s="158">
        <v>0.10429999977350235</v>
      </c>
      <c r="Z62" s="158">
        <v>0.10419999808073044</v>
      </c>
      <c r="AA62" s="158">
        <v>0.10419999808073044</v>
      </c>
      <c r="AB62" s="158">
        <v>0.10419999808073044</v>
      </c>
      <c r="AC62" s="158">
        <v>0.10440000146627426</v>
      </c>
      <c r="AD62" s="158">
        <v>0.10409999638795853</v>
      </c>
      <c r="AE62" s="158">
        <v>0.10400000214576721</v>
      </c>
      <c r="AF62" s="158">
        <v>0.10400000214576721</v>
      </c>
    </row>
    <row r="63" spans="1:32" x14ac:dyDescent="0.2">
      <c r="A63" s="158" t="s">
        <v>214</v>
      </c>
      <c r="B63" s="158">
        <v>0.10689999908208847</v>
      </c>
      <c r="C63" s="158">
        <v>0.10679999738931656</v>
      </c>
      <c r="D63" s="158">
        <v>0.10679999738931656</v>
      </c>
      <c r="E63" s="158">
        <v>0.10679999738931656</v>
      </c>
      <c r="F63" s="158">
        <v>0.10670000314712524</v>
      </c>
      <c r="G63" s="158">
        <v>0.10660000145435333</v>
      </c>
      <c r="H63" s="158">
        <v>0.10649999976158142</v>
      </c>
      <c r="I63" s="158">
        <v>0.1062999963760376</v>
      </c>
      <c r="J63" s="158">
        <v>0.1062999963760376</v>
      </c>
      <c r="K63" s="158">
        <v>0.10620000213384628</v>
      </c>
      <c r="L63" s="158">
        <v>0.1062999963760376</v>
      </c>
      <c r="M63" s="158">
        <v>0.10620000213384628</v>
      </c>
      <c r="N63" s="158">
        <v>0.10610000044107437</v>
      </c>
      <c r="O63" s="158">
        <v>0.10610000044107437</v>
      </c>
      <c r="P63" s="158">
        <v>0.10580000281333923</v>
      </c>
      <c r="Q63" s="158">
        <v>0.10589999705553055</v>
      </c>
      <c r="R63" s="158">
        <v>0.10580000281333923</v>
      </c>
      <c r="S63" s="158">
        <v>0.10570000112056732</v>
      </c>
      <c r="T63" s="158">
        <v>0.10570000112056732</v>
      </c>
      <c r="U63" s="158">
        <v>0.10570000112056732</v>
      </c>
      <c r="V63" s="158">
        <f t="shared" si="1"/>
        <v>0.10565000027418137</v>
      </c>
      <c r="W63" s="158">
        <v>0.10559999942779541</v>
      </c>
      <c r="X63" s="158">
        <v>0.1054999977350235</v>
      </c>
      <c r="Y63" s="158">
        <v>0.1054999977350235</v>
      </c>
      <c r="Z63" s="158">
        <v>0.10540000349283218</v>
      </c>
      <c r="AA63" s="158">
        <v>0.10540000349283218</v>
      </c>
      <c r="AB63" s="158">
        <v>0.10540000349283218</v>
      </c>
      <c r="AC63" s="158">
        <v>0.10540000349283218</v>
      </c>
      <c r="AD63" s="158">
        <v>0.10530000180006027</v>
      </c>
      <c r="AE63" s="158">
        <v>0.10520000010728836</v>
      </c>
      <c r="AF63" s="158">
        <v>0.10530000180006027</v>
      </c>
    </row>
    <row r="64" spans="1:32" x14ac:dyDescent="0.2">
      <c r="A64" s="158" t="s">
        <v>215</v>
      </c>
      <c r="B64" s="158">
        <v>0.10819999873638153</v>
      </c>
      <c r="C64" s="158">
        <v>0.10790000110864639</v>
      </c>
      <c r="D64" s="158">
        <v>0.10779999941587448</v>
      </c>
      <c r="E64" s="158">
        <v>0.1080000028014183</v>
      </c>
      <c r="F64" s="158">
        <v>0.10760000348091125</v>
      </c>
      <c r="G64" s="158">
        <v>0.10750000178813934</v>
      </c>
      <c r="H64" s="158">
        <v>0.10740000009536743</v>
      </c>
      <c r="I64" s="158">
        <v>0.10719999670982361</v>
      </c>
      <c r="J64" s="158">
        <v>0.10719999670982361</v>
      </c>
      <c r="K64" s="158">
        <v>0.10710000246763229</v>
      </c>
      <c r="L64" s="158">
        <v>0.10719999670982361</v>
      </c>
      <c r="M64" s="158">
        <v>0.10700000077486038</v>
      </c>
      <c r="N64" s="158">
        <v>0.10700000077486038</v>
      </c>
      <c r="O64" s="158">
        <v>0.10700000077486038</v>
      </c>
      <c r="P64" s="158">
        <v>0.10679999738931656</v>
      </c>
      <c r="Q64" s="158">
        <v>0.10679999738931656</v>
      </c>
      <c r="R64" s="158">
        <v>0.10670000314712524</v>
      </c>
      <c r="S64" s="158">
        <v>0.10660000145435333</v>
      </c>
      <c r="T64" s="158">
        <v>0.10660000145435333</v>
      </c>
      <c r="U64" s="158">
        <v>0.10660000145435333</v>
      </c>
      <c r="V64" s="158">
        <f t="shared" si="1"/>
        <v>0.10655000060796738</v>
      </c>
      <c r="W64" s="158">
        <v>0.10649999976158142</v>
      </c>
      <c r="X64" s="158">
        <v>0.10649999976158142</v>
      </c>
      <c r="Y64" s="158">
        <v>0.1062999963760376</v>
      </c>
      <c r="Z64" s="158">
        <v>0.1062999963760376</v>
      </c>
      <c r="AA64" s="158">
        <v>0.1062999963760376</v>
      </c>
      <c r="AB64" s="158">
        <v>0.1062999963760376</v>
      </c>
      <c r="AC64" s="158">
        <v>0.1062999963760376</v>
      </c>
      <c r="AD64" s="158">
        <v>0.10620000213384628</v>
      </c>
      <c r="AE64" s="158">
        <v>0.10610000044107437</v>
      </c>
      <c r="AF64" s="158">
        <v>0.10610000044107437</v>
      </c>
    </row>
    <row r="65" spans="1:32" x14ac:dyDescent="0.2">
      <c r="A65" s="158" t="s">
        <v>216</v>
      </c>
      <c r="B65" s="158">
        <v>0.10639999806880951</v>
      </c>
      <c r="C65" s="158">
        <v>0.10599999874830246</v>
      </c>
      <c r="D65" s="158">
        <v>0.10589999705553055</v>
      </c>
      <c r="E65" s="158">
        <v>0.10840000212192535</v>
      </c>
      <c r="F65" s="158">
        <v>0.10869999974966049</v>
      </c>
      <c r="G65" s="158">
        <v>0.10819999873638153</v>
      </c>
      <c r="H65" s="158">
        <v>0.10819999873638153</v>
      </c>
      <c r="I65" s="158">
        <v>0.1080000028014183</v>
      </c>
      <c r="J65" s="158">
        <v>0.10779999941587448</v>
      </c>
      <c r="K65" s="158">
        <v>0.1080000028014183</v>
      </c>
      <c r="L65" s="158">
        <v>0.10830000042915344</v>
      </c>
      <c r="M65" s="158">
        <v>0.1080000028014183</v>
      </c>
      <c r="N65" s="158">
        <v>0.10809999704360962</v>
      </c>
      <c r="O65" s="158">
        <v>0.10779999941587448</v>
      </c>
      <c r="P65" s="158">
        <v>0.10740000009536743</v>
      </c>
      <c r="Q65" s="158">
        <v>0.10760000348091125</v>
      </c>
      <c r="R65" s="158">
        <v>0.10760000348091125</v>
      </c>
      <c r="S65" s="158">
        <v>0.1080000028014183</v>
      </c>
      <c r="T65" s="158">
        <v>0.10750000178813934</v>
      </c>
      <c r="U65" s="158">
        <v>0.10750000178813934</v>
      </c>
      <c r="V65" s="158">
        <f t="shared" si="1"/>
        <v>0.1075500026345253</v>
      </c>
      <c r="W65" s="158">
        <v>0.10760000348091125</v>
      </c>
      <c r="X65" s="158">
        <v>0.10779999941587448</v>
      </c>
      <c r="Y65" s="158">
        <v>0.10740000009536743</v>
      </c>
      <c r="Z65" s="158">
        <v>0.10750000178813934</v>
      </c>
      <c r="AA65" s="158">
        <v>0.10920000076293945</v>
      </c>
      <c r="AB65" s="158">
        <v>0.10830000042915344</v>
      </c>
      <c r="AC65" s="158">
        <v>0.10909999907016754</v>
      </c>
      <c r="AD65" s="158">
        <v>0.10819999873638153</v>
      </c>
      <c r="AE65" s="158">
        <v>0.10740000009536743</v>
      </c>
      <c r="AF65" s="158">
        <v>0.10849999636411667</v>
      </c>
    </row>
    <row r="66" spans="1:32" x14ac:dyDescent="0.2">
      <c r="A66" s="158" t="s">
        <v>217</v>
      </c>
      <c r="B66" s="158">
        <v>0.10580000281333923</v>
      </c>
      <c r="C66" s="158">
        <v>0.10570000112056732</v>
      </c>
      <c r="D66" s="158">
        <v>0.10570000112056732</v>
      </c>
      <c r="E66" s="158">
        <v>0.10580000281333923</v>
      </c>
      <c r="F66" s="158">
        <v>0.1054999977350235</v>
      </c>
      <c r="G66" s="158">
        <v>0.10559999942779541</v>
      </c>
      <c r="H66" s="158">
        <v>0.10540000349283218</v>
      </c>
      <c r="I66" s="158">
        <v>0.10530000180006027</v>
      </c>
      <c r="J66" s="158">
        <v>0.10520000010728836</v>
      </c>
      <c r="K66" s="158">
        <v>0.10520000010728836</v>
      </c>
      <c r="L66" s="158">
        <v>0.10520000010728836</v>
      </c>
      <c r="M66" s="158">
        <v>0.10509999841451645</v>
      </c>
      <c r="N66" s="158">
        <v>0.10509999841451645</v>
      </c>
      <c r="O66" s="158">
        <v>0.10499999672174454</v>
      </c>
      <c r="P66" s="158">
        <v>0.10480000078678131</v>
      </c>
      <c r="Q66" s="158">
        <v>0.10480000078678131</v>
      </c>
      <c r="R66" s="158">
        <v>0.10480000078678131</v>
      </c>
      <c r="S66" s="158">
        <v>0.1046999990940094</v>
      </c>
      <c r="T66" s="158">
        <v>0.1046999990940094</v>
      </c>
      <c r="U66" s="158">
        <v>0.1046999990940094</v>
      </c>
      <c r="V66" s="158">
        <f t="shared" si="1"/>
        <v>0.10464999824762344</v>
      </c>
      <c r="W66" s="158">
        <v>0.10459999740123749</v>
      </c>
      <c r="X66" s="158">
        <v>0.10459999740123749</v>
      </c>
      <c r="Y66" s="158">
        <v>0.10450000315904617</v>
      </c>
      <c r="Z66" s="158">
        <v>0.10450000315904617</v>
      </c>
      <c r="AA66" s="158">
        <v>0.10429999977350235</v>
      </c>
      <c r="AB66" s="158">
        <v>0.10429999977350235</v>
      </c>
      <c r="AC66" s="158">
        <v>0.10429999977350235</v>
      </c>
      <c r="AD66" s="158">
        <v>0.10429999977350235</v>
      </c>
      <c r="AE66" s="158">
        <v>0.10419999808073044</v>
      </c>
      <c r="AF66" s="158">
        <v>0.10419999808073044</v>
      </c>
    </row>
    <row r="67" spans="1:32" x14ac:dyDescent="0.2">
      <c r="A67" s="158" t="s">
        <v>218</v>
      </c>
      <c r="B67" s="158">
        <v>0.10999999940395355</v>
      </c>
      <c r="C67" s="158">
        <v>0.10859999805688858</v>
      </c>
      <c r="D67" s="158">
        <v>0.1088000014424324</v>
      </c>
      <c r="E67" s="158">
        <v>0.10869999974966049</v>
      </c>
      <c r="F67" s="158">
        <v>0.10859999805688858</v>
      </c>
      <c r="G67" s="158">
        <v>0.10890000313520432</v>
      </c>
      <c r="H67" s="158">
        <v>0.10849999636411667</v>
      </c>
      <c r="I67" s="158">
        <v>0.10830000042915344</v>
      </c>
      <c r="J67" s="158">
        <v>0.10840000212192535</v>
      </c>
      <c r="K67" s="158">
        <v>0.10809999704360962</v>
      </c>
      <c r="L67" s="158">
        <v>0.10869999974966049</v>
      </c>
      <c r="M67" s="158">
        <v>0.10849999636411667</v>
      </c>
      <c r="N67" s="158">
        <v>0.10859999805688858</v>
      </c>
      <c r="O67" s="158">
        <v>0.10849999636411667</v>
      </c>
      <c r="P67" s="158">
        <v>0.1080000028014183</v>
      </c>
      <c r="Q67" s="158">
        <v>0.10769999772310257</v>
      </c>
      <c r="R67" s="158">
        <v>0.10769999772310257</v>
      </c>
      <c r="S67" s="158">
        <v>0.1080000028014183</v>
      </c>
      <c r="T67" s="158">
        <v>0.10769999772310257</v>
      </c>
      <c r="U67" s="158">
        <v>0.10809999704360962</v>
      </c>
      <c r="V67" s="158">
        <f t="shared" si="1"/>
        <v>0.10794999822974205</v>
      </c>
      <c r="W67" s="158">
        <v>0.10779999941587448</v>
      </c>
      <c r="X67" s="158">
        <v>0.10740000009536743</v>
      </c>
      <c r="Y67" s="158">
        <v>0.10750000178813934</v>
      </c>
      <c r="Z67" s="158">
        <v>0.10750000178813934</v>
      </c>
      <c r="AA67" s="158">
        <v>0.10620000213384628</v>
      </c>
      <c r="AB67" s="158">
        <v>0.10670000314712524</v>
      </c>
      <c r="AC67" s="158">
        <v>0.10620000213384628</v>
      </c>
      <c r="AD67" s="158">
        <v>0.10700000077486038</v>
      </c>
      <c r="AE67" s="158">
        <v>0.10679999738931656</v>
      </c>
      <c r="AF67" s="158">
        <v>0.10639999806880951</v>
      </c>
    </row>
    <row r="68" spans="1:32" x14ac:dyDescent="0.2">
      <c r="A68" s="158" t="s">
        <v>219</v>
      </c>
      <c r="B68" s="158">
        <v>0.10649999976158142</v>
      </c>
      <c r="C68" s="158">
        <v>0.10620000213384628</v>
      </c>
      <c r="D68" s="158">
        <v>0.10610000044107437</v>
      </c>
      <c r="E68" s="158">
        <v>0.10639999806880951</v>
      </c>
      <c r="F68" s="158">
        <v>0.10620000213384628</v>
      </c>
      <c r="G68" s="158">
        <v>0.10620000213384628</v>
      </c>
      <c r="H68" s="158">
        <v>0.10610000044107437</v>
      </c>
      <c r="I68" s="158">
        <v>0.10589999705553055</v>
      </c>
      <c r="J68" s="158">
        <v>0.10610000044107437</v>
      </c>
      <c r="K68" s="158">
        <v>0.10589999705553055</v>
      </c>
      <c r="L68" s="158">
        <v>0.10589999705553055</v>
      </c>
      <c r="M68" s="158">
        <v>0.10570000112056732</v>
      </c>
      <c r="N68" s="158">
        <v>0.10570000112056732</v>
      </c>
      <c r="O68" s="158">
        <v>0.10559999942779541</v>
      </c>
      <c r="P68" s="158">
        <v>0.10540000349283218</v>
      </c>
      <c r="Q68" s="158">
        <v>0.10540000349283218</v>
      </c>
      <c r="R68" s="158">
        <v>0.10540000349283218</v>
      </c>
      <c r="S68" s="158">
        <v>0.10530000180006027</v>
      </c>
      <c r="T68" s="158">
        <v>0.10530000180006027</v>
      </c>
      <c r="U68" s="158">
        <v>0.10530000180006027</v>
      </c>
      <c r="V68" s="158">
        <f t="shared" si="1"/>
        <v>0.10525000095367432</v>
      </c>
      <c r="W68" s="158">
        <v>0.10520000010728836</v>
      </c>
      <c r="X68" s="158">
        <v>0.10509999841451645</v>
      </c>
      <c r="Y68" s="158">
        <v>0.10499999672174454</v>
      </c>
      <c r="Z68" s="158">
        <v>0.10520000010728836</v>
      </c>
      <c r="AA68" s="158">
        <v>0.10490000247955322</v>
      </c>
      <c r="AB68" s="158">
        <v>0.10490000247955322</v>
      </c>
      <c r="AC68" s="158">
        <v>0.10490000247955322</v>
      </c>
      <c r="AD68" s="158">
        <v>0.10480000078678131</v>
      </c>
      <c r="AE68" s="158">
        <v>0.10499999672174454</v>
      </c>
      <c r="AF68" s="158">
        <v>0.10480000078678131</v>
      </c>
    </row>
    <row r="69" spans="1:32" x14ac:dyDescent="0.2">
      <c r="A69" s="158" t="s">
        <v>220</v>
      </c>
      <c r="B69" s="158">
        <v>0.10679999738931656</v>
      </c>
      <c r="C69" s="158">
        <v>0.10660000145435333</v>
      </c>
      <c r="D69" s="158">
        <v>0.10649999976158142</v>
      </c>
      <c r="E69" s="158">
        <v>0.10649999976158142</v>
      </c>
      <c r="F69" s="158">
        <v>0.1062999963760376</v>
      </c>
      <c r="G69" s="158">
        <v>0.10620000213384628</v>
      </c>
      <c r="H69" s="158">
        <v>0.10610000044107437</v>
      </c>
      <c r="I69" s="158">
        <v>0.10599999874830246</v>
      </c>
      <c r="J69" s="158">
        <v>0.10589999705553055</v>
      </c>
      <c r="K69" s="158">
        <v>0.10589999705553055</v>
      </c>
      <c r="L69" s="158">
        <v>0.10589999705553055</v>
      </c>
      <c r="M69" s="158">
        <v>0.10580000281333923</v>
      </c>
      <c r="N69" s="158">
        <v>0.10570000112056732</v>
      </c>
      <c r="O69" s="158">
        <v>0.10559999942779541</v>
      </c>
      <c r="P69" s="158">
        <v>0.10540000349283218</v>
      </c>
      <c r="Q69" s="158">
        <v>0.10540000349283218</v>
      </c>
      <c r="R69" s="158">
        <v>0.10530000180006027</v>
      </c>
      <c r="S69" s="158">
        <v>0.10520000010728836</v>
      </c>
      <c r="T69" s="158">
        <v>0.10520000010728836</v>
      </c>
      <c r="U69" s="158">
        <v>0.10520000010728836</v>
      </c>
      <c r="V69" s="158">
        <f t="shared" si="1"/>
        <v>0.10509999841451645</v>
      </c>
      <c r="W69" s="158">
        <v>0.10499999672174454</v>
      </c>
      <c r="X69" s="158">
        <v>0.10499999672174454</v>
      </c>
      <c r="Y69" s="158">
        <v>0.10480000078678131</v>
      </c>
      <c r="Z69" s="158">
        <v>0.10480000078678131</v>
      </c>
      <c r="AA69" s="158">
        <v>0.10459999740123749</v>
      </c>
      <c r="AB69" s="158">
        <v>0.10459999740123749</v>
      </c>
      <c r="AC69" s="158">
        <v>0.10459999740123749</v>
      </c>
      <c r="AD69" s="158">
        <v>0.10450000315904617</v>
      </c>
      <c r="AE69" s="158">
        <v>0.10440000146627426</v>
      </c>
      <c r="AF69" s="158">
        <v>0.10440000146627426</v>
      </c>
    </row>
    <row r="70" spans="1:32" x14ac:dyDescent="0.2">
      <c r="A70" s="158" t="s">
        <v>221</v>
      </c>
      <c r="B70" s="158">
        <v>0.10620000213384628</v>
      </c>
      <c r="C70" s="158">
        <v>0.10610000044107437</v>
      </c>
      <c r="D70" s="158">
        <v>0.10599999874830246</v>
      </c>
      <c r="E70" s="158">
        <v>0.10610000044107437</v>
      </c>
      <c r="F70" s="158">
        <v>0.10589999705553055</v>
      </c>
      <c r="G70" s="158">
        <v>0.10599999874830246</v>
      </c>
      <c r="H70" s="158">
        <v>0.10589999705553055</v>
      </c>
      <c r="I70" s="158">
        <v>0.10580000281333923</v>
      </c>
      <c r="J70" s="158">
        <v>0.10570000112056732</v>
      </c>
      <c r="K70" s="158">
        <v>0.10570000112056732</v>
      </c>
      <c r="L70" s="158">
        <v>0.10580000281333923</v>
      </c>
      <c r="M70" s="158">
        <v>0.10570000112056732</v>
      </c>
      <c r="N70" s="158">
        <v>0.10559999942779541</v>
      </c>
      <c r="O70" s="158">
        <v>0.10540000349283218</v>
      </c>
      <c r="P70" s="158">
        <v>0.10530000180006027</v>
      </c>
      <c r="Q70" s="158">
        <v>0.10530000180006027</v>
      </c>
      <c r="R70" s="158">
        <v>0.10520000010728836</v>
      </c>
      <c r="S70" s="158">
        <v>0.10530000180006027</v>
      </c>
      <c r="T70" s="158">
        <v>0.10530000180006027</v>
      </c>
      <c r="U70" s="158">
        <v>0.10540000349283218</v>
      </c>
      <c r="V70" s="158">
        <f t="shared" si="1"/>
        <v>0.10530000180006027</v>
      </c>
      <c r="W70" s="158">
        <v>0.10520000010728836</v>
      </c>
      <c r="X70" s="158">
        <v>0.10520000010728836</v>
      </c>
      <c r="Y70" s="158">
        <v>0.10499999672174454</v>
      </c>
      <c r="Z70" s="158">
        <v>0.10490000247955322</v>
      </c>
      <c r="AA70" s="158">
        <v>0.10490000247955322</v>
      </c>
      <c r="AB70" s="158">
        <v>0.10480000078678131</v>
      </c>
      <c r="AC70" s="158">
        <v>0.1046999990940094</v>
      </c>
      <c r="AD70" s="158">
        <v>0.10480000078678131</v>
      </c>
      <c r="AE70" s="158">
        <v>0.1046999990940094</v>
      </c>
      <c r="AF70" s="158">
        <v>0.10480000078678131</v>
      </c>
    </row>
    <row r="71" spans="1:32" x14ac:dyDescent="0.2">
      <c r="A71" s="158" t="s">
        <v>222</v>
      </c>
      <c r="B71" s="158">
        <v>0.10649999976158142</v>
      </c>
      <c r="C71" s="158">
        <v>0.10610000044107437</v>
      </c>
      <c r="D71" s="158">
        <v>0.10599999874830246</v>
      </c>
      <c r="E71" s="158">
        <v>0.10610000044107437</v>
      </c>
      <c r="F71" s="158">
        <v>0.10589999705553055</v>
      </c>
      <c r="G71" s="158">
        <v>0.10580000281333923</v>
      </c>
      <c r="H71" s="158">
        <v>0.10570000112056732</v>
      </c>
      <c r="I71" s="158">
        <v>0.10559999942779541</v>
      </c>
      <c r="J71" s="158">
        <v>0.1054999977350235</v>
      </c>
      <c r="K71" s="158">
        <v>0.1054999977350235</v>
      </c>
      <c r="L71" s="158">
        <v>0.1054999977350235</v>
      </c>
      <c r="M71" s="158">
        <v>0.10540000349283218</v>
      </c>
      <c r="N71" s="158">
        <v>0.10540000349283218</v>
      </c>
      <c r="O71" s="158">
        <v>0.10530000180006027</v>
      </c>
      <c r="P71" s="158">
        <v>0.10499999672174454</v>
      </c>
      <c r="Q71" s="158">
        <v>0.10499999672174454</v>
      </c>
      <c r="R71" s="158">
        <v>0.10499999672174454</v>
      </c>
      <c r="S71" s="158">
        <v>0.10490000247955322</v>
      </c>
      <c r="T71" s="158">
        <v>0.10490000247955322</v>
      </c>
      <c r="U71" s="158">
        <v>0.10490000247955322</v>
      </c>
      <c r="V71" s="158">
        <f t="shared" si="1"/>
        <v>0.10485000163316727</v>
      </c>
      <c r="W71" s="158">
        <v>0.10480000078678131</v>
      </c>
      <c r="X71" s="158">
        <v>0.10480000078678131</v>
      </c>
      <c r="Y71" s="158">
        <v>0.1046999990940094</v>
      </c>
      <c r="Z71" s="158">
        <v>0.10450000315904617</v>
      </c>
      <c r="AA71" s="158">
        <v>0.10450000315904617</v>
      </c>
      <c r="AB71" s="158">
        <v>0.10450000315904617</v>
      </c>
      <c r="AC71" s="158">
        <v>0.10440000146627426</v>
      </c>
      <c r="AD71" s="158">
        <v>0.10440000146627426</v>
      </c>
      <c r="AE71" s="158">
        <v>0.10440000146627426</v>
      </c>
      <c r="AF71" s="158">
        <v>0.10429999977350235</v>
      </c>
    </row>
    <row r="72" spans="1:32" x14ac:dyDescent="0.2">
      <c r="A72" s="158" t="s">
        <v>223</v>
      </c>
      <c r="B72" s="158">
        <v>0.10710000246763229</v>
      </c>
      <c r="C72" s="158">
        <v>0.10689999908208847</v>
      </c>
      <c r="D72" s="158">
        <v>0.10679999738931656</v>
      </c>
      <c r="E72" s="158">
        <v>0.10679999738931656</v>
      </c>
      <c r="F72" s="158">
        <v>0.10689999908208847</v>
      </c>
      <c r="G72" s="158">
        <v>0.10670000314712524</v>
      </c>
      <c r="H72" s="158">
        <v>0.10670000314712524</v>
      </c>
      <c r="I72" s="158">
        <v>0.10649999976158142</v>
      </c>
      <c r="J72" s="158">
        <v>0.10649999976158142</v>
      </c>
      <c r="K72" s="158">
        <v>0.10639999806880951</v>
      </c>
      <c r="L72" s="158">
        <v>0.10649999976158142</v>
      </c>
      <c r="M72" s="158">
        <v>0.10639999806880951</v>
      </c>
      <c r="N72" s="158">
        <v>0.1062999963760376</v>
      </c>
      <c r="O72" s="158">
        <v>0.10620000213384628</v>
      </c>
      <c r="P72" s="158">
        <v>0.10610000044107437</v>
      </c>
      <c r="Q72" s="158">
        <v>0.10599999874830246</v>
      </c>
      <c r="R72" s="158">
        <v>0.10599999874830246</v>
      </c>
      <c r="S72" s="158">
        <v>0.10610000044107437</v>
      </c>
      <c r="T72" s="158">
        <v>0.10610000044107437</v>
      </c>
      <c r="U72" s="158">
        <v>0.10610000044107437</v>
      </c>
      <c r="V72" s="158">
        <f t="shared" si="1"/>
        <v>0.10610000044107437</v>
      </c>
      <c r="W72" s="158">
        <v>0.10610000044107437</v>
      </c>
      <c r="X72" s="158">
        <v>0.10599999874830246</v>
      </c>
      <c r="Y72" s="158">
        <v>0.10589999705553055</v>
      </c>
      <c r="Z72" s="158">
        <v>0.10580000281333923</v>
      </c>
      <c r="AA72" s="158">
        <v>0.10589999705553055</v>
      </c>
      <c r="AB72" s="158">
        <v>0.10559999942779541</v>
      </c>
      <c r="AC72" s="158">
        <v>0.10559999942779541</v>
      </c>
      <c r="AD72" s="158">
        <v>0.10559999942779541</v>
      </c>
      <c r="AE72" s="158">
        <v>0.10559999942779541</v>
      </c>
      <c r="AF72" s="158">
        <v>0.10589999705553055</v>
      </c>
    </row>
    <row r="73" spans="1:32" x14ac:dyDescent="0.2">
      <c r="A73" s="158" t="s">
        <v>224</v>
      </c>
      <c r="B73" s="158">
        <v>0.10710000246763229</v>
      </c>
      <c r="C73" s="158">
        <v>0.10679999738931656</v>
      </c>
      <c r="D73" s="158">
        <v>0.10670000314712524</v>
      </c>
      <c r="E73" s="158">
        <v>0.10670000314712524</v>
      </c>
      <c r="F73" s="158">
        <v>0.10660000145435333</v>
      </c>
      <c r="G73" s="158">
        <v>0.10660000145435333</v>
      </c>
      <c r="H73" s="158">
        <v>0.10639999806880951</v>
      </c>
      <c r="I73" s="158">
        <v>0.1062999963760376</v>
      </c>
      <c r="J73" s="158">
        <v>0.10620000213384628</v>
      </c>
      <c r="K73" s="158">
        <v>0.10620000213384628</v>
      </c>
      <c r="L73" s="158">
        <v>0.10620000213384628</v>
      </c>
      <c r="M73" s="158">
        <v>0.10599999874830246</v>
      </c>
      <c r="N73" s="158">
        <v>0.10589999705553055</v>
      </c>
      <c r="O73" s="158">
        <v>0.10570000112056732</v>
      </c>
      <c r="P73" s="158">
        <v>0.1054999977350235</v>
      </c>
      <c r="Q73" s="158">
        <v>0.1054999977350235</v>
      </c>
      <c r="R73" s="158">
        <v>0.1054999977350235</v>
      </c>
      <c r="S73" s="158">
        <v>0.1054999977350235</v>
      </c>
      <c r="T73" s="158">
        <v>0.10559999942779541</v>
      </c>
      <c r="U73" s="158">
        <v>0.10570000112056732</v>
      </c>
      <c r="V73" s="158">
        <f t="shared" si="1"/>
        <v>0.10559999942779541</v>
      </c>
      <c r="W73" s="158">
        <v>0.1054999977350235</v>
      </c>
      <c r="X73" s="158">
        <v>0.10540000349283218</v>
      </c>
      <c r="Y73" s="158">
        <v>0.10520000010728836</v>
      </c>
      <c r="Z73" s="158">
        <v>0.10509999841451645</v>
      </c>
      <c r="AA73" s="158">
        <v>0.10490000247955322</v>
      </c>
      <c r="AB73" s="158">
        <v>0.10480000078678131</v>
      </c>
      <c r="AC73" s="158">
        <v>0.10480000078678131</v>
      </c>
      <c r="AD73" s="158">
        <v>0.10480000078678131</v>
      </c>
      <c r="AE73" s="158">
        <v>0.1046999990940094</v>
      </c>
      <c r="AF73" s="158">
        <v>0.10490000247955322</v>
      </c>
    </row>
    <row r="74" spans="1:32" x14ac:dyDescent="0.2">
      <c r="A74" s="158" t="s">
        <v>225</v>
      </c>
      <c r="B74" s="158">
        <v>0.10719999670982361</v>
      </c>
      <c r="C74" s="158">
        <v>0.10719999670982361</v>
      </c>
      <c r="D74" s="158">
        <v>0.10719999670982361</v>
      </c>
      <c r="E74" s="158">
        <v>0.10729999840259552</v>
      </c>
      <c r="F74" s="158">
        <v>0.10729999840259552</v>
      </c>
      <c r="G74" s="158">
        <v>0.10740000009536743</v>
      </c>
      <c r="H74" s="158">
        <v>0.10729999840259552</v>
      </c>
      <c r="I74" s="158">
        <v>0.10729999840259552</v>
      </c>
      <c r="J74" s="158">
        <v>0.10719999670982361</v>
      </c>
      <c r="K74" s="158">
        <v>0.10719999670982361</v>
      </c>
      <c r="L74" s="158">
        <v>0.10719999670982361</v>
      </c>
      <c r="M74" s="158">
        <v>0.10729999840259552</v>
      </c>
      <c r="N74" s="158">
        <v>0.10689999908208847</v>
      </c>
      <c r="O74" s="158">
        <v>0.10679999738931656</v>
      </c>
      <c r="P74" s="158">
        <v>0.10660000145435333</v>
      </c>
      <c r="Q74" s="158">
        <v>0.10660000145435333</v>
      </c>
      <c r="R74" s="158">
        <v>0.10660000145435333</v>
      </c>
      <c r="S74" s="158">
        <v>0.10670000314712524</v>
      </c>
      <c r="T74" s="158">
        <v>0.10679999738931656</v>
      </c>
      <c r="U74" s="158">
        <v>0.10689999908208847</v>
      </c>
      <c r="V74" s="158">
        <f t="shared" si="1"/>
        <v>0.10684999823570251</v>
      </c>
      <c r="W74" s="158">
        <v>0.10679999738931656</v>
      </c>
      <c r="X74" s="158">
        <v>0.10679999738931656</v>
      </c>
      <c r="Y74" s="158">
        <v>0.10649999976158142</v>
      </c>
      <c r="Z74" s="158">
        <v>0.1062999963760376</v>
      </c>
      <c r="AA74" s="158">
        <v>0.10620000213384628</v>
      </c>
      <c r="AB74" s="158">
        <v>0.10610000044107437</v>
      </c>
      <c r="AC74" s="158">
        <v>0.10610000044107437</v>
      </c>
      <c r="AD74" s="158">
        <v>0.10610000044107437</v>
      </c>
      <c r="AE74" s="158">
        <v>0.10610000044107437</v>
      </c>
      <c r="AF74" s="158">
        <v>0.10620000213384628</v>
      </c>
    </row>
    <row r="75" spans="1:32" x14ac:dyDescent="0.2">
      <c r="A75" s="158" t="s">
        <v>226</v>
      </c>
      <c r="B75" s="158">
        <v>0.10740000009536743</v>
      </c>
      <c r="C75" s="158">
        <v>0.10710000246763229</v>
      </c>
      <c r="D75" s="158">
        <v>0.10710000246763229</v>
      </c>
      <c r="E75" s="158">
        <v>0.10700000077486038</v>
      </c>
      <c r="F75" s="158">
        <v>0.10689999908208847</v>
      </c>
      <c r="G75" s="158">
        <v>0.10719999670982361</v>
      </c>
      <c r="H75" s="158">
        <v>0.10679999738931656</v>
      </c>
      <c r="I75" s="158">
        <v>0.10670000314712524</v>
      </c>
      <c r="J75" s="158">
        <v>0.10670000314712524</v>
      </c>
      <c r="K75" s="158">
        <v>0.10670000314712524</v>
      </c>
      <c r="L75" s="158">
        <v>0.10670000314712524</v>
      </c>
      <c r="M75" s="158">
        <v>0.10649999976158142</v>
      </c>
      <c r="N75" s="158">
        <v>0.10639999806880951</v>
      </c>
      <c r="O75" s="158">
        <v>0.10620000213384628</v>
      </c>
      <c r="P75" s="158">
        <v>0.10599999874830246</v>
      </c>
      <c r="Q75" s="158">
        <v>0.10599999874830246</v>
      </c>
      <c r="R75" s="158">
        <v>0.10599999874830246</v>
      </c>
      <c r="S75" s="158">
        <v>0.10599999874830246</v>
      </c>
      <c r="T75" s="158">
        <v>0.10610000044107437</v>
      </c>
      <c r="U75" s="158">
        <v>0.10620000213384628</v>
      </c>
      <c r="V75" s="158">
        <f t="shared" si="1"/>
        <v>0.10615000128746033</v>
      </c>
      <c r="W75" s="158">
        <v>0.10610000044107437</v>
      </c>
      <c r="X75" s="158">
        <v>0.10599999874830246</v>
      </c>
      <c r="Y75" s="158">
        <v>0.10570000112056732</v>
      </c>
      <c r="Z75" s="158">
        <v>0.1054999977350235</v>
      </c>
      <c r="AA75" s="158">
        <v>0.10540000349283218</v>
      </c>
      <c r="AB75" s="158">
        <v>0.10540000349283218</v>
      </c>
      <c r="AC75" s="158">
        <v>0.10530000180006027</v>
      </c>
      <c r="AD75" s="158">
        <v>0.10540000349283218</v>
      </c>
      <c r="AE75" s="158">
        <v>0.10530000180006027</v>
      </c>
      <c r="AF75" s="158">
        <v>0.1054999977350235</v>
      </c>
    </row>
    <row r="76" spans="1:32" x14ac:dyDescent="0.2">
      <c r="A76" s="158" t="s">
        <v>227</v>
      </c>
      <c r="B76" s="158">
        <v>0.10859999805688858</v>
      </c>
      <c r="C76" s="158">
        <v>0.10819999873638153</v>
      </c>
      <c r="D76" s="158">
        <v>0.10809999704360962</v>
      </c>
      <c r="E76" s="158">
        <v>0.10819999873638153</v>
      </c>
      <c r="F76" s="158">
        <v>0.10809999704360962</v>
      </c>
      <c r="G76" s="158">
        <v>0.10819999873638153</v>
      </c>
      <c r="H76" s="158">
        <v>0.10809999704360962</v>
      </c>
      <c r="I76" s="158">
        <v>0.1080000028014183</v>
      </c>
      <c r="J76" s="158">
        <v>0.1080000028014183</v>
      </c>
      <c r="K76" s="158">
        <v>0.1080000028014183</v>
      </c>
      <c r="L76" s="158">
        <v>0.1080000028014183</v>
      </c>
      <c r="M76" s="158">
        <v>0.10779999941587448</v>
      </c>
      <c r="N76" s="158">
        <v>0.10769999772310257</v>
      </c>
      <c r="O76" s="158">
        <v>0.10750000178813934</v>
      </c>
      <c r="P76" s="158">
        <v>0.10729999840259552</v>
      </c>
      <c r="Q76" s="158">
        <v>0.10760000348091125</v>
      </c>
      <c r="R76" s="158">
        <v>0.10729999840259552</v>
      </c>
      <c r="S76" s="158">
        <v>0.10760000348091125</v>
      </c>
      <c r="T76" s="158">
        <v>0.10760000348091125</v>
      </c>
      <c r="U76" s="158">
        <v>0.10769999772310257</v>
      </c>
      <c r="V76" s="158">
        <f t="shared" si="1"/>
        <v>0.10799999907612801</v>
      </c>
      <c r="W76" s="158">
        <v>0.10830000042915344</v>
      </c>
      <c r="X76" s="158">
        <v>0.10819999873638153</v>
      </c>
      <c r="Y76" s="158">
        <v>0.10939999669790268</v>
      </c>
      <c r="Z76" s="158">
        <v>0.10899999737739563</v>
      </c>
      <c r="AA76" s="158">
        <v>0.10920000076293945</v>
      </c>
      <c r="AB76" s="158">
        <v>0.10930000245571136</v>
      </c>
      <c r="AC76" s="158">
        <v>0.10890000313520432</v>
      </c>
      <c r="AD76" s="158">
        <v>0.10890000313520432</v>
      </c>
      <c r="AE76" s="158">
        <v>0.1088000014424324</v>
      </c>
      <c r="AF76" s="158">
        <v>0.10830000042915344</v>
      </c>
    </row>
    <row r="77" spans="1:32" x14ac:dyDescent="0.2">
      <c r="A77" s="158" t="s">
        <v>228</v>
      </c>
      <c r="B77" s="158">
        <v>0.10719999670982361</v>
      </c>
      <c r="C77" s="158">
        <v>0.10660000145435333</v>
      </c>
      <c r="D77" s="158">
        <v>0.10660000145435333</v>
      </c>
      <c r="E77" s="158">
        <v>0.10660000145435333</v>
      </c>
      <c r="F77" s="158">
        <v>0.10639999806880951</v>
      </c>
      <c r="G77" s="158">
        <v>0.10649999976158142</v>
      </c>
      <c r="H77" s="158">
        <v>0.10660000145435333</v>
      </c>
      <c r="I77" s="158">
        <v>0.10620000213384628</v>
      </c>
      <c r="J77" s="158">
        <v>0.10620000213384628</v>
      </c>
      <c r="K77" s="158">
        <v>0.10620000213384628</v>
      </c>
      <c r="L77" s="158">
        <v>0.10610000044107437</v>
      </c>
      <c r="M77" s="158">
        <v>0.10589999705553055</v>
      </c>
      <c r="N77" s="158">
        <v>0.10580000281333923</v>
      </c>
      <c r="O77" s="158">
        <v>0.1054999977350235</v>
      </c>
      <c r="P77" s="158">
        <v>0.10530000180006027</v>
      </c>
      <c r="Q77" s="158">
        <v>0.10530000180006027</v>
      </c>
      <c r="R77" s="158">
        <v>0.10530000180006027</v>
      </c>
      <c r="S77" s="158">
        <v>0.10540000349283218</v>
      </c>
      <c r="T77" s="158">
        <v>0.10570000112056732</v>
      </c>
      <c r="U77" s="158">
        <v>0.10570000112056732</v>
      </c>
      <c r="V77" s="158">
        <f t="shared" si="1"/>
        <v>0.10610000044107437</v>
      </c>
      <c r="W77" s="158">
        <v>0.10649999976158142</v>
      </c>
      <c r="X77" s="158">
        <v>0.10639999806880951</v>
      </c>
      <c r="Y77" s="158">
        <v>0.10620000213384628</v>
      </c>
      <c r="Z77" s="158">
        <v>0.10580000281333923</v>
      </c>
      <c r="AA77" s="158">
        <v>0.10570000112056732</v>
      </c>
      <c r="AB77" s="158">
        <v>0.10559999942779541</v>
      </c>
      <c r="AC77" s="158">
        <v>0.10540000349283218</v>
      </c>
      <c r="AD77" s="158">
        <v>0.1054999977350235</v>
      </c>
      <c r="AE77" s="158">
        <v>0.1054999977350235</v>
      </c>
      <c r="AF77" s="158">
        <v>0.10580000281333923</v>
      </c>
    </row>
    <row r="78" spans="1:32" x14ac:dyDescent="0.2">
      <c r="A78" s="158" t="s">
        <v>229</v>
      </c>
      <c r="B78" s="158">
        <v>0.10790000110864639</v>
      </c>
      <c r="C78" s="158">
        <v>0.10760000348091125</v>
      </c>
      <c r="D78" s="158">
        <v>0.10750000178813934</v>
      </c>
      <c r="E78" s="158">
        <v>0.10750000178813934</v>
      </c>
      <c r="F78" s="158">
        <v>0.10750000178813934</v>
      </c>
      <c r="G78" s="158">
        <v>0.10760000348091125</v>
      </c>
      <c r="H78" s="158">
        <v>0.10750000178813934</v>
      </c>
      <c r="I78" s="158">
        <v>0.10750000178813934</v>
      </c>
      <c r="J78" s="158">
        <v>0.10740000009536743</v>
      </c>
      <c r="K78" s="158">
        <v>0.10740000009536743</v>
      </c>
      <c r="L78" s="158">
        <v>0.10740000009536743</v>
      </c>
      <c r="M78" s="158">
        <v>0.10719999670982361</v>
      </c>
      <c r="N78" s="158">
        <v>0.10700000077486038</v>
      </c>
      <c r="O78" s="158">
        <v>0.10670000314712524</v>
      </c>
      <c r="P78" s="158">
        <v>0.10679999738931656</v>
      </c>
      <c r="Q78" s="158">
        <v>0.10649999976158142</v>
      </c>
      <c r="R78" s="158">
        <v>0.10660000145435333</v>
      </c>
      <c r="S78" s="158">
        <v>0.10679999738931656</v>
      </c>
      <c r="T78" s="158">
        <v>0.10700000077486038</v>
      </c>
      <c r="U78" s="158">
        <v>0.10710000246763229</v>
      </c>
      <c r="V78" s="158">
        <f t="shared" si="1"/>
        <v>0.10710000246763229</v>
      </c>
      <c r="W78" s="158">
        <v>0.10710000246763229</v>
      </c>
      <c r="X78" s="158">
        <v>0.10679999738931656</v>
      </c>
      <c r="Y78" s="158">
        <v>0.10660000145435333</v>
      </c>
      <c r="Z78" s="158">
        <v>0.1062999963760376</v>
      </c>
      <c r="AA78" s="158">
        <v>0.10620000213384628</v>
      </c>
      <c r="AB78" s="158">
        <v>0.10599999874830246</v>
      </c>
      <c r="AC78" s="158">
        <v>0.10589999705553055</v>
      </c>
      <c r="AD78" s="158">
        <v>0.10599999874830246</v>
      </c>
      <c r="AE78" s="158">
        <v>0.10599999874830246</v>
      </c>
      <c r="AF78" s="158">
        <v>0.10610000044107437</v>
      </c>
    </row>
    <row r="79" spans="1:32" x14ac:dyDescent="0.2">
      <c r="A79" s="158" t="s">
        <v>230</v>
      </c>
      <c r="B79" s="158">
        <v>0.10639999806880951</v>
      </c>
      <c r="C79" s="158">
        <v>0.10589999705553055</v>
      </c>
      <c r="D79" s="158">
        <v>0.10570000112056732</v>
      </c>
      <c r="E79" s="158">
        <v>0.10570000112056732</v>
      </c>
      <c r="F79" s="158">
        <v>0.1054999977350235</v>
      </c>
      <c r="G79" s="158">
        <v>0.10559999942779541</v>
      </c>
      <c r="H79" s="158">
        <v>0.10540000349283218</v>
      </c>
      <c r="I79" s="158">
        <v>0.10530000180006027</v>
      </c>
      <c r="J79" s="158">
        <v>0.10509999841451645</v>
      </c>
      <c r="K79" s="158">
        <v>0.10520000010728836</v>
      </c>
      <c r="L79" s="158">
        <v>0.10520000010728836</v>
      </c>
      <c r="M79" s="158">
        <v>0.10499999672174454</v>
      </c>
      <c r="N79" s="158">
        <v>0.10480000078678131</v>
      </c>
      <c r="O79" s="158">
        <v>0.10450000315904617</v>
      </c>
      <c r="P79" s="158">
        <v>0.10429999977350235</v>
      </c>
      <c r="Q79" s="158">
        <v>0.10429999977350235</v>
      </c>
      <c r="R79" s="158">
        <v>0.10429999977350235</v>
      </c>
      <c r="S79" s="158">
        <v>0.10440000146627426</v>
      </c>
      <c r="T79" s="158">
        <v>0.10459999740123749</v>
      </c>
      <c r="U79" s="158">
        <v>0.1046999990940094</v>
      </c>
      <c r="V79" s="158">
        <f t="shared" si="1"/>
        <v>0.10520000010728836</v>
      </c>
      <c r="W79" s="158">
        <v>0.10570000112056732</v>
      </c>
      <c r="X79" s="158">
        <v>0.10540000349283218</v>
      </c>
      <c r="Y79" s="158">
        <v>0.10509999841451645</v>
      </c>
      <c r="Z79" s="158">
        <v>0.10499999672174454</v>
      </c>
      <c r="AA79" s="158">
        <v>0.10480000078678131</v>
      </c>
      <c r="AB79" s="158">
        <v>0.1046999990940094</v>
      </c>
      <c r="AC79" s="158">
        <v>0.10459999740123749</v>
      </c>
      <c r="AD79" s="158">
        <v>0.10459999740123749</v>
      </c>
      <c r="AE79" s="158">
        <v>0.1046999990940094</v>
      </c>
      <c r="AF79" s="158">
        <v>0.10400000214576721</v>
      </c>
    </row>
    <row r="80" spans="1:32" x14ac:dyDescent="0.2">
      <c r="A80" s="158" t="s">
        <v>231</v>
      </c>
      <c r="B80" s="158">
        <v>0.10719999670982361</v>
      </c>
      <c r="C80" s="158">
        <v>0.10679999738931656</v>
      </c>
      <c r="D80" s="158">
        <v>0.10670000314712524</v>
      </c>
      <c r="E80" s="158">
        <v>0.10660000145435333</v>
      </c>
      <c r="F80" s="158">
        <v>0.10660000145435333</v>
      </c>
      <c r="G80" s="158">
        <v>0.10679999738931656</v>
      </c>
      <c r="H80" s="158">
        <v>0.10670000314712524</v>
      </c>
      <c r="I80" s="158">
        <v>0.10670000314712524</v>
      </c>
      <c r="J80" s="158">
        <v>0.10660000145435333</v>
      </c>
      <c r="K80" s="158">
        <v>0.10679999738931656</v>
      </c>
      <c r="L80" s="158">
        <v>0.10660000145435333</v>
      </c>
      <c r="M80" s="158">
        <v>0.10639999806880951</v>
      </c>
      <c r="N80" s="158">
        <v>0.10620000213384628</v>
      </c>
      <c r="O80" s="158">
        <v>0.10599999874830246</v>
      </c>
      <c r="P80" s="158">
        <v>0.10580000281333923</v>
      </c>
      <c r="Q80" s="158">
        <v>0.10580000281333923</v>
      </c>
      <c r="R80" s="158">
        <v>0.10580000281333923</v>
      </c>
      <c r="S80" s="158">
        <v>0.10599999874830246</v>
      </c>
      <c r="T80" s="158">
        <v>0.10620000213384628</v>
      </c>
      <c r="U80" s="158">
        <v>0.1062999963760376</v>
      </c>
      <c r="V80" s="158">
        <f t="shared" si="1"/>
        <v>0.1062999963760376</v>
      </c>
      <c r="W80" s="158">
        <v>0.1062999963760376</v>
      </c>
      <c r="X80" s="158">
        <v>0.10610000044107437</v>
      </c>
      <c r="Y80" s="158">
        <v>0.10580000281333923</v>
      </c>
      <c r="Z80" s="158">
        <v>0.10559999942779541</v>
      </c>
      <c r="AA80" s="158">
        <v>0.10540000349283218</v>
      </c>
      <c r="AB80" s="158">
        <v>0.10530000180006027</v>
      </c>
      <c r="AC80" s="158">
        <v>0.10520000010728836</v>
      </c>
      <c r="AD80" s="158">
        <v>0.10520000010728836</v>
      </c>
      <c r="AE80" s="158">
        <v>0.10530000180006027</v>
      </c>
      <c r="AF80" s="158">
        <v>0.10530000180006027</v>
      </c>
    </row>
    <row r="81" spans="1:32" x14ac:dyDescent="0.2">
      <c r="A81" s="158" t="s">
        <v>232</v>
      </c>
      <c r="B81" s="158">
        <v>0.10719999670982361</v>
      </c>
      <c r="C81" s="158">
        <v>0.10660000145435333</v>
      </c>
      <c r="D81" s="158">
        <v>0.1062999963760376</v>
      </c>
      <c r="E81" s="158">
        <v>0.1062999963760376</v>
      </c>
      <c r="F81" s="158">
        <v>0.10620000213384628</v>
      </c>
      <c r="G81" s="158">
        <v>0.1062999963760376</v>
      </c>
      <c r="H81" s="158">
        <v>0.10620000213384628</v>
      </c>
      <c r="I81" s="158">
        <v>0.10610000044107437</v>
      </c>
      <c r="J81" s="158">
        <v>0.10599999874830246</v>
      </c>
      <c r="K81" s="158">
        <v>0.10599999874830246</v>
      </c>
      <c r="L81" s="158">
        <v>0.10599999874830246</v>
      </c>
      <c r="M81" s="158">
        <v>0.10570000112056732</v>
      </c>
      <c r="N81" s="158">
        <v>0.1054999977350235</v>
      </c>
      <c r="O81" s="158">
        <v>0.10520000010728836</v>
      </c>
      <c r="P81" s="158">
        <v>0.10499999672174454</v>
      </c>
      <c r="Q81" s="158">
        <v>0.10499999672174454</v>
      </c>
      <c r="R81" s="158">
        <v>0.10499999672174454</v>
      </c>
      <c r="S81" s="158">
        <v>0.10520000010728836</v>
      </c>
      <c r="T81" s="158">
        <v>0.10540000349283218</v>
      </c>
      <c r="U81" s="158">
        <v>0.1054999977350235</v>
      </c>
      <c r="V81" s="158">
        <f t="shared" si="1"/>
        <v>0.10545000061392784</v>
      </c>
      <c r="W81" s="158">
        <v>0.10540000349283218</v>
      </c>
      <c r="X81" s="158">
        <v>0.10520000010728836</v>
      </c>
      <c r="Y81" s="158">
        <v>0.10490000247955322</v>
      </c>
      <c r="Z81" s="158">
        <v>0.10459999740123749</v>
      </c>
      <c r="AA81" s="158">
        <v>0.10440000146627426</v>
      </c>
      <c r="AB81" s="158">
        <v>0.10429999977350235</v>
      </c>
      <c r="AC81" s="158">
        <v>0.10419999808073044</v>
      </c>
      <c r="AD81" s="158">
        <v>0.10419999808073044</v>
      </c>
      <c r="AE81" s="158">
        <v>0.10419999808073044</v>
      </c>
      <c r="AF81" s="158">
        <v>0.10440000146627426</v>
      </c>
    </row>
    <row r="82" spans="1:32" x14ac:dyDescent="0.2">
      <c r="A82" s="158" t="s">
        <v>233</v>
      </c>
      <c r="B82" s="158">
        <v>0.10769999772310257</v>
      </c>
      <c r="C82" s="158">
        <v>0.10729999840259552</v>
      </c>
      <c r="D82" s="158">
        <v>0.10689999908208847</v>
      </c>
      <c r="E82" s="158">
        <v>0.10689999908208847</v>
      </c>
      <c r="F82" s="158">
        <v>0.10689999908208847</v>
      </c>
      <c r="G82" s="158">
        <v>0.10719999670982361</v>
      </c>
      <c r="H82" s="158">
        <v>0.10710000246763229</v>
      </c>
      <c r="I82" s="158">
        <v>0.10710000246763229</v>
      </c>
      <c r="J82" s="158">
        <v>0.10700000077486038</v>
      </c>
      <c r="K82" s="158">
        <v>0.10700000077486038</v>
      </c>
      <c r="L82" s="158">
        <v>0.10689999908208847</v>
      </c>
      <c r="M82" s="158">
        <v>0.10670000314712524</v>
      </c>
      <c r="N82" s="158">
        <v>0.10639999806880951</v>
      </c>
      <c r="O82" s="158">
        <v>0.10620000213384628</v>
      </c>
      <c r="P82" s="158">
        <v>0.10599999874830246</v>
      </c>
      <c r="Q82" s="158">
        <v>0.10589999705553055</v>
      </c>
      <c r="R82" s="158">
        <v>0.10599999874830246</v>
      </c>
      <c r="S82" s="158">
        <v>0.10620000213384628</v>
      </c>
      <c r="T82" s="158">
        <v>0.10670000314712524</v>
      </c>
      <c r="U82" s="158">
        <v>0.10660000145435333</v>
      </c>
      <c r="V82" s="158">
        <f t="shared" si="1"/>
        <v>0.10660000145435333</v>
      </c>
      <c r="W82" s="158">
        <v>0.10660000145435333</v>
      </c>
      <c r="X82" s="158">
        <v>0.1062999963760376</v>
      </c>
      <c r="Y82" s="158">
        <v>0.10620000213384628</v>
      </c>
      <c r="Z82" s="158">
        <v>0.10559999942779541</v>
      </c>
      <c r="AA82" s="158">
        <v>0.1054999977350235</v>
      </c>
      <c r="AB82" s="158">
        <v>0.10530000180006027</v>
      </c>
      <c r="AC82" s="158">
        <v>0.10509999841451645</v>
      </c>
      <c r="AD82" s="158">
        <v>0.10509999841451645</v>
      </c>
      <c r="AE82" s="158">
        <v>0.10520000010728836</v>
      </c>
      <c r="AF82" s="158">
        <v>0.10530000180006027</v>
      </c>
    </row>
    <row r="83" spans="1:32" x14ac:dyDescent="0.2">
      <c r="A83" s="158" t="s">
        <v>234</v>
      </c>
      <c r="B83" s="158">
        <v>0.10710000246763229</v>
      </c>
      <c r="C83" s="158">
        <v>0.10679999738931656</v>
      </c>
      <c r="D83" s="158">
        <v>0.10639999806880951</v>
      </c>
      <c r="E83" s="158">
        <v>0.10639999806880951</v>
      </c>
      <c r="F83" s="158">
        <v>0.1062999963760376</v>
      </c>
      <c r="G83" s="158">
        <v>0.10649999976158142</v>
      </c>
      <c r="H83" s="158">
        <v>0.10639999806880951</v>
      </c>
      <c r="I83" s="158">
        <v>0.1062999963760376</v>
      </c>
      <c r="J83" s="158">
        <v>0.10639999806880951</v>
      </c>
      <c r="K83" s="158">
        <v>0.10620000213384628</v>
      </c>
      <c r="L83" s="158">
        <v>0.10620000213384628</v>
      </c>
      <c r="M83" s="158">
        <v>0.10599999874830246</v>
      </c>
      <c r="N83" s="158">
        <v>0.10580000281333923</v>
      </c>
      <c r="O83" s="158">
        <v>0.1054999977350235</v>
      </c>
      <c r="P83" s="158">
        <v>0.10530000180006027</v>
      </c>
      <c r="Q83" s="158">
        <v>0.10530000180006027</v>
      </c>
      <c r="R83" s="158">
        <v>0.10540000349283218</v>
      </c>
      <c r="S83" s="158">
        <v>0.10559999942779541</v>
      </c>
      <c r="T83" s="158">
        <v>0.10580000281333923</v>
      </c>
      <c r="U83" s="158">
        <v>0.10589999705553055</v>
      </c>
      <c r="V83" s="158">
        <f t="shared" si="1"/>
        <v>0.10589999705553055</v>
      </c>
      <c r="W83" s="158">
        <v>0.10589999705553055</v>
      </c>
      <c r="X83" s="158">
        <v>0.10570000112056732</v>
      </c>
      <c r="Y83" s="158">
        <v>0.10530000180006027</v>
      </c>
      <c r="Z83" s="158">
        <v>0.10509999841451645</v>
      </c>
      <c r="AA83" s="158">
        <v>0.10520000010728836</v>
      </c>
      <c r="AB83" s="158">
        <v>0.10480000078678131</v>
      </c>
      <c r="AC83" s="158">
        <v>0.10459999740123749</v>
      </c>
      <c r="AD83" s="158">
        <v>0.1046999990940094</v>
      </c>
      <c r="AE83" s="158">
        <v>0.1046999990940094</v>
      </c>
      <c r="AF83" s="158">
        <v>0.10509999841451645</v>
      </c>
    </row>
    <row r="84" spans="1:32" x14ac:dyDescent="0.2">
      <c r="A84" s="158" t="s">
        <v>235</v>
      </c>
      <c r="B84" s="158">
        <v>0.10719999670982361</v>
      </c>
      <c r="C84" s="158">
        <v>0.10679999738931656</v>
      </c>
      <c r="D84" s="158">
        <v>0.10670000314712524</v>
      </c>
      <c r="E84" s="158">
        <v>0.10649999976158142</v>
      </c>
      <c r="F84" s="158">
        <v>0.10639999806880951</v>
      </c>
      <c r="G84" s="158">
        <v>0.10670000314712524</v>
      </c>
      <c r="H84" s="158">
        <v>0.10660000145435333</v>
      </c>
      <c r="I84" s="158">
        <v>0.10639999806880951</v>
      </c>
      <c r="J84" s="158">
        <v>0.10639999806880951</v>
      </c>
      <c r="K84" s="158">
        <v>0.10639999806880951</v>
      </c>
      <c r="L84" s="158">
        <v>0.10639999806880951</v>
      </c>
      <c r="M84" s="158">
        <v>0.10610000044107437</v>
      </c>
      <c r="N84" s="158">
        <v>0.10580000281333923</v>
      </c>
      <c r="O84" s="158">
        <v>0.10559999942779541</v>
      </c>
      <c r="P84" s="158">
        <v>0.10540000349283218</v>
      </c>
      <c r="Q84" s="158">
        <v>0.10540000349283218</v>
      </c>
      <c r="R84" s="158">
        <v>0.1054999977350235</v>
      </c>
      <c r="S84" s="158">
        <v>0.10559999942779541</v>
      </c>
      <c r="T84" s="158">
        <v>0.10589999705553055</v>
      </c>
      <c r="U84" s="158">
        <v>0.10599999874830246</v>
      </c>
      <c r="V84" s="158">
        <f t="shared" si="1"/>
        <v>0.10604999959468842</v>
      </c>
      <c r="W84" s="158">
        <v>0.10610000044107437</v>
      </c>
      <c r="X84" s="158">
        <v>0.10580000281333923</v>
      </c>
      <c r="Y84" s="158">
        <v>0.1054999977350235</v>
      </c>
      <c r="Z84" s="158">
        <v>0.10520000010728836</v>
      </c>
      <c r="AA84" s="158">
        <v>0.10499999672174454</v>
      </c>
      <c r="AB84" s="158">
        <v>0.10490000247955322</v>
      </c>
      <c r="AC84" s="158">
        <v>0.1046999990940094</v>
      </c>
      <c r="AD84" s="158">
        <v>0.10480000078678131</v>
      </c>
      <c r="AE84" s="158">
        <v>0.10480000078678131</v>
      </c>
      <c r="AF84" s="158">
        <v>0.10499999672174454</v>
      </c>
    </row>
    <row r="85" spans="1:32" x14ac:dyDescent="0.2">
      <c r="A85" s="158" t="s">
        <v>236</v>
      </c>
      <c r="B85" s="158">
        <v>0.10639999806880951</v>
      </c>
      <c r="C85" s="158">
        <v>0.10599999874830246</v>
      </c>
      <c r="D85" s="158">
        <v>0.10580000281333923</v>
      </c>
      <c r="E85" s="158">
        <v>0.10580000281333923</v>
      </c>
      <c r="F85" s="158">
        <v>0.10610000044107437</v>
      </c>
      <c r="G85" s="158">
        <v>0.10620000213384628</v>
      </c>
      <c r="H85" s="158">
        <v>0.10610000044107437</v>
      </c>
      <c r="I85" s="158">
        <v>0.10599999874830246</v>
      </c>
      <c r="J85" s="158">
        <v>0.10580000281333923</v>
      </c>
      <c r="K85" s="158">
        <v>0.10580000281333923</v>
      </c>
      <c r="L85" s="158">
        <v>0.10580000281333923</v>
      </c>
      <c r="M85" s="158">
        <v>0.10559999942779541</v>
      </c>
      <c r="N85" s="158">
        <v>0.10530000180006027</v>
      </c>
      <c r="O85" s="158">
        <v>0.10490000247955322</v>
      </c>
      <c r="P85" s="158">
        <v>0.10490000247955322</v>
      </c>
      <c r="Q85" s="158">
        <v>0.10480000078678131</v>
      </c>
      <c r="R85" s="158">
        <v>0.10480000078678131</v>
      </c>
      <c r="S85" s="158">
        <v>0.10509999841451645</v>
      </c>
      <c r="T85" s="158">
        <v>0.10530000180006027</v>
      </c>
      <c r="U85" s="158">
        <v>0.10559999942779541</v>
      </c>
      <c r="V85" s="158">
        <f t="shared" si="1"/>
        <v>0.10619999840855598</v>
      </c>
      <c r="W85" s="158">
        <v>0.10679999738931656</v>
      </c>
      <c r="X85" s="158">
        <v>0.1062999963760376</v>
      </c>
      <c r="Y85" s="158">
        <v>0.10589999705553055</v>
      </c>
      <c r="Z85" s="158">
        <v>0.10580000281333923</v>
      </c>
      <c r="AA85" s="158">
        <v>0.10570000112056732</v>
      </c>
      <c r="AB85" s="158">
        <v>0.10540000349283218</v>
      </c>
      <c r="AC85" s="158">
        <v>0.1054999977350235</v>
      </c>
      <c r="AD85" s="158">
        <v>0.10520000010728836</v>
      </c>
      <c r="AE85" s="158">
        <v>0.10540000349283218</v>
      </c>
      <c r="AF85" s="158">
        <v>0.10480000078678131</v>
      </c>
    </row>
    <row r="86" spans="1:32" x14ac:dyDescent="0.2">
      <c r="A86" s="158" t="s">
        <v>237</v>
      </c>
      <c r="B86" s="158">
        <v>0.10670000314712524</v>
      </c>
      <c r="C86" s="158">
        <v>0.1062999963760376</v>
      </c>
      <c r="D86" s="158">
        <v>0.10620000213384628</v>
      </c>
      <c r="E86" s="158">
        <v>0.10610000044107437</v>
      </c>
      <c r="F86" s="158">
        <v>0.10599999874830246</v>
      </c>
      <c r="G86" s="158">
        <v>0.1062999963760376</v>
      </c>
      <c r="H86" s="158">
        <v>0.10620000213384628</v>
      </c>
      <c r="I86" s="158">
        <v>0.10610000044107437</v>
      </c>
      <c r="J86" s="158">
        <v>0.10649999976158142</v>
      </c>
      <c r="K86" s="158">
        <v>0.10599999874830246</v>
      </c>
      <c r="L86" s="158">
        <v>0.10610000044107437</v>
      </c>
      <c r="M86" s="158">
        <v>0.10589999705553055</v>
      </c>
      <c r="N86" s="158">
        <v>0.1054999977350235</v>
      </c>
      <c r="O86" s="158">
        <v>0.10520000010728836</v>
      </c>
      <c r="P86" s="158">
        <v>0.10499999672174454</v>
      </c>
      <c r="Q86" s="158">
        <v>0.10499999672174454</v>
      </c>
      <c r="R86" s="158">
        <v>0.10509999841451645</v>
      </c>
      <c r="S86" s="158">
        <v>0.10520000010728836</v>
      </c>
      <c r="T86" s="158">
        <v>0.1054999977350235</v>
      </c>
      <c r="U86" s="158">
        <v>0.10559999942779541</v>
      </c>
      <c r="V86" s="158">
        <f t="shared" si="1"/>
        <v>0.10559999942779541</v>
      </c>
      <c r="W86" s="158">
        <v>0.10559999942779541</v>
      </c>
      <c r="X86" s="158">
        <v>0.10540000349283218</v>
      </c>
      <c r="Y86" s="158">
        <v>0.10509999841451645</v>
      </c>
      <c r="Z86" s="158">
        <v>0.10480000078678131</v>
      </c>
      <c r="AA86" s="158">
        <v>0.10459999740123749</v>
      </c>
      <c r="AB86" s="158">
        <v>0.10440000146627426</v>
      </c>
      <c r="AC86" s="158">
        <v>0.10429999977350235</v>
      </c>
      <c r="AD86" s="158">
        <v>0.10429999977350235</v>
      </c>
      <c r="AE86" s="158">
        <v>0.10440000146627426</v>
      </c>
      <c r="AF86" s="158">
        <v>0.10459999740123749</v>
      </c>
    </row>
    <row r="87" spans="1:32" x14ac:dyDescent="0.2">
      <c r="A87" s="158" t="s">
        <v>238</v>
      </c>
      <c r="B87" s="158">
        <v>0.10679999738931656</v>
      </c>
      <c r="C87" s="158">
        <v>0.10649999976158142</v>
      </c>
      <c r="D87" s="158">
        <v>0.10639999806880951</v>
      </c>
      <c r="E87" s="158">
        <v>0.1062999963760376</v>
      </c>
      <c r="F87" s="158">
        <v>0.10620000213384628</v>
      </c>
      <c r="G87" s="158">
        <v>0.10639999806880951</v>
      </c>
      <c r="H87" s="158">
        <v>0.1062999963760376</v>
      </c>
      <c r="I87" s="158">
        <v>0.10620000213384628</v>
      </c>
      <c r="J87" s="158">
        <v>0.10610000044107437</v>
      </c>
      <c r="K87" s="158">
        <v>0.10610000044107437</v>
      </c>
      <c r="L87" s="158">
        <v>0.10610000044107437</v>
      </c>
      <c r="M87" s="158">
        <v>0.10580000281333923</v>
      </c>
      <c r="N87" s="158">
        <v>0.10559999942779541</v>
      </c>
      <c r="O87" s="158">
        <v>0.1054999977350235</v>
      </c>
      <c r="P87" s="158">
        <v>0.10509999841451645</v>
      </c>
      <c r="Q87" s="158">
        <v>0.10509999841451645</v>
      </c>
      <c r="R87" s="158">
        <v>0.10520000010728836</v>
      </c>
      <c r="S87" s="158">
        <v>0.10530000180006027</v>
      </c>
      <c r="T87" s="158">
        <v>0.10559999942779541</v>
      </c>
      <c r="U87" s="158">
        <v>0.10559999942779541</v>
      </c>
      <c r="V87" s="158">
        <f t="shared" si="1"/>
        <v>0.10565000027418137</v>
      </c>
      <c r="W87" s="158">
        <v>0.10570000112056732</v>
      </c>
      <c r="X87" s="158">
        <v>0.10540000349283218</v>
      </c>
      <c r="Y87" s="158">
        <v>0.10509999841451645</v>
      </c>
      <c r="Z87" s="158">
        <v>0.10490000247955322</v>
      </c>
      <c r="AA87" s="158">
        <v>0.10459999740123749</v>
      </c>
      <c r="AB87" s="158">
        <v>0.10450000315904617</v>
      </c>
      <c r="AC87" s="158">
        <v>0.10440000146627426</v>
      </c>
      <c r="AD87" s="158">
        <v>0.10440000146627426</v>
      </c>
      <c r="AE87" s="158">
        <v>0.10440000146627426</v>
      </c>
      <c r="AF87" s="158">
        <v>0.10459999740123749</v>
      </c>
    </row>
    <row r="88" spans="1:32" x14ac:dyDescent="0.2">
      <c r="A88" s="158" t="s">
        <v>239</v>
      </c>
      <c r="B88" s="158">
        <v>0.10679999738931656</v>
      </c>
      <c r="C88" s="158">
        <v>0.1062999963760376</v>
      </c>
      <c r="D88" s="158">
        <v>0.10620000213384628</v>
      </c>
      <c r="E88" s="158">
        <v>0.10610000044107437</v>
      </c>
      <c r="F88" s="158">
        <v>0.10610000044107437</v>
      </c>
      <c r="G88" s="158">
        <v>0.10620000213384628</v>
      </c>
      <c r="H88" s="158">
        <v>0.10620000213384628</v>
      </c>
      <c r="I88" s="158">
        <v>0.10599999874830246</v>
      </c>
      <c r="J88" s="158">
        <v>0.10589999705553055</v>
      </c>
      <c r="K88" s="158">
        <v>0.10589999705553055</v>
      </c>
      <c r="L88" s="158">
        <v>0.10589999705553055</v>
      </c>
      <c r="M88" s="158">
        <v>0.10570000112056732</v>
      </c>
      <c r="N88" s="158">
        <v>0.10540000349283218</v>
      </c>
      <c r="O88" s="158">
        <v>0.10520000010728836</v>
      </c>
      <c r="P88" s="158">
        <v>0.10490000247955322</v>
      </c>
      <c r="Q88" s="158">
        <v>0.10499999672174454</v>
      </c>
      <c r="R88" s="158">
        <v>0.10499999672174454</v>
      </c>
      <c r="S88" s="158">
        <v>0.10520000010728836</v>
      </c>
      <c r="T88" s="158">
        <v>0.1054999977350235</v>
      </c>
      <c r="U88" s="158">
        <v>0.1054999977350235</v>
      </c>
      <c r="V88" s="158">
        <f t="shared" si="1"/>
        <v>0.1054999977350235</v>
      </c>
      <c r="W88" s="158">
        <v>0.1054999977350235</v>
      </c>
      <c r="X88" s="158">
        <v>0.10520000010728836</v>
      </c>
      <c r="Y88" s="158">
        <v>0.10499999672174454</v>
      </c>
      <c r="Z88" s="158">
        <v>0.1046999990940094</v>
      </c>
      <c r="AA88" s="158">
        <v>0.10450000315904617</v>
      </c>
      <c r="AB88" s="158">
        <v>0.10440000146627426</v>
      </c>
      <c r="AC88" s="158">
        <v>0.10429999977350235</v>
      </c>
      <c r="AD88" s="158">
        <v>0.10419999808073044</v>
      </c>
      <c r="AE88" s="158">
        <v>0.10429999977350235</v>
      </c>
      <c r="AF88" s="158">
        <v>0.10450000315904617</v>
      </c>
    </row>
    <row r="89" spans="1:32" x14ac:dyDescent="0.2">
      <c r="A89" s="158" t="s">
        <v>240</v>
      </c>
      <c r="B89" s="158">
        <v>0.10649999976158142</v>
      </c>
      <c r="C89" s="158">
        <v>0.10610000044107437</v>
      </c>
      <c r="D89" s="158">
        <v>0.10589999705553055</v>
      </c>
      <c r="E89" s="158">
        <v>0.10589999705553055</v>
      </c>
      <c r="F89" s="158">
        <v>0.10589999705553055</v>
      </c>
      <c r="G89" s="158">
        <v>0.10599999874830246</v>
      </c>
      <c r="H89" s="158">
        <v>0.10620000213384628</v>
      </c>
      <c r="I89" s="158">
        <v>0.10570000112056732</v>
      </c>
      <c r="J89" s="158">
        <v>0.10570000112056732</v>
      </c>
      <c r="K89" s="158">
        <v>0.10559999942779541</v>
      </c>
      <c r="L89" s="158">
        <v>0.10570000112056732</v>
      </c>
      <c r="M89" s="158">
        <v>0.10540000349283218</v>
      </c>
      <c r="N89" s="158">
        <v>0.10520000010728836</v>
      </c>
      <c r="O89" s="158">
        <v>0.10490000247955322</v>
      </c>
      <c r="P89" s="158">
        <v>0.1046999990940094</v>
      </c>
      <c r="Q89" s="158">
        <v>0.1046999990940094</v>
      </c>
      <c r="R89" s="158">
        <v>0.1046999990940094</v>
      </c>
      <c r="S89" s="158">
        <v>0.10509999841451645</v>
      </c>
      <c r="T89" s="158">
        <v>0.10520000010728836</v>
      </c>
      <c r="U89" s="158">
        <v>0.10530000180006027</v>
      </c>
      <c r="V89" s="158">
        <f t="shared" si="1"/>
        <v>0.10530000180006027</v>
      </c>
      <c r="W89" s="158">
        <v>0.10530000180006027</v>
      </c>
      <c r="X89" s="158">
        <v>0.10499999672174454</v>
      </c>
      <c r="Y89" s="158">
        <v>0.10480000078678131</v>
      </c>
      <c r="Z89" s="158">
        <v>0.10450000315904617</v>
      </c>
      <c r="AA89" s="158">
        <v>0.10419999808073044</v>
      </c>
      <c r="AB89" s="158">
        <v>0.10409999638795853</v>
      </c>
      <c r="AC89" s="158">
        <v>0.10400000214576721</v>
      </c>
      <c r="AD89" s="158">
        <v>0.10400000214576721</v>
      </c>
      <c r="AE89" s="158">
        <v>0.10409999638795853</v>
      </c>
      <c r="AF89" s="158">
        <v>0.10419999808073044</v>
      </c>
    </row>
    <row r="90" spans="1:32" x14ac:dyDescent="0.2">
      <c r="A90" s="158" t="s">
        <v>241</v>
      </c>
      <c r="B90" s="158">
        <v>0.10740000009536743</v>
      </c>
      <c r="C90" s="158">
        <v>0.10700000077486038</v>
      </c>
      <c r="D90" s="158">
        <v>0.10700000077486038</v>
      </c>
      <c r="E90" s="158">
        <v>0.10670000314712524</v>
      </c>
      <c r="F90" s="158">
        <v>0.10660000145435333</v>
      </c>
      <c r="G90" s="158">
        <v>0.10689999908208847</v>
      </c>
      <c r="H90" s="158">
        <v>0.10670000314712524</v>
      </c>
      <c r="I90" s="158">
        <v>0.10660000145435333</v>
      </c>
      <c r="J90" s="158">
        <v>0.10649999976158142</v>
      </c>
      <c r="K90" s="158">
        <v>0.10649999976158142</v>
      </c>
      <c r="L90" s="158">
        <v>0.10679999738931656</v>
      </c>
      <c r="M90" s="158">
        <v>0.1062999963760376</v>
      </c>
      <c r="N90" s="158">
        <v>0.10599999874830246</v>
      </c>
      <c r="O90" s="158">
        <v>0.10580000281333923</v>
      </c>
      <c r="P90" s="158">
        <v>0.1054999977350235</v>
      </c>
      <c r="Q90" s="158">
        <v>0.1054999977350235</v>
      </c>
      <c r="R90" s="158">
        <v>0.10559999942779541</v>
      </c>
      <c r="S90" s="158">
        <v>0.10570000112056732</v>
      </c>
      <c r="T90" s="158">
        <v>0.10599999874830246</v>
      </c>
      <c r="U90" s="158">
        <v>0.10610000044107437</v>
      </c>
      <c r="V90" s="158">
        <f t="shared" si="1"/>
        <v>0.10610000044107437</v>
      </c>
      <c r="W90" s="158">
        <v>0.10610000044107437</v>
      </c>
      <c r="X90" s="158">
        <v>0.10580000281333923</v>
      </c>
      <c r="Y90" s="158">
        <v>0.1054999977350235</v>
      </c>
      <c r="Z90" s="158">
        <v>0.10530000180006027</v>
      </c>
      <c r="AA90" s="158">
        <v>0.10499999672174454</v>
      </c>
      <c r="AB90" s="158">
        <v>0.10490000247955322</v>
      </c>
      <c r="AC90" s="158">
        <v>0.10480000078678131</v>
      </c>
      <c r="AD90" s="158">
        <v>0.10490000247955322</v>
      </c>
      <c r="AE90" s="158">
        <v>0.10480000078678131</v>
      </c>
      <c r="AF90" s="158">
        <v>0.10499999672174454</v>
      </c>
    </row>
    <row r="91" spans="1:32" x14ac:dyDescent="0.2">
      <c r="A91" s="158" t="s">
        <v>242</v>
      </c>
      <c r="B91" s="158">
        <v>0.10719999670982361</v>
      </c>
      <c r="C91" s="158">
        <v>0.10660000145435333</v>
      </c>
      <c r="D91" s="158">
        <v>0.10639999806880951</v>
      </c>
      <c r="E91" s="158">
        <v>0.10639999806880951</v>
      </c>
      <c r="F91" s="158">
        <v>0.10620000213384628</v>
      </c>
      <c r="G91" s="158">
        <v>0.10639999806880951</v>
      </c>
      <c r="H91" s="158">
        <v>0.10620000213384628</v>
      </c>
      <c r="I91" s="158">
        <v>0.10610000044107437</v>
      </c>
      <c r="J91" s="158">
        <v>0.10599999874830246</v>
      </c>
      <c r="K91" s="158">
        <v>0.10610000044107437</v>
      </c>
      <c r="L91" s="158">
        <v>0.10599999874830246</v>
      </c>
      <c r="M91" s="158">
        <v>0.10580000281333923</v>
      </c>
      <c r="N91" s="158">
        <v>0.1054999977350235</v>
      </c>
      <c r="O91" s="158">
        <v>0.10540000349283218</v>
      </c>
      <c r="P91" s="158">
        <v>0.10499999672174454</v>
      </c>
      <c r="Q91" s="158">
        <v>0.10509999841451645</v>
      </c>
      <c r="R91" s="158">
        <v>0.10509999841451645</v>
      </c>
      <c r="S91" s="158">
        <v>0.10520000010728836</v>
      </c>
      <c r="T91" s="158">
        <v>0.1054999977350235</v>
      </c>
      <c r="U91" s="158">
        <v>0.10559999942779541</v>
      </c>
      <c r="V91" s="158">
        <f t="shared" si="1"/>
        <v>0.10559999942779541</v>
      </c>
      <c r="W91" s="158">
        <v>0.10559999942779541</v>
      </c>
      <c r="X91" s="158">
        <v>0.10540000349283218</v>
      </c>
      <c r="Y91" s="158">
        <v>0.10509999841451645</v>
      </c>
      <c r="Z91" s="158">
        <v>0.10490000247955322</v>
      </c>
      <c r="AA91" s="158">
        <v>0.10459999740123749</v>
      </c>
      <c r="AB91" s="158">
        <v>0.10440000146627426</v>
      </c>
      <c r="AC91" s="158">
        <v>0.10440000146627426</v>
      </c>
      <c r="AD91" s="158">
        <v>0.10440000146627426</v>
      </c>
      <c r="AE91" s="158">
        <v>0.10440000146627426</v>
      </c>
      <c r="AF91" s="158">
        <v>0.10459999740123749</v>
      </c>
    </row>
    <row r="92" spans="1:32" x14ac:dyDescent="0.2">
      <c r="A92" s="158" t="s">
        <v>243</v>
      </c>
      <c r="B92" s="158">
        <v>0.10740000009536743</v>
      </c>
      <c r="C92" s="158">
        <v>0.10679999738931656</v>
      </c>
      <c r="D92" s="158">
        <v>0.10660000145435333</v>
      </c>
      <c r="E92" s="158">
        <v>0.10639999806880951</v>
      </c>
      <c r="F92" s="158">
        <v>0.1062999963760376</v>
      </c>
      <c r="G92" s="158">
        <v>0.10649999976158142</v>
      </c>
      <c r="H92" s="158">
        <v>0.1062999963760376</v>
      </c>
      <c r="I92" s="158">
        <v>0.10620000213384628</v>
      </c>
      <c r="J92" s="158">
        <v>0.10610000044107437</v>
      </c>
      <c r="K92" s="158">
        <v>0.10610000044107437</v>
      </c>
      <c r="L92" s="158">
        <v>0.10599999874830246</v>
      </c>
      <c r="M92" s="158">
        <v>0.10580000281333923</v>
      </c>
      <c r="N92" s="158">
        <v>0.1054999977350235</v>
      </c>
      <c r="O92" s="158">
        <v>0.10530000180006027</v>
      </c>
      <c r="P92" s="158">
        <v>0.10499999672174454</v>
      </c>
      <c r="Q92" s="158">
        <v>0.10499999672174454</v>
      </c>
      <c r="R92" s="158">
        <v>0.10509999841451645</v>
      </c>
      <c r="S92" s="158">
        <v>0.10520000010728836</v>
      </c>
      <c r="T92" s="158">
        <v>0.1054999977350235</v>
      </c>
      <c r="U92" s="158">
        <v>0.10559999942779541</v>
      </c>
      <c r="V92" s="158">
        <f t="shared" si="1"/>
        <v>0.10559999942779541</v>
      </c>
      <c r="W92" s="158">
        <v>0.10559999942779541</v>
      </c>
      <c r="X92" s="158">
        <v>0.10530000180006027</v>
      </c>
      <c r="Y92" s="158">
        <v>0.10509999841451645</v>
      </c>
      <c r="Z92" s="158">
        <v>0.10480000078678131</v>
      </c>
      <c r="AA92" s="158">
        <v>0.10450000315904617</v>
      </c>
      <c r="AB92" s="158">
        <v>0.10440000146627426</v>
      </c>
      <c r="AC92" s="158">
        <v>0.10429999977350235</v>
      </c>
      <c r="AD92" s="158">
        <v>0.10429999977350235</v>
      </c>
      <c r="AE92" s="158">
        <v>0.10429999977350235</v>
      </c>
      <c r="AF92" s="158">
        <v>0.10450000315904617</v>
      </c>
    </row>
    <row r="93" spans="1:32" x14ac:dyDescent="0.2">
      <c r="A93" s="158" t="s">
        <v>244</v>
      </c>
      <c r="B93" s="158">
        <v>0.10750000178813934</v>
      </c>
      <c r="C93" s="158">
        <v>0.10639999806880951</v>
      </c>
      <c r="D93" s="158">
        <v>0.10639999806880951</v>
      </c>
      <c r="E93" s="158">
        <v>0.10670000314712524</v>
      </c>
      <c r="F93" s="158">
        <v>0.10639999806880951</v>
      </c>
      <c r="G93" s="158">
        <v>0.10660000145435333</v>
      </c>
      <c r="H93" s="158">
        <v>0.1062999963760376</v>
      </c>
      <c r="I93" s="158">
        <v>0.10620000213384628</v>
      </c>
      <c r="J93" s="158">
        <v>0.10599999874830246</v>
      </c>
      <c r="K93" s="158">
        <v>0.10599999874830246</v>
      </c>
      <c r="L93" s="158">
        <v>0.10599999874830246</v>
      </c>
      <c r="M93" s="158">
        <v>0.10570000112056732</v>
      </c>
      <c r="N93" s="158">
        <v>0.1054999977350235</v>
      </c>
      <c r="O93" s="158">
        <v>0.10530000180006027</v>
      </c>
      <c r="P93" s="158">
        <v>0.10490000247955322</v>
      </c>
      <c r="Q93" s="158">
        <v>0.10490000247955322</v>
      </c>
      <c r="R93" s="158">
        <v>0.10499999672174454</v>
      </c>
      <c r="S93" s="158">
        <v>0.10509999841451645</v>
      </c>
      <c r="T93" s="158">
        <v>0.10530000180006027</v>
      </c>
      <c r="U93" s="158">
        <v>0.10530000180006027</v>
      </c>
      <c r="V93" s="158">
        <f t="shared" si="1"/>
        <v>0.10530000180006027</v>
      </c>
      <c r="W93" s="158">
        <v>0.10530000180006027</v>
      </c>
      <c r="X93" s="158">
        <v>0.10499999672174454</v>
      </c>
      <c r="Y93" s="158">
        <v>0.1046999990940094</v>
      </c>
      <c r="Z93" s="158">
        <v>0.10450000315904617</v>
      </c>
      <c r="AA93" s="158">
        <v>0.10419999808073044</v>
      </c>
      <c r="AB93" s="158">
        <v>0.10400000214576721</v>
      </c>
      <c r="AC93" s="158">
        <v>0.10400000214576721</v>
      </c>
      <c r="AD93" s="158">
        <v>0.10409999638795853</v>
      </c>
      <c r="AE93" s="158">
        <v>0.1039000004529953</v>
      </c>
      <c r="AF93" s="158">
        <v>0.10350000113248825</v>
      </c>
    </row>
    <row r="94" spans="1:32" x14ac:dyDescent="0.2">
      <c r="A94" s="156" t="s">
        <v>480</v>
      </c>
      <c r="B94" s="156">
        <f>$B$55-AVERAGE($B$58,$B$59,$B$60,$B$61,$B$62,$B$63,$B$64,$B$65,$B$66,$B$68,$B$69,$B$70,$B$71,$B$72,$B$73,$B$74,$B$75,$B$76,$B$77,$B$78,$B$79,$B$80,$B$81,$B$82,$B$83,$B$84,$B$85,$B$86,$B$87,$B$88,$B$89,$B$90,$B$91,$B$92,$B$93)</f>
        <v>3.0628570488521051E-3</v>
      </c>
      <c r="C94" s="156">
        <f>$C$55-AVERAGE($C$58,$C$59,$C$60,$C$61,$C$62,$C$63,$C$64,$C$65,$C$66,$C$68,$C$69,$C$70,$C$71,$C$72,$C$73,$C$74,$C$75,$C$76,$C$77,$C$78,$C$79,$C$80,$C$81,$C$82,$C$83,$C$84,$C$85,$C$86,$C$87,$C$88,$C$89,$C$90,$C$91,$C$92,$C$93)</f>
        <v>3.2999983855656195E-3</v>
      </c>
      <c r="D94" s="156">
        <f>$D$55-AVERAGE($D$58,$D$59,$D$60,$D$61,$D$62,$D$63,$D$64,$D$65,$D$66,$D$68,$D$69,$D$70,$D$71,$D$72,$D$73,$D$74,$D$75,$D$76,$D$77,$D$78,$D$79,$D$80,$D$81,$D$82,$D$83,$D$84,$D$85,$D$86,$D$87,$D$88,$D$89,$D$90,$D$91,$D$92,$D$93)</f>
        <v>3.4085695232663887E-3</v>
      </c>
      <c r="E94" s="156">
        <f>$E$55-AVERAGE($E$58,$E$59,$E$60,$E$61,$E$62,$E$63,$E$64,$E$65,$E$66,$E$68,$E$69,$E$70,$E$71,$E$72,$E$73,$E$74,$E$75,$E$76,$E$77,$E$78,$E$79,$E$80,$E$81,$E$82,$E$83,$E$84,$E$85,$E$86,$E$87,$E$88,$E$89,$E$90,$E$91,$E$92,$E$93)</f>
        <v>4.1285678744316101E-3</v>
      </c>
      <c r="F94" s="156">
        <f>$F$55-AVERAGE($F$58,$F$59,$F$60,$F$61,$F$62,$F$63,$F$64,$F$65,$F$66,$F$68,$F$69,$F$70,$F$71,$F$72,$F$73,$F$74,$F$75,$F$76,$F$77,$F$78,$F$79,$F$80,$F$81,$F$82,$F$83,$F$84,$F$85,$F$86,$F$87,$F$88,$F$89,$F$90,$F$91,$F$92,$F$93)</f>
        <v>5.5285753948347977E-3</v>
      </c>
      <c r="G94" s="156">
        <f>$G$55-AVERAGE($G$58,$G$59,$G$60,$G$61,$G$62,$G$63,$G$64,$G$65,$G$66,$G$68,$G$69,$G$70,$G$71,$G$72,$G$73,$G$74,$G$75,$G$76,$G$77,$G$78,$G$79,$G$80,$G$81,$G$82,$G$83,$G$84,$G$85,$G$86,$G$87,$G$88,$G$89,$G$90,$G$91,$G$92,$G$93)</f>
        <v>8.4542879036494656E-3</v>
      </c>
      <c r="H94" s="156">
        <f>$H$55-AVERAGE($H$58,$H$59,$H$60,$H$61,$H$62,$H$63,$H$64,$H$65,$H$66,$H$68,$H$69,$H$70,$H$71,$H$72,$H$73,$H$74,$H$75,$H$76,$H$77,$H$78,$H$79,$H$80,$H$81,$H$82,$H$83,$H$84,$H$85,$H$86,$H$87,$H$88,$H$89,$H$90,$H$91,$H$92,$H$93)</f>
        <v>1.3365715316363741E-2</v>
      </c>
      <c r="I94" s="156">
        <f>$I$55-AVERAGE($I$58,$I$59,$I$60,$I$61,$I$62,$I$63,$I$64,$I$65,$I$66,$I$68,$I$69,$I$70,$I$71,$I$72,$I$73,$I$74,$I$75,$I$76,$I$77,$I$78,$I$79,$I$80,$I$81,$I$82,$I$83,$I$84,$I$85,$I$86,$I$87,$I$88,$I$89,$I$90,$I$91,$I$92,$I$93)</f>
        <v>2.1400000793593277E-2</v>
      </c>
      <c r="J94" s="156">
        <f>$J$55-AVERAGE($J$58,$J$59,$J$60,$J$61,$J$62,$J$63,$J$64,$J$65,$J$66,$J$68,$J$69,$J$70,$J$71,$J$72,$J$73,$J$74,$J$75,$J$76,$J$77,$J$78,$J$79,$J$80,$J$81,$J$82,$J$83,$J$84,$J$85,$J$86,$J$87,$J$88,$J$89,$J$90,$J$91,$J$92,$J$93)</f>
        <v>3.4054291886942728E-2</v>
      </c>
      <c r="K94" s="156">
        <f>$K$55-AVERAGE($K$58,$K$59,$K$60,$K$61,$K$62,$K$63,$K$64,$K$65,$K$66,$K$68,$K$69,$K$70,$K$71,$K$72,$K$73,$K$74,$K$75,$K$76,$K$77,$K$78,$K$79,$K$80,$K$81,$K$82,$K$83,$K$84,$K$85,$K$86,$K$87,$K$88,$K$89,$K$90,$K$91,$K$92,$K$93)</f>
        <v>5.1871422784669052E-2</v>
      </c>
      <c r="L94" s="156">
        <f>$L$55-AVERAGE($L$58,$L$59,$L$60,$L$61,$L$62,$L$63,$L$64,$L$65,$L$66,$L$68,$L$69,$L$70,$L$71,$L$72,$L$73,$L$74,$L$75,$L$76,$L$77,$L$78,$L$79,$L$80,$L$81,$L$82,$L$83,$L$84,$L$85,$L$86,$L$87,$L$88,$L$89,$L$90,$L$91,$L$92,$L$93)</f>
        <v>7.6162860861846385E-2</v>
      </c>
      <c r="M94" s="156">
        <f>$M$55-AVERAGE($M$58,$M$59,$M$60,$M$61,$M$62,$M$63,$M$64,$M$65,$M$66,$M$68,$M$69,$M$70,$M$71,$M$72,$M$73,$M$74,$M$75,$M$76,$M$77,$M$78,$M$79,$M$80,$M$81,$M$82,$M$83,$M$84,$M$85,$M$86,$M$87,$M$88,$M$89,$M$90,$M$91,$M$92,$M$93)</f>
        <v>0.1070457154086658</v>
      </c>
      <c r="N94" s="156">
        <f>$N$55-AVERAGE($N$58,$N$59,$N$60,$N$61,$N$62,$N$63,$N$64,$N$65,$N$66,$N$68,$N$69,$N$70,$N$71,$N$72,$N$73,$N$74,$N$75,$N$76,$N$77,$N$78,$N$79,$N$80,$N$81,$N$82,$N$83,$N$84,$N$85,$N$86,$N$87,$N$88,$N$89,$N$90,$N$91,$N$92,$N$93)</f>
        <v>0.14230285648788726</v>
      </c>
      <c r="O94" s="156">
        <f>$O$55-AVERAGE($O$58,$O$59,$O$60,$O$61,$O$62,$O$63,$O$64,$O$65,$O$66,$O$68,$O$69,$O$70,$O$71,$O$72,$O$73,$O$74,$O$75,$O$76,$O$77,$O$78,$O$79,$O$80,$O$81,$O$82,$O$83,$O$84,$O$85,$O$86,$O$87,$O$88,$O$89,$O$90,$O$91,$O$92,$O$93)</f>
        <v>0.18407998766217915</v>
      </c>
      <c r="P94" s="156">
        <f>$P$55-AVERAGE($P$58,$P$59,$P$60,$P$61,$P$62,$P$63,$P$64,$P$65,$P$66,$P$68,$P$69,$P$70,$P$71,$P$72,$P$73,$P$74,$P$75,$P$76,$P$77,$P$78,$P$79,$P$80,$P$81,$P$82,$P$83,$P$84,$P$85,$P$86,$P$87,$P$88,$P$89,$P$90,$P$91,$P$92,$P$93)</f>
        <v>0.22628858536481858</v>
      </c>
      <c r="Q94" s="156">
        <f>$Q$55-AVERAGE($Q$58,$Q$59,$Q$60,$Q$61,$Q$62,$Q$63,$Q$64,$Q$65,$Q$66,$Q$68,$Q$69,$Q$70,$Q$71,$Q$72,$Q$73,$Q$74,$Q$75,$Q$76,$Q$77,$Q$78,$Q$79,$Q$80,$Q$81,$Q$82,$Q$83,$Q$84,$Q$85,$Q$86,$Q$87,$Q$88,$Q$89,$Q$90,$Q$91,$Q$92,$Q$93)</f>
        <v>0.27088285131113871</v>
      </c>
      <c r="R94" s="156">
        <f>$R$55-AVERAGE($R$58,$R$59,$R$60,$R$61,$R$62,$R$63,$R$64,$R$65,$R$66,$R$68,$R$69,$R$70,$R$71,$R$72,$R$73,$R$74,$R$75,$R$76,$R$77,$R$78,$R$79,$R$80,$R$81,$R$82,$R$83,$R$84,$R$85,$R$86,$R$87,$R$88,$R$89,$R$90,$R$91,$R$92,$R$93)</f>
        <v>0.3099771282502583</v>
      </c>
      <c r="S94" s="156">
        <f>$S$55-AVERAGE($S$58,$S$59,$S$60,$S$61,$S$62,$S$63,$S$64,$S$65,$S$66,$S$68,$S$69,$S$70,$S$71,$S$72,$S$73,$S$74,$S$75,$S$76,$S$77,$S$78,$S$79,$S$80,$S$81,$S$82,$S$83,$S$84,$S$85,$S$86,$S$87,$S$88,$S$89,$S$90,$S$91,$S$92,$S$93)</f>
        <v>0.34661142357758112</v>
      </c>
      <c r="T94" s="156">
        <f>$T$55-AVERAGE($T$58,$T$59,$T$60,$T$61,$T$62,$T$63,$T$64,$T$65,$T$66,$T$68,$T$69,$T$70,$T$71,$T$72,$T$73,$T$74,$T$75,$T$76,$T$77,$T$78,$T$79,$T$80,$T$81,$T$82,$T$83,$T$84,$T$85,$T$86,$T$87,$T$88,$T$89,$T$90,$T$91,$T$92,$T$93)</f>
        <v>0.37288856634071893</v>
      </c>
      <c r="U94" s="156">
        <f>$U$55-AVERAGE($U$58,$U$59,$U$60,$U$61,$U$62,$U$63,$U$64,$U$65,$U$66,$U$68,$U$69,$U$70,$U$71,$U$72,$U$73,$U$74,$U$75,$U$76,$U$77,$U$78,$U$79,$U$80,$U$81,$U$82,$U$83,$U$84,$U$85,$U$86,$U$87,$U$88,$U$89,$U$90,$U$91,$U$92,$U$93)</f>
        <v>0.3871314423424857</v>
      </c>
      <c r="V94" s="156">
        <f>$V$55-AVERAGE($V$58,$V$59,$V$60,$V$61,$V$62,$V$63,$V$64,$V$65,$V$66,$V$68,$V$69,$V$70,$V$71,$V$72,$V$73,$V$74,$V$75,$V$76,$V$77,$V$78,$V$79,$V$80,$V$81,$V$82,$V$83,$V$84,$V$85,$V$86,$V$87,$V$88,$V$89,$V$90,$V$91,$V$92,$V$93)</f>
        <v>0.39750858247280119</v>
      </c>
      <c r="W94" s="156">
        <f>$W$55-AVERAGE($W$58,$W$59,$W$60,$W$61,$W$62,$W$63,$W$64,$W$65,$W$66,$W$68,$W$69,$W$70,$W$71,$W$72,$W$73,$W$74,$W$75,$W$76,$W$77,$W$78,$W$79,$W$80,$W$81,$W$82,$W$83,$W$84,$W$85,$W$86,$W$87,$W$88,$W$89,$W$90,$W$91,$W$92,$W$93)</f>
        <v>0.40788572260311673</v>
      </c>
      <c r="X94" s="156">
        <f>$X$55-AVERAGE($X$58,$X$59,$X$60,$X$61,$X$62,$X$63,$X$64,$X$65,$X$66,$X$68,$X$69,$X$70,$X$71,$X$72,$X$73,$X$74,$X$75,$X$76,$X$77,$X$78,$X$79,$X$80,$X$81,$X$82,$X$83,$X$84,$X$85,$X$86,$X$87,$X$88,$X$89,$X$90,$X$91,$X$92,$X$93)</f>
        <v>0.41793712526559829</v>
      </c>
      <c r="Y94" s="156">
        <f>$Y$55-AVERAGE($Y$58,$Y$59,$Y$60,$Y$61,$Y$62,$Y$63,$Y$64,$Y$65,$Y$66,$Y$68,$Y$69,$Y$70,$Y$71,$Y$72,$Y$73,$Y$74,$Y$75,$Y$76,$Y$77,$Y$78,$Y$79,$Y$80,$Y$81,$Y$82,$Y$83,$Y$84,$Y$85,$Y$86,$Y$87,$Y$88,$Y$89,$Y$90,$Y$91,$Y$92,$Y$93)</f>
        <v>0.42640570338283268</v>
      </c>
      <c r="Z94" s="156">
        <f>$Z$55-AVERAGE($Z$58,$Z$59,$Z$60,$Z$61,$Z$62,$Z$63,$Z$64,$Z$65,$Z$66,$Z$68,$Z$69,$Z$70,$Z$71,$Z$72,$Z$73,$Z$74,$Z$75,$Z$76,$Z$77,$Z$78,$Z$79,$Z$80,$Z$81,$Z$82,$Z$83,$Z$84,$Z$85,$Z$86,$Z$87,$Z$88,$Z$89,$Z$90,$Z$91,$Z$92,$Z$93)</f>
        <v>0.43037145137786864</v>
      </c>
      <c r="AA94" s="156">
        <f>$AA$55-AVERAGE($AA$58,$AA$59,$AA$60,$AA$61,$AA$62,$AA$63,$AA$64,$AA$65,$AA$66,$AA$68,$AA$69,$AA$70,$AA$71,$AA$72,$AA$73,$AA$74,$AA$75,$AA$76,$AA$77,$AA$78,$AA$79,$AA$80,$AA$81,$AA$82,$AA$83,$AA$84,$AA$85,$AA$86,$AA$87,$AA$88,$AA$89,$AA$90,$AA$91,$AA$92,$AA$93)</f>
        <v>0.43475430692945205</v>
      </c>
      <c r="AB94" s="156">
        <f>$AB$55-AVERAGE($AB$58,$AB$59,$AB$60,$AB$61,$AB$62,$AB$63,$AB$64,$AB$65,$AB$66,$AB$68,$AB$69,$AB$70,$AB$71,$AB$72,$AB$73,$AB$74,$AB$75,$AB$76,$AB$77,$AB$78,$AB$79,$AB$80,$AB$81,$AB$82,$AB$83,$AB$84,$AB$85,$AB$86,$AB$87,$AB$88,$AB$89,$AB$90,$AB$91,$AB$92,$AB$93)</f>
        <v>0.43917144749845777</v>
      </c>
      <c r="AC94" s="156">
        <f>$AC$55-AVERAGE($AC$58,$AC$59,$AC$60,$AC$61,$AC$62,$AC$63,$AC$64,$AC$65,$AC$66,$AC$68,$AC$69,$AC$70,$AC$71,$AC$72,$AC$73,$AC$74,$AC$75,$AC$76,$AC$77,$AC$78,$AC$79,$AC$80,$AC$81,$AC$82,$AC$83,$AC$84,$AC$85,$AC$86,$AC$87,$AC$88,$AC$89,$AC$90,$AC$91,$AC$92,$AC$93)</f>
        <v>0.44501145694937028</v>
      </c>
      <c r="AD94" s="156">
        <f>$AD$55-AVERAGE($AD$58,$AD$59,$AD$60,$AD$61,$AD$62,$AD$63,$AD$64,$AD$65,$AD$66,$AD$68,$AD$69,$AD$70,$AD$71,$AD$72,$AD$73,$AD$74,$AD$75,$AD$76,$AD$77,$AD$78,$AD$79,$AD$80,$AD$81,$AD$82,$AD$83,$AD$84,$AD$85,$AD$86,$AD$87,$AD$88,$AD$89,$AD$90,$AD$91,$AD$92,$AD$93)</f>
        <v>0.44975425941603525</v>
      </c>
      <c r="AE94" s="156">
        <f>$AE$55-AVERAGE($AE$58,$AE$59,$AE$60,$AE$61,$AE$62,$AE$63,$AE$64,$AE$65,$AE$66,$AE$68,$AE$69,$AE$70,$AE$71,$AE$72,$AE$73,$AE$74,$AE$75,$AE$76,$AE$77,$AE$78,$AE$79,$AE$80,$AE$81,$AE$82,$AE$83,$AE$84,$AE$85,$AE$86,$AE$87,$AE$88,$AE$89,$AE$90,$AE$91,$AE$92,$AE$93)</f>
        <v>0.45588854423591069</v>
      </c>
      <c r="AF94" s="156">
        <f>$AF$55-AVERAGE($AF$58,$AF$59,$AF$60,$AF$61,$AF$62,$AF$63,$AF$64,$AF$65,$AF$66,$AF$68,$AF$69,$AF$70,$AF$71,$AF$72,$AF$73,$AF$74,$AF$75,$AF$76,$AF$77,$AF$78,$AF$79,$AF$80,$AF$81,$AF$82,$AF$83,$AF$84,$AF$85,$AF$86,$AF$87,$AF$88,$AF$89,$AF$90,$AF$91,$AF$92,$AF$93)</f>
        <v>0.46012568537678039</v>
      </c>
    </row>
    <row r="95" spans="1:32" x14ac:dyDescent="0.2">
      <c r="A95" s="157" t="s">
        <v>481</v>
      </c>
      <c r="B95" s="157">
        <f>$B$56-AVERAGE($B$58,$B$59,$B$60,$B$61,$B$62,$B$63,$B$64,$B$65,$B$66,$B$68,$B$69,$B$70,$B$71,$B$72,$B$73,$B$74,$B$75,$B$76,$B$77,$B$78,$B$79,$B$80,$B$81,$B$82,$B$83,$B$84,$B$85,$B$86,$B$87,$B$88,$B$89,$B$90,$B$91,$B$92,$B$93)</f>
        <v>2.5628560355731439E-3</v>
      </c>
      <c r="C95" s="157">
        <f>$C$56-AVERAGE($C$58,$C$59,$C$60,$C$61,$C$62,$C$63,$C$64,$C$65,$C$66,$C$68,$C$69,$C$70,$C$71,$C$72,$C$73,$C$74,$C$75,$C$76,$C$77,$C$78,$C$79,$C$80,$C$81,$C$82,$C$83,$C$84,$C$85,$C$86,$C$87,$C$88,$C$89,$C$90,$C$91,$C$92,$C$93)</f>
        <v>3.0000007578304816E-3</v>
      </c>
      <c r="D95" s="157">
        <f>$D$56-AVERAGE($D$58,$D$59,$D$60,$D$61,$D$62,$D$63,$D$64,$D$65,$D$66,$D$68,$D$69,$D$70,$D$71,$D$72,$D$73,$D$74,$D$75,$D$76,$D$77,$D$78,$D$79,$D$80,$D$81,$D$82,$D$83,$D$84,$D$85,$D$86,$D$87,$D$88,$D$89,$D$90,$D$91,$D$92,$D$93)</f>
        <v>3.5085712160383004E-3</v>
      </c>
      <c r="E95" s="157">
        <f>$E$56-AVERAGE($E$58,$E$59,$E$60,$E$61,$E$62,$E$63,$E$64,$E$65,$E$66,$E$68,$E$69,$E$70,$E$71,$E$72,$E$73,$E$74,$E$75,$E$76,$E$77,$E$78,$E$79,$E$80,$E$81,$E$82,$E$83,$E$84,$E$85,$E$86,$E$87,$E$88,$E$89,$E$90,$E$91,$E$92,$E$93)</f>
        <v>3.9285719394683838E-3</v>
      </c>
      <c r="F95" s="157">
        <f>$F$56-AVERAGE($F$58,$F$59,$F$60,$F$61,$F$62,$F$63,$F$64,$F$65,$F$66,$F$68,$F$69,$F$70,$F$71,$F$72,$F$73,$F$74,$F$75,$F$76,$F$77,$F$78,$F$79,$F$80,$F$81,$F$82,$F$83,$F$84,$F$85,$F$86,$F$87,$F$88,$F$89,$F$90,$F$91,$F$92,$F$93)</f>
        <v>6.1285706503050735E-3</v>
      </c>
      <c r="G95" s="157">
        <f>$G$56-AVERAGE($G$58,$G$59,$G$60,$G$61,$G$62,$G$63,$G$64,$G$65,$G$66,$G$68,$G$69,$G$70,$G$71,$G$72,$G$73,$G$74,$G$75,$G$76,$G$77,$G$78,$G$79,$G$80,$G$81,$G$82,$G$83,$G$84,$G$85,$G$86,$G$87,$G$88,$G$89,$G$90,$G$91,$G$92,$G$93)</f>
        <v>8.354286210877554E-3</v>
      </c>
      <c r="H95" s="157">
        <f>$H$56-AVERAGE($H$58,$H$59,$H$60,$H$61,$H$62,$H$63,$H$64,$H$65,$H$66,$H$68,$H$69,$H$70,$H$71,$H$72,$H$73,$H$74,$H$75,$H$76,$H$77,$H$78,$H$79,$H$80,$H$81,$H$82,$H$83,$H$84,$H$85,$H$86,$H$87,$H$88,$H$89,$H$90,$H$91,$H$92,$H$93)</f>
        <v>1.286571430308478E-2</v>
      </c>
      <c r="I95" s="157">
        <f>$I$56-AVERAGE($I$58,$I$59,$I$60,$I$61,$I$62,$I$63,$I$64,$I$65,$I$66,$I$68,$I$69,$I$70,$I$71,$I$72,$I$73,$I$74,$I$75,$I$76,$I$77,$I$78,$I$79,$I$80,$I$81,$I$82,$I$83,$I$84,$I$85,$I$86,$I$87,$I$88,$I$89,$I$90,$I$91,$I$92,$I$93)</f>
        <v>2.099999402250563E-2</v>
      </c>
      <c r="J95" s="157">
        <f>$J$56-AVERAGE($J$58,$J$59,$J$60,$J$61,$J$62,$J$63,$J$64,$J$65,$J$66,$J$68,$J$69,$J$70,$J$71,$J$72,$J$73,$J$74,$J$75,$J$76,$J$77,$J$78,$J$79,$J$80,$J$81,$J$82,$J$83,$J$84,$J$85,$J$86,$J$87,$J$88,$J$89,$J$90,$J$91,$J$92,$J$93)</f>
        <v>3.4054291886942728E-2</v>
      </c>
      <c r="K95" s="157">
        <f>$K$56-AVERAGE($K$58,$K$59,$K$60,$K$61,$K$62,$K$63,$K$64,$K$65,$K$66,$K$68,$K$69,$K$70,$K$71,$K$72,$K$73,$K$74,$K$75,$K$76,$K$77,$K$78,$K$79,$K$80,$K$81,$K$82,$K$83,$K$84,$K$85,$K$86,$K$87,$K$88,$K$89,$K$90,$K$91,$K$92,$K$93)</f>
        <v>5.1871422784669052E-2</v>
      </c>
      <c r="L95" s="157">
        <f>$L$56-AVERAGE($L$58,$L$59,$L$60,$L$61,$L$62,$L$63,$L$64,$L$65,$L$66,$L$68,$L$69,$L$70,$L$71,$L$72,$L$73,$L$74,$L$75,$L$76,$L$77,$L$78,$L$79,$L$80,$L$81,$L$82,$L$83,$L$84,$L$85,$L$86,$L$87,$L$88,$L$89,$L$90,$L$91,$L$92,$L$93)</f>
        <v>7.6762856117316661E-2</v>
      </c>
      <c r="M95" s="157">
        <f>$M$56-AVERAGE($M$58,$M$59,$M$60,$M$61,$M$62,$M$63,$M$64,$M$65,$M$66,$M$68,$M$69,$M$70,$M$71,$M$72,$M$73,$M$74,$M$75,$M$76,$M$77,$M$78,$M$79,$M$80,$M$81,$M$82,$M$83,$M$84,$M$85,$M$86,$M$87,$M$88,$M$89,$M$90,$M$91,$M$92,$M$93)</f>
        <v>0.1070457154086658</v>
      </c>
      <c r="N95" s="157">
        <f>$N$56-AVERAGE($N$58,$N$59,$N$60,$N$61,$N$62,$N$63,$N$64,$N$65,$N$66,$N$68,$N$69,$N$70,$N$71,$N$72,$N$73,$N$74,$N$75,$N$76,$N$77,$N$78,$N$79,$N$80,$N$81,$N$82,$N$83,$N$84,$N$85,$N$86,$N$87,$N$88,$N$89,$N$90,$N$91,$N$92,$N$93)</f>
        <v>0.14290285174335754</v>
      </c>
      <c r="O95" s="157">
        <f>$O$56-AVERAGE($O$58,$O$59,$O$60,$O$61,$O$62,$O$63,$O$64,$O$65,$O$66,$O$68,$O$69,$O$70,$O$71,$O$72,$O$73,$O$74,$O$75,$O$76,$O$77,$O$78,$O$79,$O$80,$O$81,$O$82,$O$83,$O$84,$O$85,$O$86,$O$87,$O$88,$O$89,$O$90,$O$91,$O$92,$O$93)</f>
        <v>0.18508000458989826</v>
      </c>
      <c r="P95" s="157">
        <f>$P$56-AVERAGE($P$58,$P$59,$P$60,$P$61,$P$62,$P$63,$P$64,$P$65,$P$66,$P$68,$P$69,$P$70,$P$71,$P$72,$P$73,$P$74,$P$75,$P$76,$P$77,$P$78,$P$79,$P$80,$P$81,$P$82,$P$83,$P$84,$P$85,$P$86,$P$87,$P$88,$P$89,$P$90,$P$91,$P$92,$P$93)</f>
        <v>0.22958856672048569</v>
      </c>
      <c r="Q95" s="157">
        <f>$Q$56-AVERAGE($Q$58,$Q$59,$Q$60,$Q$61,$Q$62,$Q$63,$Q$64,$Q$65,$Q$66,$Q$68,$Q$69,$Q$70,$Q$71,$Q$72,$Q$73,$Q$74,$Q$75,$Q$76,$Q$77,$Q$78,$Q$79,$Q$80,$Q$81,$Q$82,$Q$83,$Q$84,$Q$85,$Q$86,$Q$87,$Q$88,$Q$89,$Q$90,$Q$91,$Q$92,$Q$93)</f>
        <v>0.27398285908358438</v>
      </c>
      <c r="R95" s="157">
        <f>$R$56-AVERAGE($R$58,$R$59,$R$60,$R$61,$R$62,$R$63,$R$64,$R$65,$R$66,$R$68,$R$69,$R$70,$R$71,$R$72,$R$73,$R$74,$R$75,$R$76,$R$77,$R$78,$R$79,$R$80,$R$81,$R$82,$R$83,$R$84,$R$85,$R$86,$R$87,$R$88,$R$89,$R$90,$R$91,$R$92,$R$93)</f>
        <v>0.31117714856352124</v>
      </c>
      <c r="S95" s="157">
        <f>$S$56-AVERAGE($S$58,$S$59,$S$60,$S$61,$S$62,$S$63,$S$64,$S$65,$S$66,$S$68,$S$69,$S$70,$S$71,$S$72,$S$73,$S$74,$S$75,$S$76,$S$77,$S$78,$S$79,$S$80,$S$81,$S$82,$S$83,$S$84,$S$85,$S$86,$S$87,$S$88,$S$89,$S$90,$S$91,$S$92,$S$93)</f>
        <v>0.34701143034866877</v>
      </c>
      <c r="T95" s="157">
        <f>$T$56-AVERAGE($T$58,$T$59,$T$60,$T$61,$T$62,$T$63,$T$64,$T$65,$T$66,$T$68,$T$69,$T$70,$T$71,$T$72,$T$73,$T$74,$T$75,$T$76,$T$77,$T$78,$T$79,$T$80,$T$81,$T$82,$T$83,$T$84,$T$85,$T$86,$T$87,$T$88,$T$89,$T$90,$T$91,$T$92,$T$93)</f>
        <v>0.37238857277802057</v>
      </c>
      <c r="U95" s="157">
        <f>$U$56-AVERAGE($U$58,$U$59,$U$60,$U$61,$U$62,$U$63,$U$64,$U$65,$U$66,$U$68,$U$69,$U$70,$U$71,$U$72,$U$73,$U$74,$U$75,$U$76,$U$77,$U$78,$U$79,$U$80,$U$81,$U$82,$U$83,$U$84,$U$85,$U$86,$U$87,$U$88,$U$89,$U$90,$U$91,$U$92,$U$93)</f>
        <v>0.38763143590518406</v>
      </c>
      <c r="V95" s="157">
        <f>$V$56-AVERAGE($V$58,$V$59,$V$60,$V$61,$V$62,$V$63,$V$64,$V$65,$V$66,$V$68,$V$69,$V$70,$V$71,$V$72,$V$73,$V$74,$V$75,$V$76,$V$77,$V$78,$V$79,$V$80,$V$81,$V$82,$V$83,$V$84,$V$85,$V$86,$V$87,$V$88,$V$89,$V$90,$V$91,$V$92,$V$93)</f>
        <v>0.39750856757163999</v>
      </c>
      <c r="W95" s="157">
        <f>$W$56-AVERAGE($W$58,$W$59,$W$60,$W$61,$W$62,$W$63,$W$64,$W$65,$W$66,$W$68,$W$69,$W$70,$W$71,$W$72,$W$73,$W$74,$W$75,$W$76,$W$77,$W$78,$W$79,$W$80,$W$81,$W$82,$W$83,$W$84,$W$85,$W$86,$W$87,$W$88,$W$89,$W$90,$W$91,$W$92,$W$93)</f>
        <v>0.40738569923809598</v>
      </c>
      <c r="X95" s="157">
        <f>$X$56-AVERAGE($X$58,$X$59,$X$60,$X$61,$X$62,$X$63,$X$64,$X$65,$X$66,$X$68,$X$69,$X$70,$X$71,$X$72,$X$73,$X$74,$X$75,$X$76,$X$77,$X$78,$X$79,$X$80,$X$81,$X$82,$X$83,$X$84,$X$85,$X$86,$X$87,$X$88,$X$89,$X$90,$X$91,$X$92,$X$93)</f>
        <v>0.41713717132806777</v>
      </c>
      <c r="Y95" s="157">
        <f>$Y$56-AVERAGE($Y$58,$Y$59,$Y$60,$Y$61,$Y$62,$Y$63,$Y$64,$Y$65,$Y$66,$Y$68,$Y$69,$Y$70,$Y$71,$Y$72,$Y$73,$Y$74,$Y$75,$Y$76,$Y$77,$Y$78,$Y$79,$Y$80,$Y$81,$Y$82,$Y$83,$Y$84,$Y$85,$Y$86,$Y$87,$Y$88,$Y$89,$Y$90,$Y$91,$Y$92,$Y$93)</f>
        <v>0.42550573285136906</v>
      </c>
      <c r="Z95" s="157">
        <f>$Z$56-AVERAGE($Z$58,$Z$59,$Z$60,$Z$61,$Z$62,$Z$63,$Z$64,$Z$65,$Z$66,$Z$68,$Z$69,$Z$70,$Z$71,$Z$72,$Z$73,$Z$74,$Z$75,$Z$76,$Z$77,$Z$78,$Z$79,$Z$80,$Z$81,$Z$82,$Z$83,$Z$84,$Z$85,$Z$86,$Z$87,$Z$88,$Z$89,$Z$90,$Z$91,$Z$92,$Z$93)</f>
        <v>0.43027143478393554</v>
      </c>
      <c r="AA95" s="157">
        <f>$AA$56-AVERAGE($AA$58,$AA$59,$AA$60,$AA$61,$AA$62,$AA$63,$AA$64,$AA$65,$AA$66,$AA$68,$AA$69,$AA$70,$AA$71,$AA$72,$AA$73,$AA$74,$AA$75,$AA$76,$AA$77,$AA$78,$AA$79,$AA$80,$AA$81,$AA$82,$AA$83,$AA$84,$AA$85,$AA$86,$AA$87,$AA$88,$AA$89,$AA$90,$AA$91,$AA$92,$AA$93)</f>
        <v>0.43605428423200332</v>
      </c>
      <c r="AB95" s="157">
        <f>$AB$56-AVERAGE($AB$58,$AB$59,$AB$60,$AB$61,$AB$62,$AB$63,$AB$64,$AB$65,$AB$66,$AB$68,$AB$69,$AB$70,$AB$71,$AB$72,$AB$73,$AB$74,$AB$75,$AB$76,$AB$77,$AB$78,$AB$79,$AB$80,$AB$81,$AB$82,$AB$83,$AB$84,$AB$85,$AB$86,$AB$87,$AB$88,$AB$89,$AB$90,$AB$91,$AB$92,$AB$93)</f>
        <v>0.44047142480100904</v>
      </c>
      <c r="AC95" s="157">
        <f>$AC$56-AVERAGE($AC$58,$AC$59,$AC$60,$AC$61,$AC$62,$AC$63,$AC$64,$AC$65,$AC$66,$AC$68,$AC$69,$AC$70,$AC$71,$AC$72,$AC$73,$AC$74,$AC$75,$AC$76,$AC$77,$AC$78,$AC$79,$AC$80,$AC$81,$AC$82,$AC$83,$AC$84,$AC$85,$AC$86,$AC$87,$AC$88,$AC$89,$AC$90,$AC$91,$AC$92,$AC$93)</f>
        <v>0.44391145323004044</v>
      </c>
      <c r="AD95" s="157">
        <f>$AD$56-AVERAGE($AD$58,$AD$59,$AD$60,$AD$61,$AD$62,$AD$63,$AD$64,$AD$65,$AD$66,$AD$68,$AD$69,$AD$70,$AD$71,$AD$72,$AD$73,$AD$74,$AD$75,$AD$76,$AD$77,$AD$78,$AD$79,$AD$80,$AD$81,$AD$82,$AD$83,$AD$84,$AD$85,$AD$86,$AD$87,$AD$88,$AD$89,$AD$90,$AD$91,$AD$92,$AD$93)</f>
        <v>0.44955428583281382</v>
      </c>
      <c r="AE95" s="157">
        <f>$AE$56-AVERAGE($AE$58,$AE$59,$AE$60,$AE$61,$AE$62,$AE$63,$AE$64,$AE$65,$AE$66,$AE$68,$AE$69,$AE$70,$AE$71,$AE$72,$AE$73,$AE$74,$AE$75,$AE$76,$AE$77,$AE$78,$AE$79,$AE$80,$AE$81,$AE$82,$AE$83,$AE$84,$AE$85,$AE$86,$AE$87,$AE$88,$AE$89,$AE$90,$AE$91,$AE$92,$AE$93)</f>
        <v>0.45678857437201908</v>
      </c>
      <c r="AF95" s="157">
        <f>$AF$56-AVERAGE($AF$58,$AF$59,$AF$60,$AF$61,$AF$62,$AF$63,$AF$64,$AF$65,$AF$66,$AF$68,$AF$69,$AF$70,$AF$71,$AF$72,$AF$73,$AF$74,$AF$75,$AF$76,$AF$77,$AF$78,$AF$79,$AF$80,$AF$81,$AF$82,$AF$83,$AF$84,$AF$85,$AF$86,$AF$87,$AF$88,$AF$89,$AF$90,$AF$91,$AF$92,$AF$93)</f>
        <v>0.46122568909611023</v>
      </c>
    </row>
    <row r="96" spans="1:32" x14ac:dyDescent="0.2">
      <c r="A96" s="168" t="s">
        <v>482</v>
      </c>
      <c r="B96" s="168">
        <f>$B$57-AVERAGE($B$58,$B$59,$B$60,$B$61,$B$62,$B$63,$B$64,$B$65,$B$66,$B$68,$B$69,$B$70,$B$71,$B$72,$B$73,$B$74,$B$75,$B$76,$B$77,$B$78,$B$79,$B$80,$B$81,$B$82,$B$83,$B$84,$B$85,$B$86,$B$87,$B$88,$B$89,$B$90,$B$91,$B$92,$B$93)</f>
        <v>3.0628570488521051E-3</v>
      </c>
      <c r="C96" s="168">
        <f>$C$57-AVERAGE($C$58,$C$59,$C$60,$C$61,$C$62,$C$63,$C$64,$C$65,$C$66,$C$68,$C$69,$C$70,$C$71,$C$72,$C$73,$C$74,$C$75,$C$76,$C$77,$C$78,$C$79,$C$80,$C$81,$C$82,$C$83,$C$84,$C$85,$C$86,$C$87,$C$88,$C$89,$C$90,$C$91,$C$92,$C$93)</f>
        <v>3.1000024506023932E-3</v>
      </c>
      <c r="D96" s="168">
        <f>$D$57-AVERAGE($D$58,$D$59,$D$60,$D$61,$D$62,$D$63,$D$64,$D$65,$D$66,$D$68,$D$69,$D$70,$D$71,$D$72,$D$73,$D$74,$D$75,$D$76,$D$77,$D$78,$D$79,$D$80,$D$81,$D$82,$D$83,$D$84,$D$85,$D$86,$D$87,$D$88,$D$89,$D$90,$D$91,$D$92,$D$93)</f>
        <v>3.308575281075074E-3</v>
      </c>
      <c r="E96" s="168">
        <f>$E$57-AVERAGE($E$58,$E$59,$E$60,$E$61,$E$62,$E$63,$E$64,$E$65,$E$66,$E$68,$E$69,$E$70,$E$71,$E$72,$E$73,$E$74,$E$75,$E$76,$E$77,$E$78,$E$79,$E$80,$E$81,$E$82,$E$83,$E$84,$E$85,$E$86,$E$87,$E$88,$E$89,$E$90,$E$91,$E$92,$E$93)</f>
        <v>3.9285719394683838E-3</v>
      </c>
      <c r="F96" s="168">
        <f>$F$57-AVERAGE($F$58,$F$59,$F$60,$F$61,$F$62,$F$63,$F$64,$F$65,$F$66,$F$68,$F$69,$F$70,$F$71,$F$72,$F$73,$F$74,$F$75,$F$76,$F$77,$F$78,$F$79,$F$80,$F$81,$F$82,$F$83,$F$84,$F$85,$F$86,$F$87,$F$88,$F$89,$F$90,$F$91,$F$92,$F$93)</f>
        <v>5.1285686237471512E-3</v>
      </c>
      <c r="G96" s="168">
        <f>$G$57-AVERAGE($G$58,$G$59,$G$60,$G$61,$G$62,$G$63,$G$64,$G$65,$G$66,$G$68,$G$69,$G$70,$G$71,$G$72,$G$73,$G$74,$G$75,$G$76,$G$77,$G$78,$G$79,$G$80,$G$81,$G$82,$G$83,$G$84,$G$85,$G$86,$G$87,$G$88,$G$89,$G$90,$G$91,$G$92,$G$93)</f>
        <v>7.7542835048266812E-3</v>
      </c>
      <c r="H96" s="168">
        <f>$H$57-AVERAGE($H$58,$H$59,$H$60,$H$61,$H$62,$H$63,$H$64,$H$65,$H$66,$H$68,$H$69,$H$70,$H$71,$H$72,$H$73,$H$74,$H$75,$H$76,$H$77,$H$78,$H$79,$H$80,$H$81,$H$82,$H$83,$H$84,$H$85,$H$86,$H$87,$H$88,$H$89,$H$90,$H$91,$H$92,$H$93)</f>
        <v>1.2265711597033907E-2</v>
      </c>
      <c r="I96" s="168">
        <f>$I$57-AVERAGE($I$58,$I$59,$I$60,$I$61,$I$62,$I$63,$I$64,$I$65,$I$66,$I$68,$I$69,$I$70,$I$71,$I$72,$I$73,$I$74,$I$75,$I$76,$I$77,$I$78,$I$79,$I$80,$I$81,$I$82,$I$83,$I$84,$I$85,$I$86,$I$87,$I$88,$I$89,$I$90,$I$91,$I$92,$I$93)</f>
        <v>1.9600000126021255E-2</v>
      </c>
      <c r="J96" s="168">
        <f>$J$57-AVERAGE($J$58,$J$59,$J$60,$J$61,$J$62,$J$63,$J$64,$J$65,$J$66,$J$68,$J$69,$J$70,$J$71,$J$72,$J$73,$J$74,$J$75,$J$76,$J$77,$J$78,$J$79,$J$80,$J$81,$J$82,$J$83,$J$84,$J$85,$J$86,$J$87,$J$88,$J$89,$J$90,$J$91,$J$92,$J$93)</f>
        <v>3.1154287500040873E-2</v>
      </c>
      <c r="K96" s="168">
        <f>$K$57-AVERAGE($K$58,$K$59,$K$60,$K$61,$K$62,$K$63,$K$64,$K$65,$K$66,$K$68,$K$69,$K$70,$K$71,$K$72,$K$73,$K$74,$K$75,$K$76,$K$77,$K$78,$K$79,$K$80,$K$81,$K$82,$K$83,$K$84,$K$85,$K$86,$K$87,$K$88,$K$89,$K$90,$K$91,$K$92,$K$93)</f>
        <v>4.8171434657914292E-2</v>
      </c>
      <c r="L96" s="168">
        <f>$L$57-AVERAGE($L$58,$L$59,$L$60,$L$61,$L$62,$L$63,$L$64,$L$65,$L$66,$L$68,$L$69,$L$70,$L$71,$L$72,$L$73,$L$74,$L$75,$L$76,$L$77,$L$78,$L$79,$L$80,$L$81,$L$82,$L$83,$L$84,$L$85,$L$86,$L$87,$L$88,$L$89,$L$90,$L$91,$L$92,$L$93)</f>
        <v>7.2362856141158519E-2</v>
      </c>
      <c r="M96" s="168">
        <f>$M$57-AVERAGE($M$58,$M$59,$M$60,$M$61,$M$62,$M$63,$M$64,$M$65,$M$66,$M$68,$M$69,$M$70,$M$71,$M$72,$M$73,$M$74,$M$75,$M$76,$M$77,$M$78,$M$79,$M$80,$M$81,$M$82,$M$83,$M$84,$M$85,$M$86,$M$87,$M$88,$M$89,$M$90,$M$91,$M$92,$M$93)</f>
        <v>0.10194571848426547</v>
      </c>
      <c r="N96" s="168">
        <f>$N$57-AVERAGE($N$58,$N$59,$N$60,$N$61,$N$62,$N$63,$N$64,$N$65,$N$66,$N$68,$N$69,$N$70,$N$71,$N$72,$N$73,$N$74,$N$75,$N$76,$N$77,$N$78,$N$79,$N$80,$N$81,$N$82,$N$83,$N$84,$N$85,$N$86,$N$87,$N$88,$N$89,$N$90,$N$91,$N$92,$N$93)</f>
        <v>0.13800285820450103</v>
      </c>
      <c r="O96" s="168">
        <f>$O$57-AVERAGE($O$58,$O$59,$O$60,$O$61,$O$62,$O$63,$O$64,$O$65,$O$66,$O$68,$O$69,$O$70,$O$71,$O$72,$O$73,$O$74,$O$75,$O$76,$O$77,$O$78,$O$79,$O$80,$O$81,$O$82,$O$83,$O$84,$O$85,$O$86,$O$87,$O$88,$O$89,$O$90,$O$91,$O$92,$O$93)</f>
        <v>0.18148000325475422</v>
      </c>
      <c r="P96" s="168">
        <f>$P$57-AVERAGE($P$58,$P$59,$P$60,$P$61,$P$62,$P$63,$P$64,$P$65,$P$66,$P$68,$P$69,$P$70,$P$71,$P$72,$P$73,$P$74,$P$75,$P$76,$P$77,$P$78,$P$79,$P$80,$P$81,$P$82,$P$83,$P$84,$P$85,$P$86,$P$87,$P$88,$P$89,$P$90,$P$91,$P$92,$P$93)</f>
        <v>0.22858857959508896</v>
      </c>
      <c r="Q96" s="168">
        <f>$Q$57-AVERAGE($Q$58,$Q$59,$Q$60,$Q$61,$Q$62,$Q$63,$Q$64,$Q$65,$Q$66,$Q$68,$Q$69,$Q$70,$Q$71,$Q$72,$Q$73,$Q$74,$Q$75,$Q$76,$Q$77,$Q$78,$Q$79,$Q$80,$Q$81,$Q$82,$Q$83,$Q$84,$Q$85,$Q$86,$Q$87,$Q$88,$Q$89,$Q$90,$Q$91,$Q$92,$Q$93)</f>
        <v>0.27378285569804056</v>
      </c>
      <c r="R96" s="168">
        <f>$R$57-AVERAGE($R$58,$R$59,$R$60,$R$61,$R$62,$R$63,$R$64,$R$65,$R$66,$R$68,$R$69,$R$70,$R$71,$R$72,$R$73,$R$74,$R$75,$R$76,$R$77,$R$78,$R$79,$R$80,$R$81,$R$82,$R$83,$R$84,$R$85,$R$86,$R$87,$R$88,$R$89,$R$90,$R$91,$R$92,$R$93)</f>
        <v>0.32037715528692517</v>
      </c>
      <c r="S96" s="168">
        <f>$S$57-AVERAGE($S$58,$S$59,$S$60,$S$61,$S$62,$S$63,$S$64,$S$65,$S$66,$S$68,$S$69,$S$70,$S$71,$S$72,$S$73,$S$74,$S$75,$S$76,$S$77,$S$78,$S$79,$S$80,$S$81,$S$82,$S$83,$S$84,$S$85,$S$86,$S$87,$S$88,$S$89,$S$90,$S$91,$S$92,$S$93)</f>
        <v>0.3586114180939538</v>
      </c>
      <c r="T96" s="168">
        <f>$T$57-AVERAGE($T$58,$T$59,$T$60,$T$61,$T$62,$T$63,$T$64,$T$65,$T$66,$T$68,$T$69,$T$70,$T$71,$T$72,$T$73,$T$74,$T$75,$T$76,$T$77,$T$78,$T$79,$T$80,$T$81,$T$82,$T$83,$T$84,$T$85,$T$86,$T$87,$T$88,$T$89,$T$90,$T$91,$T$92,$T$93)</f>
        <v>0.38928857573441095</v>
      </c>
      <c r="U96" s="168">
        <f>$U$57-AVERAGE($U$58,$U$59,$U$60,$U$61,$U$62,$U$63,$U$64,$U$65,$U$66,$U$68,$U$69,$U$70,$U$71,$U$72,$U$73,$U$74,$U$75,$U$76,$U$77,$U$78,$U$79,$U$80,$U$81,$U$82,$U$83,$U$84,$U$85,$U$86,$U$87,$U$88,$U$89,$U$90,$U$91,$U$92,$U$93)</f>
        <v>0.39773141316005162</v>
      </c>
      <c r="V96" s="168">
        <f>$V$57-AVERAGE($V$58,$V$59,$V$60,$V$61,$V$62,$V$63,$V$64,$V$65,$V$66,$V$68,$V$69,$V$70,$V$71,$V$72,$V$73,$V$74,$V$75,$V$76,$V$77,$V$78,$V$79,$V$80,$V$81,$V$82,$V$83,$V$84,$V$85,$V$86,$V$87,$V$88,$V$89,$V$90,$V$91,$V$92,$V$93)</f>
        <v>0.40530856549739835</v>
      </c>
      <c r="W96" s="168">
        <f>$W$57-AVERAGE($W$58,$W$59,$W$60,$W$61,$W$62,$W$63,$W$64,$W$65,$W$66,$W$68,$W$69,$W$70,$W$71,$W$72,$W$73,$W$74,$W$75,$W$76,$W$77,$W$78,$W$79,$W$80,$W$81,$W$82,$W$83,$W$84,$W$85,$W$86,$W$87,$W$88,$W$89,$W$90,$W$91,$W$92,$W$93)</f>
        <v>0.41288571783474515</v>
      </c>
      <c r="X96" s="168">
        <f>$X$57-AVERAGE($X$58,$X$59,$X$60,$X$61,$X$62,$X$63,$X$64,$X$65,$X$66,$X$68,$X$69,$X$70,$X$71,$X$72,$X$73,$X$74,$X$75,$X$76,$X$77,$X$78,$X$79,$X$80,$X$81,$X$82,$X$83,$X$84,$X$85,$X$86,$X$87,$X$88,$X$89,$X$90,$X$91,$X$92,$X$93)</f>
        <v>0.42623713165521621</v>
      </c>
      <c r="Y96" s="168">
        <f>$Y$57-AVERAGE($Y$58,$Y$59,$Y$60,$Y$61,$Y$62,$Y$63,$Y$64,$Y$65,$Y$66,$Y$68,$Y$69,$Y$70,$Y$71,$Y$72,$Y$73,$Y$74,$Y$75,$Y$76,$Y$77,$Y$78,$Y$79,$Y$80,$Y$81,$Y$82,$Y$83,$Y$84,$Y$85,$Y$86,$Y$87,$Y$88,$Y$89,$Y$90,$Y$91,$Y$92,$Y$93)</f>
        <v>0.4323057287505695</v>
      </c>
      <c r="Z96" s="168">
        <f>$Z$57-AVERAGE($Z$58,$Z$59,$Z$60,$Z$61,$Z$62,$Z$63,$Z$64,$Z$65,$Z$66,$Z$68,$Z$69,$Z$70,$Z$71,$Z$72,$Z$73,$Z$74,$Z$75,$Z$76,$Z$77,$Z$78,$Z$79,$Z$80,$Z$81,$Z$82,$Z$83,$Z$84,$Z$85,$Z$86,$Z$87,$Z$88,$Z$89,$Z$90,$Z$91,$Z$92,$Z$93)</f>
        <v>0.43427144289016723</v>
      </c>
      <c r="AA96" s="168">
        <f>$AA$57-AVERAGE($AA$58,$AA$59,$AA$60,$AA$61,$AA$62,$AA$63,$AA$64,$AA$65,$AA$66,$AA$68,$AA$69,$AA$70,$AA$71,$AA$72,$AA$73,$AA$74,$AA$75,$AA$76,$AA$77,$AA$78,$AA$79,$AA$80,$AA$81,$AA$82,$AA$83,$AA$84,$AA$85,$AA$86,$AA$87,$AA$88,$AA$89,$AA$90,$AA$91,$AA$92,$AA$93)</f>
        <v>0.43725430454526626</v>
      </c>
      <c r="AB96" s="168">
        <f>$AB$57-AVERAGE($AB$58,$AB$59,$AB$60,$AB$61,$AB$62,$AB$63,$AB$64,$AB$65,$AB$66,$AB$68,$AB$69,$AB$70,$AB$71,$AB$72,$AB$73,$AB$74,$AB$75,$AB$76,$AB$77,$AB$78,$AB$79,$AB$80,$AB$81,$AB$82,$AB$83,$AB$84,$AB$85,$AB$86,$AB$87,$AB$88,$AB$89,$AB$90,$AB$91,$AB$92,$AB$93)</f>
        <v>0.44127143834318433</v>
      </c>
      <c r="AC96" s="168">
        <f>$AC$57-AVERAGE($AC$58,$AC$59,$AC$60,$AC$61,$AC$62,$AC$63,$AC$64,$AC$65,$AC$66,$AC$68,$AC$69,$AC$70,$AC$71,$AC$72,$AC$73,$AC$74,$AC$75,$AC$76,$AC$77,$AC$78,$AC$79,$AC$80,$AC$81,$AC$82,$AC$83,$AC$84,$AC$85,$AC$86,$AC$87,$AC$88,$AC$89,$AC$90,$AC$91,$AC$92,$AC$93)</f>
        <v>0.44421144340719498</v>
      </c>
      <c r="AD96" s="168">
        <f>$AD$57-AVERAGE($AD$58,$AD$59,$AD$60,$AD$61,$AD$62,$AD$63,$AD$64,$AD$65,$AD$66,$AD$68,$AD$69,$AD$70,$AD$71,$AD$72,$AD$73,$AD$74,$AD$75,$AD$76,$AD$77,$AD$78,$AD$79,$AD$80,$AD$81,$AD$82,$AD$83,$AD$84,$AD$85,$AD$86,$AD$87,$AD$88,$AD$89,$AD$90,$AD$91,$AD$92,$AD$93)</f>
        <v>0.44965430242674692</v>
      </c>
      <c r="AE96" s="168">
        <f>$AE$57-AVERAGE($AE$58,$AE$59,$AE$60,$AE$61,$AE$62,$AE$63,$AE$64,$AE$65,$AE$66,$AE$68,$AE$69,$AE$70,$AE$71,$AE$72,$AE$73,$AE$74,$AE$75,$AE$76,$AE$77,$AE$78,$AE$79,$AE$80,$AE$81,$AE$82,$AE$83,$AE$84,$AE$85,$AE$86,$AE$87,$AE$88,$AE$89,$AE$90,$AE$91,$AE$92,$AE$93)</f>
        <v>0.45678857437201908</v>
      </c>
      <c r="AF96" s="168">
        <f>$AF$57-AVERAGE($AF$58,$AF$59,$AF$60,$AF$61,$AF$62,$AF$63,$AF$64,$AF$65,$AF$66,$AF$68,$AF$69,$AF$70,$AF$71,$AF$72,$AF$73,$AF$74,$AF$75,$AF$76,$AF$77,$AF$78,$AF$79,$AF$80,$AF$81,$AF$82,$AF$83,$AF$84,$AF$85,$AF$86,$AF$87,$AF$88,$AF$89,$AF$90,$AF$91,$AF$92,$AF$93)</f>
        <v>0.46082574192966735</v>
      </c>
    </row>
    <row r="97" spans="1:32" x14ac:dyDescent="0.2">
      <c r="A97" t="s">
        <v>483</v>
      </c>
      <c r="H97">
        <f>INDEX(LOGEST($B$94:$H$94,$B$54:$H$54,TRUE,TRUE), 3)</f>
        <v>0.89035886487390903</v>
      </c>
      <c r="I97">
        <f>INDEX(LOGEST($B$94:$I$94,$B$54:$I$54,TRUE,TRUE), 3)</f>
        <v>0.9097830012172341</v>
      </c>
      <c r="J97">
        <f>INDEX(LOGEST($B$94:$J$94,$B$54:$J$54,TRUE,TRUE), 3)</f>
        <v>0.9270409097279948</v>
      </c>
      <c r="K97">
        <f>INDEX(LOGEST($B$94:$K$94,$B$54:$K$54,TRUE,TRUE), 3)</f>
        <v>0.94238032541678074</v>
      </c>
      <c r="L97">
        <f>INDEX(LOGEST($B$94:$L$94,$B$54:$L$54,TRUE,TRUE), 3)</f>
        <v>0.95500210020458742</v>
      </c>
      <c r="M97">
        <f>INDEX(LOGEST($B$94:$M$94,$B$54:$M$54,TRUE,TRUE), 3)</f>
        <v>0.96498500834891099</v>
      </c>
      <c r="N97">
        <f>INDEX(LOGEST($B$94:$N$94,$B$54:$N$54,TRUE,TRUE), 3)</f>
        <v>0.97248513329877018</v>
      </c>
      <c r="O97">
        <f>INDEX(LOGEST($B$94:$O$94,$B$54:$O$54,TRUE,TRUE), 3)</f>
        <v>0.97765085565136756</v>
      </c>
      <c r="P97">
        <f>INDEX(LOGEST($B$94:$P$94,$B$54:$P$54,TRUE,TRUE), 3)</f>
        <v>0.98057799607028251</v>
      </c>
      <c r="Q97" s="155">
        <f>INDEX(LOGEST($B$94:$Q$94,$B$54:$Q$54,TRUE,TRUE), 3)</f>
        <v>0.98152916900308229</v>
      </c>
      <c r="R97">
        <f>INDEX(LOGEST($B$94:$R$94,$B$54:$R$54,TRUE,TRUE), 3)</f>
        <v>0.98042274153430331</v>
      </c>
      <c r="S97">
        <f>INDEX(LOGEST($B$94:$S$94,$B$54:$S$54,TRUE,TRUE), 3)</f>
        <v>0.97749040491285932</v>
      </c>
      <c r="T97">
        <f>INDEX(LOGEST($B$94:$T$94,$B$54:$T$54,TRUE,TRUE), 3)</f>
        <v>0.9725467650018037</v>
      </c>
      <c r="U97">
        <f>INDEX(LOGEST($B$94:$U$94,$B$54:$U$54,TRUE,TRUE), 3)</f>
        <v>0.96538701083437473</v>
      </c>
      <c r="V97">
        <f>INDEX(LOGEST($B$94:$V$94,$B$54:$V$54,TRUE,TRUE), 3)</f>
        <v>0.95636259144344449</v>
      </c>
      <c r="W97">
        <f>INDEX(LOGEST($B$94:$W$94,$B$54:$W$54,TRUE,TRUE), 3)</f>
        <v>0.94601384357026586</v>
      </c>
      <c r="X97">
        <f>INDEX(LOGEST($B$94:$X$94,$B$54:$X$54,TRUE,TRUE), 3)</f>
        <v>0.93474673747515213</v>
      </c>
      <c r="Y97">
        <f>INDEX(LOGEST($B$94:$Y$94,$B$54:$Y$54,TRUE,TRUE), 3)</f>
        <v>0.92278974994575547</v>
      </c>
      <c r="Z97">
        <f>INDEX(LOGEST($B$94:$Z$94,$B$54:$Z$54,TRUE,TRUE), 3)</f>
        <v>0.91011458774951814</v>
      </c>
      <c r="AA97">
        <f>INDEX(LOGEST($B$94:$AA$94,$B$54:$AA$54,TRUE,TRUE), 3)</f>
        <v>0.89701521810658935</v>
      </c>
      <c r="AB97">
        <f>INDEX(LOGEST($B$94:$AB$94,$B$54:$AB$54,TRUE,TRUE), 3)</f>
        <v>0.88369441489181588</v>
      </c>
      <c r="AC97">
        <f>INDEX(LOGEST($B$94:$AC$94,$B$54:$AC$54,TRUE,TRUE), 3)</f>
        <v>0.87040120505750684</v>
      </c>
      <c r="AD97">
        <f>INDEX(LOGEST($B$94:$AD$94,$B$54:$AD$54,TRUE,TRUE), 3)</f>
        <v>0.85716376530386329</v>
      </c>
      <c r="AE97">
        <f>INDEX(LOGEST($B$94:$AE$94,$B$54:$AE$54,TRUE,TRUE), 3)</f>
        <v>0.84415938130172008</v>
      </c>
      <c r="AF97">
        <f>INDEX(LOGEST($B$94:$AF$94,$B$54:$AF$54,TRUE,TRUE), 3)</f>
        <v>0.83131732815181347</v>
      </c>
    </row>
    <row r="98" spans="1:32" x14ac:dyDescent="0.2">
      <c r="A98" t="s">
        <v>484</v>
      </c>
      <c r="H98">
        <f>INDEX(LOGEST($B$95:$H$95,$B$54:$H$54,TRUE,TRUE), 3)</f>
        <v>0.94860242931301442</v>
      </c>
      <c r="I98">
        <f>INDEX(LOGEST($B$95:$I$95,$B$54:$I$54,TRUE,TRUE), 3)</f>
        <v>0.95042570956594175</v>
      </c>
      <c r="J98">
        <f>INDEX(LOGEST($B$95:$J$95,$B$54:$J$54,TRUE,TRUE), 3)</f>
        <v>0.95496534251508325</v>
      </c>
      <c r="K98">
        <f>INDEX(LOGEST($B$95:$K$95,$B$54:$K$54,TRUE,TRUE), 3)</f>
        <v>0.96263328761707545</v>
      </c>
      <c r="L98">
        <f>INDEX(LOGEST($B$95:$L$95,$B$54:$L$54,TRUE,TRUE), 3)</f>
        <v>0.97010140549297197</v>
      </c>
      <c r="M98">
        <f>INDEX(LOGEST($B$95:$M$95,$B$54:$M$54,TRUE,TRUE), 3)</f>
        <v>0.97666258491352076</v>
      </c>
      <c r="N98">
        <f>INDEX(LOGEST($B$95:$N$95,$B$54:$N$54,TRUE,TRUE), 3)</f>
        <v>0.98165645402691648</v>
      </c>
      <c r="O98">
        <f>INDEX(LOGEST($B$95:$O$95,$B$54:$O$54,TRUE,TRUE), 3)</f>
        <v>0.98495332440198702</v>
      </c>
      <c r="P98" s="155">
        <f>INDEX(LOGEST($B$95:$P$95,$B$54:$P$54,TRUE,TRUE), 3)</f>
        <v>0.98653072489120319</v>
      </c>
      <c r="Q98">
        <f>INDEX(LOGEST($B$95:$Q$95,$B$54:$Q$54,TRUE,TRUE), 3)</f>
        <v>0.98637568117804486</v>
      </c>
      <c r="R98">
        <f>INDEX(LOGEST($B$95:$R$95,$B$54:$R$54,TRUE,TRUE), 3)</f>
        <v>0.98424427038646822</v>
      </c>
      <c r="S98">
        <f>INDEX(LOGEST($B$95:$S$95,$B$54:$S$54,TRUE,TRUE), 3)</f>
        <v>0.98041519761484341</v>
      </c>
      <c r="T98">
        <f>INDEX(LOGEST($B$95:$T$95,$B$54:$T$54,TRUE,TRUE), 3)</f>
        <v>0.97466893790354092</v>
      </c>
      <c r="U98">
        <f>INDEX(LOGEST($B$95:$U$95,$B$54:$U$54,TRUE,TRUE), 3)</f>
        <v>0.96689866958061277</v>
      </c>
      <c r="V98">
        <f>INDEX(LOGEST($B$95:$V$95,$B$54:$V$54,TRUE,TRUE), 3)</f>
        <v>0.95732495818371544</v>
      </c>
      <c r="W98">
        <f>INDEX(LOGEST($B$95:$W$95,$B$54:$W$54,TRUE,TRUE), 3)</f>
        <v>0.9464779735854677</v>
      </c>
      <c r="X98">
        <f>INDEX(LOGEST($B$95:$X$95,$B$54:$X$54,TRUE,TRUE), 3)</f>
        <v>0.93476917795480907</v>
      </c>
      <c r="Y98">
        <f>INDEX(LOGEST($B$95:$Y$95,$B$54:$Y$54,TRUE,TRUE), 3)</f>
        <v>0.92243125957525596</v>
      </c>
      <c r="Z98">
        <f>INDEX(LOGEST($B$95:$Z$95,$B$54:$Z$54,TRUE,TRUE), 3)</f>
        <v>0.90948714547028153</v>
      </c>
      <c r="AA98">
        <f>INDEX(LOGEST($B$95:$AA$95,$B$54:$AA$54,TRUE,TRUE), 3)</f>
        <v>0.89625326410164319</v>
      </c>
      <c r="AB98">
        <f>INDEX(LOGEST($B$95:$AB$95,$B$54:$AB$54,TRUE,TRUE), 3)</f>
        <v>0.88281563061462975</v>
      </c>
      <c r="AC98">
        <f>INDEX(LOGEST($B$95:$AC$95,$B$54:$AC$54,TRUE,TRUE), 3)</f>
        <v>0.86925936829286443</v>
      </c>
      <c r="AD98">
        <f>INDEX(LOGEST($B$95:$AD$95,$B$54:$AD$54,TRUE,TRUE), 3)</f>
        <v>0.85585522335046216</v>
      </c>
      <c r="AE98">
        <f>INDEX(LOGEST($B$95:$AE$95,$B$54:$AE$54,TRUE,TRUE), 3)</f>
        <v>0.84277719904467696</v>
      </c>
      <c r="AF98">
        <f>INDEX(LOGEST($B$95:$AF$95,$B$54:$AF$54,TRUE,TRUE), 3)</f>
        <v>0.82988358403840068</v>
      </c>
    </row>
    <row r="99" spans="1:32" x14ac:dyDescent="0.2">
      <c r="A99" t="s">
        <v>485</v>
      </c>
      <c r="H99">
        <f>INDEX(LOGEST($B$96:$H$96,$B$54:$H$54,TRUE,TRUE), 3)</f>
        <v>0.87692573626190706</v>
      </c>
      <c r="I99">
        <f>INDEX(LOGEST($B$96:$I$96,$B$54:$I$54,TRUE,TRUE), 3)</f>
        <v>0.8990281999358003</v>
      </c>
      <c r="J99">
        <f>INDEX(LOGEST($B$96:$J$96,$B$54:$J$54,TRUE,TRUE), 3)</f>
        <v>0.91850906487700978</v>
      </c>
      <c r="K99">
        <f>INDEX(LOGEST($B$96:$K$96,$B$54:$K$54,TRUE,TRUE), 3)</f>
        <v>0.93509060156682122</v>
      </c>
      <c r="L99">
        <f>INDEX(LOGEST($B$96:$L$96,$B$54:$L$54,TRUE,TRUE), 3)</f>
        <v>0.94863337801458503</v>
      </c>
      <c r="M99">
        <f>INDEX(LOGEST($B$96:$M$96,$B$54:$M$54,TRUE,TRUE), 3)</f>
        <v>0.95980053196128901</v>
      </c>
      <c r="N99">
        <f>INDEX(LOGEST($B$96:$N$96,$B$54:$N$54,TRUE,TRUE), 3)</f>
        <v>0.96838652430895222</v>
      </c>
      <c r="O99">
        <f>INDEX(LOGEST($B$96:$O$96,$B$54:$O$54,TRUE,TRUE), 3)</f>
        <v>0.97458635767849999</v>
      </c>
      <c r="P99">
        <f>INDEX(LOGEST($B$96:$P$96,$B$54:$P$54,TRUE,TRUE), 3)</f>
        <v>0.97862556097831477</v>
      </c>
      <c r="Q99" s="155">
        <f>INDEX(LOGEST($B$96:$Q$96,$B$54:$Q$54,TRUE,TRUE), 3)</f>
        <v>0.98050823804456366</v>
      </c>
      <c r="R99">
        <f>INDEX(LOGEST($B$96:$R$96,$B$54:$R$54,TRUE,TRUE), 3)</f>
        <v>0.98050063072951266</v>
      </c>
      <c r="S99">
        <f>INDEX(LOGEST($B$96:$S$96,$B$54:$S$54,TRUE,TRUE), 3)</f>
        <v>0.97846476836975804</v>
      </c>
      <c r="T99">
        <f>INDEX(LOGEST($B$96:$T$96,$B$54:$T$54,TRUE,TRUE), 3)</f>
        <v>0.97443239311778329</v>
      </c>
      <c r="U99">
        <f>INDEX(LOGEST($B$96:$U$96,$B$54:$U$54,TRUE,TRUE), 3)</f>
        <v>0.96766644365316934</v>
      </c>
      <c r="V99">
        <f>INDEX(LOGEST($B$96:$V$96,$B$54:$V$54,TRUE,TRUE), 3)</f>
        <v>0.9587709500678212</v>
      </c>
      <c r="W99">
        <f>INDEX(LOGEST($B$96:$W$96,$B$54:$W$54,TRUE,TRUE), 3)</f>
        <v>0.94832070458492634</v>
      </c>
      <c r="X99">
        <f>INDEX(LOGEST($B$96:$X$96,$B$54:$X$54,TRUE,TRUE), 3)</f>
        <v>0.9371601604836598</v>
      </c>
      <c r="Y99">
        <f>INDEX(LOGEST($B$96:$Y$96,$B$54:$Y$54,TRUE,TRUE), 3)</f>
        <v>0.92510965736218675</v>
      </c>
      <c r="Z99">
        <f>INDEX(LOGEST($B$96:$Z$96,$B$54:$Z$54,TRUE,TRUE), 3)</f>
        <v>0.91220982246290627</v>
      </c>
      <c r="AA99">
        <f>INDEX(LOGEST($B$96:$AA$96,$B$54:$AA$54,TRUE,TRUE), 3)</f>
        <v>0.89881364979355227</v>
      </c>
      <c r="AB99">
        <f>INDEX(LOGEST($B$96:$AB$96,$B$54:$AB$54,TRUE,TRUE), 3)</f>
        <v>0.88520204443707851</v>
      </c>
      <c r="AC99">
        <f>INDEX(LOGEST($B$96:$AC$96,$B$54:$AC$54,TRUE,TRUE), 3)</f>
        <v>0.87145591772424302</v>
      </c>
      <c r="AD99">
        <f>INDEX(LOGEST($B$96:$AD$96,$B$54:$AD$54,TRUE,TRUE), 3)</f>
        <v>0.85786723035953205</v>
      </c>
      <c r="AE99">
        <f>INDEX(LOGEST($B$96:$AE$96,$B$54:$AE$54,TRUE,TRUE), 3)</f>
        <v>0.8446152487151074</v>
      </c>
      <c r="AF99">
        <f>INDEX(LOGEST($B$96:$AF$96,$B$54:$AF$54,TRUE,TRUE), 3)</f>
        <v>0.8315393554069247</v>
      </c>
    </row>
    <row r="100" spans="1:32" s="160" customFormat="1" x14ac:dyDescent="0.2">
      <c r="A100" s="160" t="s">
        <v>486</v>
      </c>
      <c r="B100" s="160">
        <f>$K$43*EXP($J$49*$B$54)</f>
        <v>1.9649662901424199E-3</v>
      </c>
      <c r="C100" s="160">
        <f>$K$43*EXP($J$49*$C$54)</f>
        <v>2.772900591958101E-3</v>
      </c>
      <c r="D100" s="160">
        <f>$K$43*EXP($J$49*$D$54)</f>
        <v>3.9130328756552327E-3</v>
      </c>
      <c r="E100" s="160">
        <f>$K$43*EXP($J$49*$E$54)</f>
        <v>5.5219528353687283E-3</v>
      </c>
      <c r="F100" s="160">
        <f>$K$43*EXP($J$49*$F$54)</f>
        <v>7.7924116880645645E-3</v>
      </c>
      <c r="G100" s="160">
        <f>$K$43*EXP($J$49*$G$54)</f>
        <v>1.0996414081510451E-2</v>
      </c>
      <c r="H100" s="160">
        <f>$K$43*EXP($J$49*$H$54)</f>
        <v>1.5517804691614677E-2</v>
      </c>
      <c r="I100" s="160">
        <f>$K$43*EXP($J$49*$I$54)</f>
        <v>2.18982534362713E-2</v>
      </c>
      <c r="J100" s="160">
        <f>$K$43*EXP($J$49*$J$54)</f>
        <v>3.0902148408807638E-2</v>
      </c>
      <c r="K100" s="160">
        <f>$K$43*EXP($J$49*$K$54)</f>
        <v>4.3608170809560851E-2</v>
      </c>
      <c r="L100" s="160">
        <f>$K$43*EXP($J$49*$L$54)</f>
        <v>6.1538522700700884E-2</v>
      </c>
      <c r="M100" s="160">
        <f>$K$43*EXP($J$49*$M$54)</f>
        <v>8.6841289278622988E-2</v>
      </c>
      <c r="N100" s="160">
        <f>$K$43*EXP($J$49*$N$54)</f>
        <v>0.12254778295949557</v>
      </c>
      <c r="O100" s="160">
        <f>$K$43*EXP($J$49*$O$54)</f>
        <v>0.17293569951620316</v>
      </c>
      <c r="P100" s="160">
        <f>$K$43*EXP($J$49*$P$54)</f>
        <v>0.24404159296005604</v>
      </c>
      <c r="Q100" s="160">
        <f>$K$43*EXP($J$49*$Q$54)</f>
        <v>0.34438406448809378</v>
      </c>
    </row>
    <row r="101" spans="1:32" s="161" customFormat="1" x14ac:dyDescent="0.2">
      <c r="A101" s="161" t="s">
        <v>487</v>
      </c>
      <c r="B101" s="161">
        <f>$Q$43*EXP($P$49*$B$54)</f>
        <v>1.7916460114556095E-3</v>
      </c>
      <c r="C101" s="161">
        <f>$Q$43*EXP($P$49*$C$54)</f>
        <v>2.5621794412657613E-3</v>
      </c>
      <c r="D101" s="161">
        <f>$Q$43*EXP($P$49*$D$54)</f>
        <v>3.664096282005749E-3</v>
      </c>
      <c r="E101" s="161">
        <f>$Q$43*EXP($P$49*$E$54)</f>
        <v>5.2399146396927901E-3</v>
      </c>
      <c r="F101" s="161">
        <f>$Q$43*EXP($P$49*$F$54)</f>
        <v>7.4934454004677098E-3</v>
      </c>
      <c r="G101" s="161">
        <f>$Q$43*EXP($P$49*$G$54)</f>
        <v>1.0716152424399565E-2</v>
      </c>
      <c r="H101" s="161">
        <f>$Q$43*EXP($P$49*$H$54)</f>
        <v>1.5324849471218828E-2</v>
      </c>
      <c r="I101" s="161">
        <f>$Q$43*EXP($P$49*$I$54)</f>
        <v>2.1915609447732805E-2</v>
      </c>
      <c r="J101" s="161">
        <f>$Q$43*EXP($P$49*$J$54)</f>
        <v>3.1340858412187478E-2</v>
      </c>
      <c r="K101" s="161">
        <f>$Q$43*EXP($P$49*$K$54)</f>
        <v>4.4819625406967496E-2</v>
      </c>
      <c r="L101" s="161">
        <f>$Q$43*EXP($P$49*$L$54)</f>
        <v>6.4095207450978048E-2</v>
      </c>
      <c r="M101" s="161">
        <f>$Q$43*EXP($P$49*$M$54)</f>
        <v>9.1660641535510679E-2</v>
      </c>
      <c r="N101" s="161">
        <f>$Q$43*EXP($P$49*$N$54)</f>
        <v>0.1310811453902733</v>
      </c>
      <c r="O101" s="161">
        <f>$Q$43*EXP($P$49*$O$54)</f>
        <v>0.18745523039099926</v>
      </c>
      <c r="P101" s="161">
        <f>$Q$43*EXP($P$49*$P$54)</f>
        <v>0.26807412535434061</v>
      </c>
    </row>
    <row r="102" spans="1:32" s="169" customFormat="1" x14ac:dyDescent="0.2">
      <c r="A102" s="169" t="s">
        <v>488</v>
      </c>
      <c r="B102" s="169">
        <f>$W$43*EXP($V$49*$B$54)</f>
        <v>1.8356560493869628E-3</v>
      </c>
      <c r="C102" s="169">
        <f>$W$43*EXP($V$49*$C$54)</f>
        <v>2.5974427017262181E-3</v>
      </c>
      <c r="D102" s="169">
        <f>$W$43*EXP($V$49*$D$54)</f>
        <v>3.6753664124626892E-3</v>
      </c>
      <c r="E102" s="169">
        <f>$W$43*EXP($V$49*$E$54)</f>
        <v>5.2006222338923797E-3</v>
      </c>
      <c r="F102" s="169">
        <f>$W$43*EXP($V$49*$F$54)</f>
        <v>7.3588504068450682E-3</v>
      </c>
      <c r="G102" s="169">
        <f>$W$43*EXP($V$49*$G$54)</f>
        <v>1.0412730799290051E-2</v>
      </c>
      <c r="H102" s="169">
        <f>$W$43*EXP($V$49*$H$54)</f>
        <v>1.4733953906391244E-2</v>
      </c>
      <c r="I102" s="169">
        <f>$W$43*EXP($V$49*$I$54)</f>
        <v>2.0848459630826439E-2</v>
      </c>
      <c r="J102" s="169">
        <f>$W$43*EXP($V$49*$J$54)</f>
        <v>2.9500449895506677E-2</v>
      </c>
      <c r="K102" s="169">
        <f>$W$43*EXP($V$49*$K$54)</f>
        <v>4.1742966120648657E-2</v>
      </c>
      <c r="L102" s="169">
        <f>$W$43*EXP($V$49*$L$54)</f>
        <v>5.9066055830390089E-2</v>
      </c>
      <c r="M102" s="169">
        <f>$W$43*EXP($V$49*$M$54)</f>
        <v>8.3578127660482268E-2</v>
      </c>
      <c r="N102" s="169">
        <f>$W$43*EXP($V$49*$N$54)</f>
        <v>0.11826256764613458</v>
      </c>
      <c r="O102" s="169">
        <f>$W$43*EXP($V$49*$O$54)</f>
        <v>0.16734084978634275</v>
      </c>
      <c r="P102" s="169">
        <f>$W$43*EXP($V$49*$P$54)</f>
        <v>0.23678633539401808</v>
      </c>
      <c r="Q102" s="169">
        <f>$W$43*EXP($V$49*$Q$54)</f>
        <v>0.33505129620719937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09F65-E422-614D-A39E-51F02740606F}">
  <sheetPr codeName="Sheet58"/>
  <dimension ref="A42:AF102"/>
  <sheetViews>
    <sheetView workbookViewId="0"/>
  </sheetViews>
  <sheetFormatPr baseColWidth="10" defaultRowHeight="15" x14ac:dyDescent="0.2"/>
  <sheetData>
    <row r="42" spans="9:24" x14ac:dyDescent="0.2">
      <c r="I42" t="s">
        <v>249</v>
      </c>
      <c r="O42" t="s">
        <v>249</v>
      </c>
      <c r="U42" t="s">
        <v>249</v>
      </c>
    </row>
    <row r="43" spans="9:24" x14ac:dyDescent="0.2">
      <c r="I43" t="s">
        <v>250</v>
      </c>
      <c r="J43" s="159">
        <f t="array" ref="J43:K47">LOGEST($B$94:$R$94,$B$54:$R$54,TRUE,TRUE)</f>
        <v>1.0003588624384772</v>
      </c>
      <c r="K43" s="159">
        <v>2.3994649244094002E-3</v>
      </c>
      <c r="L43" t="s">
        <v>255</v>
      </c>
      <c r="O43" t="s">
        <v>250</v>
      </c>
      <c r="P43" s="159">
        <f t="array" ref="P43:Q47">LOGEST($B$95:$Q$95,$B$54:$Q$54,TRUE,TRUE)</f>
        <v>1.0004028964933065</v>
      </c>
      <c r="Q43" s="159">
        <v>1.6948652259984767E-3</v>
      </c>
      <c r="R43" t="s">
        <v>255</v>
      </c>
      <c r="U43" t="s">
        <v>250</v>
      </c>
      <c r="V43" s="159">
        <f t="array" ref="V43:W47">LOGEST($B$96:$P$96,$B$54:$P$54,TRUE,TRUE)</f>
        <v>1.0004641842766557</v>
      </c>
      <c r="W43" s="159">
        <v>7.8155110849764675E-4</v>
      </c>
      <c r="X43" t="s">
        <v>255</v>
      </c>
    </row>
    <row r="44" spans="9:24" x14ac:dyDescent="0.2">
      <c r="I44" t="s">
        <v>251</v>
      </c>
      <c r="J44" s="159">
        <v>1.3740099348566062E-5</v>
      </c>
      <c r="K44" s="159">
        <v>0.11601709070260222</v>
      </c>
      <c r="L44" t="s">
        <v>256</v>
      </c>
      <c r="O44" t="s">
        <v>251</v>
      </c>
      <c r="P44" s="159">
        <v>1.3886970652470573E-5</v>
      </c>
      <c r="Q44" s="159">
        <v>0.11003963233602929</v>
      </c>
      <c r="R44" t="s">
        <v>256</v>
      </c>
      <c r="U44" t="s">
        <v>251</v>
      </c>
      <c r="V44" s="159">
        <v>1.7516573461519773E-5</v>
      </c>
      <c r="W44" s="159">
        <v>0.12969621681579963</v>
      </c>
      <c r="X44" t="s">
        <v>256</v>
      </c>
    </row>
    <row r="45" spans="9:24" x14ac:dyDescent="0.2">
      <c r="I45" t="s">
        <v>252</v>
      </c>
      <c r="J45" s="159">
        <v>0.97847609600373708</v>
      </c>
      <c r="K45" s="159">
        <v>0.24981051584421621</v>
      </c>
      <c r="L45" t="s">
        <v>257</v>
      </c>
      <c r="O45" t="s">
        <v>252</v>
      </c>
      <c r="P45" s="159">
        <v>0.9836331834689952</v>
      </c>
      <c r="Q45" s="159">
        <v>0.23048238426229481</v>
      </c>
      <c r="R45" t="s">
        <v>257</v>
      </c>
      <c r="U45" t="s">
        <v>252</v>
      </c>
      <c r="V45" s="159">
        <v>0.98181587473648468</v>
      </c>
      <c r="W45" s="159">
        <v>0.2638268135414561</v>
      </c>
      <c r="X45" t="s">
        <v>257</v>
      </c>
    </row>
    <row r="46" spans="9:24" x14ac:dyDescent="0.2">
      <c r="I46" t="s">
        <v>253</v>
      </c>
      <c r="J46" s="159">
        <v>681.8995960307401</v>
      </c>
      <c r="K46" s="159">
        <v>15</v>
      </c>
      <c r="L46" t="s">
        <v>258</v>
      </c>
      <c r="O46" t="s">
        <v>253</v>
      </c>
      <c r="P46" s="159">
        <v>841.38931614946387</v>
      </c>
      <c r="Q46" s="159">
        <v>14</v>
      </c>
      <c r="R46" t="s">
        <v>258</v>
      </c>
      <c r="U46" t="s">
        <v>253</v>
      </c>
      <c r="V46" s="159">
        <v>701.90928552297453</v>
      </c>
      <c r="W46" s="159">
        <v>13</v>
      </c>
      <c r="X46" t="s">
        <v>258</v>
      </c>
    </row>
    <row r="47" spans="9:24" x14ac:dyDescent="0.2">
      <c r="I47" t="s">
        <v>254</v>
      </c>
      <c r="J47" s="159">
        <v>42.554144650370027</v>
      </c>
      <c r="K47" s="159">
        <v>0.93607940739530104</v>
      </c>
      <c r="L47" t="s">
        <v>259</v>
      </c>
      <c r="O47" t="s">
        <v>254</v>
      </c>
      <c r="P47" s="159">
        <v>44.69639217474105</v>
      </c>
      <c r="Q47" s="159">
        <v>0.74370981237324973</v>
      </c>
      <c r="R47" t="s">
        <v>259</v>
      </c>
      <c r="U47" t="s">
        <v>254</v>
      </c>
      <c r="V47" s="159">
        <v>48.856106311736077</v>
      </c>
      <c r="W47" s="159">
        <v>0.90485963806469727</v>
      </c>
      <c r="X47" t="s">
        <v>259</v>
      </c>
    </row>
    <row r="49" spans="1:32" x14ac:dyDescent="0.2">
      <c r="I49" t="s">
        <v>260</v>
      </c>
      <c r="J49">
        <f>LN($J$43)</f>
        <v>3.5879806275317632E-4</v>
      </c>
      <c r="O49" t="s">
        <v>260</v>
      </c>
      <c r="P49">
        <f>LN($P$43)</f>
        <v>4.0281535230788431E-4</v>
      </c>
      <c r="U49" t="s">
        <v>260</v>
      </c>
      <c r="V49">
        <f>LN($V$43)</f>
        <v>4.6407657646158751E-4</v>
      </c>
    </row>
    <row r="50" spans="1:32" x14ac:dyDescent="0.2">
      <c r="I50" t="s">
        <v>261</v>
      </c>
      <c r="J50">
        <f>ROUND(LN(2)/$J$49, 1)</f>
        <v>1931.9</v>
      </c>
      <c r="O50" t="s">
        <v>261</v>
      </c>
      <c r="P50">
        <f>ROUND(LN(2)/$P$49, 1)</f>
        <v>1720.8</v>
      </c>
      <c r="U50" t="s">
        <v>261</v>
      </c>
      <c r="V50">
        <f>ROUND(LN(2)/$V$49, 1)</f>
        <v>1493.6</v>
      </c>
    </row>
    <row r="51" spans="1:32" x14ac:dyDescent="0.2">
      <c r="I51" t="s">
        <v>204</v>
      </c>
      <c r="J51" s="155">
        <f>ROUND($J$50/60, 1)</f>
        <v>32.200000000000003</v>
      </c>
      <c r="O51" t="s">
        <v>204</v>
      </c>
      <c r="P51" s="155">
        <f>ROUND($P$50/60, 1)</f>
        <v>28.7</v>
      </c>
      <c r="U51" t="s">
        <v>204</v>
      </c>
      <c r="V51" s="155">
        <f>ROUND($V$50/60, 1)</f>
        <v>24.9</v>
      </c>
    </row>
    <row r="54" spans="1:32" x14ac:dyDescent="0.2">
      <c r="A54" t="s">
        <v>206</v>
      </c>
      <c r="B54" s="166">
        <v>0</v>
      </c>
      <c r="C54" s="166">
        <v>900.1</v>
      </c>
      <c r="D54" s="166">
        <v>1800.2</v>
      </c>
      <c r="E54" s="166">
        <v>2700.3</v>
      </c>
      <c r="F54" s="166">
        <v>3600.4</v>
      </c>
      <c r="G54" s="166">
        <v>4500.5</v>
      </c>
      <c r="H54" s="166">
        <v>5400.6</v>
      </c>
      <c r="I54" s="166">
        <v>6300.7</v>
      </c>
      <c r="J54" s="166">
        <v>7200.8</v>
      </c>
      <c r="K54" s="166">
        <v>8100.9</v>
      </c>
      <c r="L54" s="166">
        <v>9001</v>
      </c>
      <c r="M54" s="166">
        <v>9901.1</v>
      </c>
      <c r="N54" s="166">
        <v>10801.2</v>
      </c>
      <c r="O54" s="166">
        <v>11701.3</v>
      </c>
      <c r="P54" s="166">
        <v>12601.4</v>
      </c>
      <c r="Q54" s="166">
        <v>13501.5</v>
      </c>
      <c r="R54" s="166">
        <v>14401.6</v>
      </c>
      <c r="S54" s="166">
        <v>15301.7</v>
      </c>
      <c r="T54" s="166">
        <v>16201.8</v>
      </c>
      <c r="U54" s="166">
        <v>17101.900000000001</v>
      </c>
      <c r="V54" s="166">
        <v>18002</v>
      </c>
      <c r="W54" s="166">
        <v>18902.099999999999</v>
      </c>
      <c r="X54" s="166">
        <v>19802.2</v>
      </c>
      <c r="Y54" s="166">
        <v>20702.3</v>
      </c>
      <c r="Z54" s="166">
        <v>21602.400000000001</v>
      </c>
      <c r="AA54" s="166">
        <v>22502.5</v>
      </c>
      <c r="AB54" s="166">
        <v>23402.6</v>
      </c>
      <c r="AC54" s="166">
        <v>24302.7</v>
      </c>
      <c r="AD54" s="166">
        <v>25202.799999999999</v>
      </c>
      <c r="AE54" s="166">
        <v>26102.9</v>
      </c>
      <c r="AF54" s="166">
        <v>27003</v>
      </c>
    </row>
    <row r="55" spans="1:32" x14ac:dyDescent="0.2">
      <c r="A55" s="156" t="s">
        <v>489</v>
      </c>
      <c r="B55" s="156">
        <v>0.11069999635219574</v>
      </c>
      <c r="C55" s="156">
        <v>0.11129999905824661</v>
      </c>
      <c r="D55" s="156">
        <v>0.11050000041723251</v>
      </c>
      <c r="E55" s="156">
        <v>0.11150000244379044</v>
      </c>
      <c r="F55" s="156">
        <v>0.11259999871253967</v>
      </c>
      <c r="G55" s="156">
        <v>0.11540000140666962</v>
      </c>
      <c r="H55" s="156">
        <v>0.11959999799728394</v>
      </c>
      <c r="I55" s="156">
        <v>0.12720000743865967</v>
      </c>
      <c r="J55" s="156">
        <v>0.13869999349117279</v>
      </c>
      <c r="K55" s="156">
        <v>0.15600000321865082</v>
      </c>
      <c r="L55" s="156">
        <v>0.18039999902248383</v>
      </c>
      <c r="M55" s="156">
        <v>0.21150000393390656</v>
      </c>
      <c r="N55" s="156">
        <v>0.24879999458789825</v>
      </c>
      <c r="O55" s="156">
        <v>0.29289999604225159</v>
      </c>
      <c r="P55" s="156">
        <v>0.33860000967979431</v>
      </c>
      <c r="Q55" s="156">
        <v>0.38510000705718994</v>
      </c>
      <c r="R55" s="156">
        <v>0.43450000882148743</v>
      </c>
      <c r="S55" s="156">
        <v>0.46579998731613159</v>
      </c>
      <c r="T55" s="156">
        <v>0.49200001358985901</v>
      </c>
      <c r="U55" s="156">
        <v>0.50309997797012329</v>
      </c>
      <c r="V55" s="156">
        <f t="shared" ref="V55:V57" si="0">AVERAGE(U55,W55)</f>
        <v>0.51169997453689575</v>
      </c>
      <c r="W55" s="156">
        <v>0.52029997110366821</v>
      </c>
      <c r="X55" s="156">
        <v>0.5317000150680542</v>
      </c>
      <c r="Y55" s="156">
        <v>0.53659999370574951</v>
      </c>
      <c r="Z55" s="156">
        <v>0.53640002012252808</v>
      </c>
      <c r="AA55" s="156">
        <v>0.53960001468658447</v>
      </c>
      <c r="AB55" s="156">
        <v>0.54180002212524414</v>
      </c>
      <c r="AC55" s="156">
        <v>0.54400002956390381</v>
      </c>
      <c r="AD55" s="156">
        <v>0.54860001802444458</v>
      </c>
      <c r="AE55" s="156">
        <v>0.55610001087188721</v>
      </c>
      <c r="AF55" s="156">
        <v>0.55889999866485596</v>
      </c>
    </row>
    <row r="56" spans="1:32" x14ac:dyDescent="0.2">
      <c r="A56" s="157" t="s">
        <v>490</v>
      </c>
      <c r="B56" s="157">
        <v>0.10949999839067459</v>
      </c>
      <c r="C56" s="157">
        <v>0.10939999669790268</v>
      </c>
      <c r="D56" s="157">
        <v>0.10939999669790268</v>
      </c>
      <c r="E56" s="157">
        <v>0.11029999703168869</v>
      </c>
      <c r="F56" s="157">
        <v>0.11169999837875366</v>
      </c>
      <c r="G56" s="157">
        <v>0.11479999870061874</v>
      </c>
      <c r="H56" s="157">
        <v>0.11980000138282776</v>
      </c>
      <c r="I56" s="157">
        <v>0.12829999625682831</v>
      </c>
      <c r="J56" s="157">
        <v>0.14149999618530273</v>
      </c>
      <c r="K56" s="157">
        <v>0.16030000150203705</v>
      </c>
      <c r="L56" s="157">
        <v>0.1859000027179718</v>
      </c>
      <c r="M56" s="157">
        <v>0.21860000491142273</v>
      </c>
      <c r="N56" s="157">
        <v>0.25699999928474426</v>
      </c>
      <c r="O56" s="157">
        <v>0.30320000648498535</v>
      </c>
      <c r="P56" s="157">
        <v>0.34959998726844788</v>
      </c>
      <c r="Q56" s="157">
        <v>0.40209999680519104</v>
      </c>
      <c r="R56" s="157">
        <v>0.44209998846054077</v>
      </c>
      <c r="S56" s="157">
        <v>0.47879999876022339</v>
      </c>
      <c r="T56" s="157">
        <v>0.49779999256134033</v>
      </c>
      <c r="U56" s="157">
        <v>0.5065000057220459</v>
      </c>
      <c r="V56" s="157">
        <f t="shared" si="0"/>
        <v>0.51324999332427979</v>
      </c>
      <c r="W56" s="157">
        <v>0.51999998092651367</v>
      </c>
      <c r="X56" s="157">
        <v>0.53130000829696655</v>
      </c>
      <c r="Y56" s="157">
        <v>0.53270000219345093</v>
      </c>
      <c r="Z56" s="157">
        <v>0.53390002250671387</v>
      </c>
      <c r="AA56" s="157">
        <v>0.5372999906539917</v>
      </c>
      <c r="AB56" s="157">
        <v>0.54089999198913574</v>
      </c>
      <c r="AC56" s="157">
        <v>0.544700026512146</v>
      </c>
      <c r="AD56" s="157">
        <v>0.54979997873306274</v>
      </c>
      <c r="AE56" s="157">
        <v>0.55529999732971191</v>
      </c>
      <c r="AF56" s="157">
        <v>0.56089997291564941</v>
      </c>
    </row>
    <row r="57" spans="1:32" x14ac:dyDescent="0.2">
      <c r="A57" s="168" t="s">
        <v>491</v>
      </c>
      <c r="B57" s="168">
        <v>0.10830000042915344</v>
      </c>
      <c r="C57" s="168">
        <v>0.10769999772310257</v>
      </c>
      <c r="D57" s="168">
        <v>0.10779999941587448</v>
      </c>
      <c r="E57" s="168">
        <v>0.10840000212192535</v>
      </c>
      <c r="F57" s="168">
        <v>0.10930000245571136</v>
      </c>
      <c r="G57" s="168">
        <v>0.11159999668598175</v>
      </c>
      <c r="H57" s="168">
        <v>0.11540000140666962</v>
      </c>
      <c r="I57" s="168">
        <v>0.12179999798536301</v>
      </c>
      <c r="J57" s="168">
        <v>0.13189999759197235</v>
      </c>
      <c r="K57" s="168">
        <v>0.14710000157356262</v>
      </c>
      <c r="L57" s="168">
        <v>0.1695999950170517</v>
      </c>
      <c r="M57" s="168">
        <v>0.19650000333786011</v>
      </c>
      <c r="N57" s="168">
        <v>0.23119999468326569</v>
      </c>
      <c r="O57" s="168">
        <v>0.27279999852180481</v>
      </c>
      <c r="P57" s="168">
        <v>0.3190000057220459</v>
      </c>
      <c r="Q57" s="168">
        <v>0.36500000953674316</v>
      </c>
      <c r="R57" s="168">
        <v>0.41010001301765442</v>
      </c>
      <c r="S57" s="168">
        <v>0.45120000839233398</v>
      </c>
      <c r="T57" s="168">
        <v>0.48269999027252197</v>
      </c>
      <c r="U57" s="168">
        <v>0.4918999969959259</v>
      </c>
      <c r="V57" s="168">
        <f t="shared" si="0"/>
        <v>0.50010000169277191</v>
      </c>
      <c r="W57" s="168">
        <v>0.50830000638961792</v>
      </c>
      <c r="X57" s="168">
        <v>0.51709997653961182</v>
      </c>
      <c r="Y57" s="168">
        <v>0.52689999341964722</v>
      </c>
      <c r="Z57" s="168">
        <v>0.53329998254776001</v>
      </c>
      <c r="AA57" s="168">
        <v>0.53670001029968262</v>
      </c>
      <c r="AB57" s="168">
        <v>0.54110002517700195</v>
      </c>
      <c r="AC57" s="168">
        <v>0.544700026512146</v>
      </c>
      <c r="AD57" s="168">
        <v>0.55089998245239258</v>
      </c>
      <c r="AE57" s="168">
        <v>0.55709999799728394</v>
      </c>
      <c r="AF57" s="168">
        <v>0.56279999017715454</v>
      </c>
    </row>
    <row r="58" spans="1:32" x14ac:dyDescent="0.2">
      <c r="A58" s="158" t="s">
        <v>209</v>
      </c>
      <c r="B58" s="158">
        <v>0.10480000078678131</v>
      </c>
      <c r="C58" s="158">
        <v>0.1046999990940094</v>
      </c>
      <c r="D58" s="158">
        <v>0.1046999990940094</v>
      </c>
      <c r="E58" s="158">
        <v>0.10480000078678131</v>
      </c>
      <c r="F58" s="158">
        <v>0.10459999740123749</v>
      </c>
      <c r="G58" s="158">
        <v>0.10450000315904617</v>
      </c>
      <c r="H58" s="158">
        <v>0.10440000146627426</v>
      </c>
      <c r="I58" s="158">
        <v>0.10429999977350235</v>
      </c>
      <c r="J58" s="158">
        <v>0.10419999808073044</v>
      </c>
      <c r="K58" s="158">
        <v>0.10419999808073044</v>
      </c>
      <c r="L58" s="158">
        <v>0.10419999808073044</v>
      </c>
      <c r="M58" s="158">
        <v>0.10409999638795853</v>
      </c>
      <c r="N58" s="158">
        <v>0.10400000214576721</v>
      </c>
      <c r="O58" s="158">
        <v>0.1039000004529953</v>
      </c>
      <c r="P58" s="158">
        <v>0.10379999876022339</v>
      </c>
      <c r="Q58" s="158">
        <v>0.10379999876022339</v>
      </c>
      <c r="R58" s="158">
        <v>0.1039000004529953</v>
      </c>
      <c r="S58" s="158">
        <v>0.10360000282526016</v>
      </c>
      <c r="T58" s="158">
        <v>0.10360000282526016</v>
      </c>
      <c r="U58" s="158">
        <v>0.10379999876022339</v>
      </c>
      <c r="V58" s="158">
        <f>AVERAGE(U58,W58)</f>
        <v>0.10359999909996986</v>
      </c>
      <c r="W58" s="158">
        <v>0.10339999943971634</v>
      </c>
      <c r="X58" s="158">
        <v>0.10329999774694443</v>
      </c>
      <c r="Y58" s="158">
        <v>0.10320000350475311</v>
      </c>
      <c r="Z58" s="158">
        <v>0.10320000350475311</v>
      </c>
      <c r="AA58" s="158">
        <v>0.1031000018119812</v>
      </c>
      <c r="AB58" s="158">
        <v>0.1031000018119812</v>
      </c>
      <c r="AC58" s="158">
        <v>0.10300000011920929</v>
      </c>
      <c r="AD58" s="158">
        <v>0.10300000011920929</v>
      </c>
      <c r="AE58" s="158">
        <v>0.10289999842643738</v>
      </c>
      <c r="AF58" s="158">
        <v>0.10289999842643738</v>
      </c>
    </row>
    <row r="59" spans="1:32" x14ac:dyDescent="0.2">
      <c r="A59" s="158" t="s">
        <v>210</v>
      </c>
      <c r="B59" s="158">
        <v>0.10660000145435333</v>
      </c>
      <c r="C59" s="158">
        <v>0.10649999976158142</v>
      </c>
      <c r="D59" s="158">
        <v>0.10649999976158142</v>
      </c>
      <c r="E59" s="158">
        <v>0.10649999976158142</v>
      </c>
      <c r="F59" s="158">
        <v>0.10639999806880951</v>
      </c>
      <c r="G59" s="158">
        <v>0.1062999963760376</v>
      </c>
      <c r="H59" s="158">
        <v>0.1062999963760376</v>
      </c>
      <c r="I59" s="158">
        <v>0.10610000044107437</v>
      </c>
      <c r="J59" s="158">
        <v>0.10610000044107437</v>
      </c>
      <c r="K59" s="158">
        <v>0.10610000044107437</v>
      </c>
      <c r="L59" s="158">
        <v>0.10610000044107437</v>
      </c>
      <c r="M59" s="158">
        <v>0.10599999874830246</v>
      </c>
      <c r="N59" s="158">
        <v>0.10589999705553055</v>
      </c>
      <c r="O59" s="158">
        <v>0.10589999705553055</v>
      </c>
      <c r="P59" s="158">
        <v>0.10570000112056732</v>
      </c>
      <c r="Q59" s="158">
        <v>0.10570000112056732</v>
      </c>
      <c r="R59" s="158">
        <v>0.10570000112056732</v>
      </c>
      <c r="S59" s="158">
        <v>0.10559999942779541</v>
      </c>
      <c r="T59" s="158">
        <v>0.10559999942779541</v>
      </c>
      <c r="U59" s="158">
        <v>0.10559999942779541</v>
      </c>
      <c r="V59" s="158">
        <f t="shared" ref="V59:V93" si="1">AVERAGE(U59,W59)</f>
        <v>0.1055000014603138</v>
      </c>
      <c r="W59" s="158">
        <v>0.10540000349283218</v>
      </c>
      <c r="X59" s="158">
        <v>0.10540000349283218</v>
      </c>
      <c r="Y59" s="158">
        <v>0.10530000180006027</v>
      </c>
      <c r="Z59" s="158">
        <v>0.10530000180006027</v>
      </c>
      <c r="AA59" s="158">
        <v>0.10520000010728836</v>
      </c>
      <c r="AB59" s="158">
        <v>0.10520000010728836</v>
      </c>
      <c r="AC59" s="158">
        <v>0.10520000010728836</v>
      </c>
      <c r="AD59" s="158">
        <v>0.10509999841451645</v>
      </c>
      <c r="AE59" s="158">
        <v>0.10509999841451645</v>
      </c>
      <c r="AF59" s="158">
        <v>0.10509999841451645</v>
      </c>
    </row>
    <row r="60" spans="1:32" x14ac:dyDescent="0.2">
      <c r="A60" s="158" t="s">
        <v>211</v>
      </c>
      <c r="B60" s="158">
        <v>0.10740000009536743</v>
      </c>
      <c r="C60" s="158">
        <v>0.10740000009536743</v>
      </c>
      <c r="D60" s="158">
        <v>0.10729999840259552</v>
      </c>
      <c r="E60" s="158">
        <v>0.10729999840259552</v>
      </c>
      <c r="F60" s="158">
        <v>0.10719999670982361</v>
      </c>
      <c r="G60" s="158">
        <v>0.10719999670982361</v>
      </c>
      <c r="H60" s="158">
        <v>0.10710000246763229</v>
      </c>
      <c r="I60" s="158">
        <v>0.10689999908208847</v>
      </c>
      <c r="J60" s="158">
        <v>0.10689999908208847</v>
      </c>
      <c r="K60" s="158">
        <v>0.10710000246763229</v>
      </c>
      <c r="L60" s="158">
        <v>0.10679999738931656</v>
      </c>
      <c r="M60" s="158">
        <v>0.10670000314712524</v>
      </c>
      <c r="N60" s="158">
        <v>0.10670000314712524</v>
      </c>
      <c r="O60" s="158">
        <v>0.10660000145435333</v>
      </c>
      <c r="P60" s="158">
        <v>0.10649999976158142</v>
      </c>
      <c r="Q60" s="158">
        <v>0.10649999976158142</v>
      </c>
      <c r="R60" s="158">
        <v>0.10639999806880951</v>
      </c>
      <c r="S60" s="158">
        <v>0.1062999963760376</v>
      </c>
      <c r="T60" s="158">
        <v>0.1062999963760376</v>
      </c>
      <c r="U60" s="158">
        <v>0.1062999963760376</v>
      </c>
      <c r="V60" s="158">
        <f t="shared" si="1"/>
        <v>0.10624999925494194</v>
      </c>
      <c r="W60" s="158">
        <v>0.10620000213384628</v>
      </c>
      <c r="X60" s="158">
        <v>0.10610000044107437</v>
      </c>
      <c r="Y60" s="158">
        <v>0.10610000044107437</v>
      </c>
      <c r="Z60" s="158">
        <v>0.10599999874830246</v>
      </c>
      <c r="AA60" s="158">
        <v>0.10589999705553055</v>
      </c>
      <c r="AB60" s="158">
        <v>0.10589999705553055</v>
      </c>
      <c r="AC60" s="158">
        <v>0.10599999874830246</v>
      </c>
      <c r="AD60" s="158">
        <v>0.10580000281333923</v>
      </c>
      <c r="AE60" s="158">
        <v>0.10580000281333923</v>
      </c>
      <c r="AF60" s="158">
        <v>0.10580000281333923</v>
      </c>
    </row>
    <row r="61" spans="1:32" x14ac:dyDescent="0.2">
      <c r="A61" s="158" t="s">
        <v>212</v>
      </c>
      <c r="B61" s="158">
        <v>0.10700000077486038</v>
      </c>
      <c r="C61" s="158">
        <v>0.10689999908208847</v>
      </c>
      <c r="D61" s="158">
        <v>0.10679999738931656</v>
      </c>
      <c r="E61" s="158">
        <v>0.10689999908208847</v>
      </c>
      <c r="F61" s="158">
        <v>0.10670000314712524</v>
      </c>
      <c r="G61" s="158">
        <v>0.10689999908208847</v>
      </c>
      <c r="H61" s="158">
        <v>0.10660000145435333</v>
      </c>
      <c r="I61" s="158">
        <v>0.10639999806880951</v>
      </c>
      <c r="J61" s="158">
        <v>0.10639999806880951</v>
      </c>
      <c r="K61" s="158">
        <v>0.1062999963760376</v>
      </c>
      <c r="L61" s="158">
        <v>0.1062999963760376</v>
      </c>
      <c r="M61" s="158">
        <v>0.1062999963760376</v>
      </c>
      <c r="N61" s="158">
        <v>0.10620000213384628</v>
      </c>
      <c r="O61" s="158">
        <v>0.10610000044107437</v>
      </c>
      <c r="P61" s="158">
        <v>0.10599999874830246</v>
      </c>
      <c r="Q61" s="158">
        <v>0.10599999874830246</v>
      </c>
      <c r="R61" s="158">
        <v>0.10599999874830246</v>
      </c>
      <c r="S61" s="158">
        <v>0.10580000281333923</v>
      </c>
      <c r="T61" s="158">
        <v>0.10580000281333923</v>
      </c>
      <c r="U61" s="158">
        <v>0.10580000281333923</v>
      </c>
      <c r="V61" s="158">
        <f t="shared" si="1"/>
        <v>0.10575000196695328</v>
      </c>
      <c r="W61" s="158">
        <v>0.10570000112056732</v>
      </c>
      <c r="X61" s="158">
        <v>0.10559999942779541</v>
      </c>
      <c r="Y61" s="158">
        <v>0.10559999942779541</v>
      </c>
      <c r="Z61" s="158">
        <v>0.10559999942779541</v>
      </c>
      <c r="AA61" s="158">
        <v>0.10540000349283218</v>
      </c>
      <c r="AB61" s="158">
        <v>0.10540000349283218</v>
      </c>
      <c r="AC61" s="158">
        <v>0.10540000349283218</v>
      </c>
      <c r="AD61" s="158">
        <v>0.10540000349283218</v>
      </c>
      <c r="AE61" s="158">
        <v>0.10530000180006027</v>
      </c>
      <c r="AF61" s="158">
        <v>0.10530000180006027</v>
      </c>
    </row>
    <row r="62" spans="1:32" x14ac:dyDescent="0.2">
      <c r="A62" s="158" t="s">
        <v>213</v>
      </c>
      <c r="B62" s="158">
        <v>0.10570000112056732</v>
      </c>
      <c r="C62" s="158">
        <v>0.1054999977350235</v>
      </c>
      <c r="D62" s="158">
        <v>0.1054999977350235</v>
      </c>
      <c r="E62" s="158">
        <v>0.1054999977350235</v>
      </c>
      <c r="F62" s="158">
        <v>0.10540000349283218</v>
      </c>
      <c r="G62" s="158">
        <v>0.10530000180006027</v>
      </c>
      <c r="H62" s="158">
        <v>0.10520000010728836</v>
      </c>
      <c r="I62" s="158">
        <v>0.10520000010728836</v>
      </c>
      <c r="J62" s="158">
        <v>0.10499999672174454</v>
      </c>
      <c r="K62" s="158">
        <v>0.10499999672174454</v>
      </c>
      <c r="L62" s="158">
        <v>0.10499999672174454</v>
      </c>
      <c r="M62" s="158">
        <v>0.10490000247955322</v>
      </c>
      <c r="N62" s="158">
        <v>0.10490000247955322</v>
      </c>
      <c r="O62" s="158">
        <v>0.10480000078678131</v>
      </c>
      <c r="P62" s="158">
        <v>0.10459999740123749</v>
      </c>
      <c r="Q62" s="158">
        <v>0.10459999740123749</v>
      </c>
      <c r="R62" s="158">
        <v>0.10459999740123749</v>
      </c>
      <c r="S62" s="158">
        <v>0.10440000146627426</v>
      </c>
      <c r="T62" s="158">
        <v>0.10450000315904617</v>
      </c>
      <c r="U62" s="158">
        <v>0.10450000315904617</v>
      </c>
      <c r="V62" s="158">
        <f t="shared" si="1"/>
        <v>0.10445000231266022</v>
      </c>
      <c r="W62" s="158">
        <v>0.10440000146627426</v>
      </c>
      <c r="X62" s="158">
        <v>0.10440000146627426</v>
      </c>
      <c r="Y62" s="158">
        <v>0.10429999977350235</v>
      </c>
      <c r="Z62" s="158">
        <v>0.10419999808073044</v>
      </c>
      <c r="AA62" s="158">
        <v>0.10419999808073044</v>
      </c>
      <c r="AB62" s="158">
        <v>0.10419999808073044</v>
      </c>
      <c r="AC62" s="158">
        <v>0.10440000146627426</v>
      </c>
      <c r="AD62" s="158">
        <v>0.10409999638795853</v>
      </c>
      <c r="AE62" s="158">
        <v>0.10400000214576721</v>
      </c>
      <c r="AF62" s="158">
        <v>0.10400000214576721</v>
      </c>
    </row>
    <row r="63" spans="1:32" x14ac:dyDescent="0.2">
      <c r="A63" s="158" t="s">
        <v>214</v>
      </c>
      <c r="B63" s="158">
        <v>0.10689999908208847</v>
      </c>
      <c r="C63" s="158">
        <v>0.10679999738931656</v>
      </c>
      <c r="D63" s="158">
        <v>0.10679999738931656</v>
      </c>
      <c r="E63" s="158">
        <v>0.10679999738931656</v>
      </c>
      <c r="F63" s="158">
        <v>0.10670000314712524</v>
      </c>
      <c r="G63" s="158">
        <v>0.10660000145435333</v>
      </c>
      <c r="H63" s="158">
        <v>0.10649999976158142</v>
      </c>
      <c r="I63" s="158">
        <v>0.1062999963760376</v>
      </c>
      <c r="J63" s="158">
        <v>0.1062999963760376</v>
      </c>
      <c r="K63" s="158">
        <v>0.10620000213384628</v>
      </c>
      <c r="L63" s="158">
        <v>0.1062999963760376</v>
      </c>
      <c r="M63" s="158">
        <v>0.10620000213384628</v>
      </c>
      <c r="N63" s="158">
        <v>0.10610000044107437</v>
      </c>
      <c r="O63" s="158">
        <v>0.10610000044107437</v>
      </c>
      <c r="P63" s="158">
        <v>0.10580000281333923</v>
      </c>
      <c r="Q63" s="158">
        <v>0.10589999705553055</v>
      </c>
      <c r="R63" s="158">
        <v>0.10580000281333923</v>
      </c>
      <c r="S63" s="158">
        <v>0.10570000112056732</v>
      </c>
      <c r="T63" s="158">
        <v>0.10570000112056732</v>
      </c>
      <c r="U63" s="158">
        <v>0.10570000112056732</v>
      </c>
      <c r="V63" s="158">
        <f t="shared" si="1"/>
        <v>0.10565000027418137</v>
      </c>
      <c r="W63" s="158">
        <v>0.10559999942779541</v>
      </c>
      <c r="X63" s="158">
        <v>0.1054999977350235</v>
      </c>
      <c r="Y63" s="158">
        <v>0.1054999977350235</v>
      </c>
      <c r="Z63" s="158">
        <v>0.10540000349283218</v>
      </c>
      <c r="AA63" s="158">
        <v>0.10540000349283218</v>
      </c>
      <c r="AB63" s="158">
        <v>0.10540000349283218</v>
      </c>
      <c r="AC63" s="158">
        <v>0.10540000349283218</v>
      </c>
      <c r="AD63" s="158">
        <v>0.10530000180006027</v>
      </c>
      <c r="AE63" s="158">
        <v>0.10520000010728836</v>
      </c>
      <c r="AF63" s="158">
        <v>0.10530000180006027</v>
      </c>
    </row>
    <row r="64" spans="1:32" x14ac:dyDescent="0.2">
      <c r="A64" s="158" t="s">
        <v>215</v>
      </c>
      <c r="B64" s="158">
        <v>0.10819999873638153</v>
      </c>
      <c r="C64" s="158">
        <v>0.10790000110864639</v>
      </c>
      <c r="D64" s="158">
        <v>0.10779999941587448</v>
      </c>
      <c r="E64" s="158">
        <v>0.1080000028014183</v>
      </c>
      <c r="F64" s="158">
        <v>0.10760000348091125</v>
      </c>
      <c r="G64" s="158">
        <v>0.10750000178813934</v>
      </c>
      <c r="H64" s="158">
        <v>0.10740000009536743</v>
      </c>
      <c r="I64" s="158">
        <v>0.10719999670982361</v>
      </c>
      <c r="J64" s="158">
        <v>0.10719999670982361</v>
      </c>
      <c r="K64" s="158">
        <v>0.10710000246763229</v>
      </c>
      <c r="L64" s="158">
        <v>0.10719999670982361</v>
      </c>
      <c r="M64" s="158">
        <v>0.10700000077486038</v>
      </c>
      <c r="N64" s="158">
        <v>0.10700000077486038</v>
      </c>
      <c r="O64" s="158">
        <v>0.10700000077486038</v>
      </c>
      <c r="P64" s="158">
        <v>0.10679999738931656</v>
      </c>
      <c r="Q64" s="158">
        <v>0.10679999738931656</v>
      </c>
      <c r="R64" s="158">
        <v>0.10670000314712524</v>
      </c>
      <c r="S64" s="158">
        <v>0.10660000145435333</v>
      </c>
      <c r="T64" s="158">
        <v>0.10660000145435333</v>
      </c>
      <c r="U64" s="158">
        <v>0.10660000145435333</v>
      </c>
      <c r="V64" s="158">
        <f t="shared" si="1"/>
        <v>0.10655000060796738</v>
      </c>
      <c r="W64" s="158">
        <v>0.10649999976158142</v>
      </c>
      <c r="X64" s="158">
        <v>0.10649999976158142</v>
      </c>
      <c r="Y64" s="158">
        <v>0.1062999963760376</v>
      </c>
      <c r="Z64" s="158">
        <v>0.1062999963760376</v>
      </c>
      <c r="AA64" s="158">
        <v>0.1062999963760376</v>
      </c>
      <c r="AB64" s="158">
        <v>0.1062999963760376</v>
      </c>
      <c r="AC64" s="158">
        <v>0.1062999963760376</v>
      </c>
      <c r="AD64" s="158">
        <v>0.10620000213384628</v>
      </c>
      <c r="AE64" s="158">
        <v>0.10610000044107437</v>
      </c>
      <c r="AF64" s="158">
        <v>0.10610000044107437</v>
      </c>
    </row>
    <row r="65" spans="1:32" x14ac:dyDescent="0.2">
      <c r="A65" s="158" t="s">
        <v>216</v>
      </c>
      <c r="B65" s="158">
        <v>0.10639999806880951</v>
      </c>
      <c r="C65" s="158">
        <v>0.10599999874830246</v>
      </c>
      <c r="D65" s="158">
        <v>0.10589999705553055</v>
      </c>
      <c r="E65" s="158">
        <v>0.10840000212192535</v>
      </c>
      <c r="F65" s="158">
        <v>0.10869999974966049</v>
      </c>
      <c r="G65" s="158">
        <v>0.10819999873638153</v>
      </c>
      <c r="H65" s="158">
        <v>0.10819999873638153</v>
      </c>
      <c r="I65" s="158">
        <v>0.1080000028014183</v>
      </c>
      <c r="J65" s="158">
        <v>0.10779999941587448</v>
      </c>
      <c r="K65" s="158">
        <v>0.1080000028014183</v>
      </c>
      <c r="L65" s="158">
        <v>0.10830000042915344</v>
      </c>
      <c r="M65" s="158">
        <v>0.1080000028014183</v>
      </c>
      <c r="N65" s="158">
        <v>0.10809999704360962</v>
      </c>
      <c r="O65" s="158">
        <v>0.10779999941587448</v>
      </c>
      <c r="P65" s="158">
        <v>0.10740000009536743</v>
      </c>
      <c r="Q65" s="158">
        <v>0.10760000348091125</v>
      </c>
      <c r="R65" s="158">
        <v>0.10760000348091125</v>
      </c>
      <c r="S65" s="158">
        <v>0.1080000028014183</v>
      </c>
      <c r="T65" s="158">
        <v>0.10750000178813934</v>
      </c>
      <c r="U65" s="158">
        <v>0.10750000178813934</v>
      </c>
      <c r="V65" s="158">
        <f t="shared" si="1"/>
        <v>0.1075500026345253</v>
      </c>
      <c r="W65" s="158">
        <v>0.10760000348091125</v>
      </c>
      <c r="X65" s="158">
        <v>0.10779999941587448</v>
      </c>
      <c r="Y65" s="158">
        <v>0.10740000009536743</v>
      </c>
      <c r="Z65" s="158">
        <v>0.10750000178813934</v>
      </c>
      <c r="AA65" s="158">
        <v>0.10920000076293945</v>
      </c>
      <c r="AB65" s="158">
        <v>0.10830000042915344</v>
      </c>
      <c r="AC65" s="158">
        <v>0.10909999907016754</v>
      </c>
      <c r="AD65" s="158">
        <v>0.10819999873638153</v>
      </c>
      <c r="AE65" s="158">
        <v>0.10740000009536743</v>
      </c>
      <c r="AF65" s="158">
        <v>0.10849999636411667</v>
      </c>
    </row>
    <row r="66" spans="1:32" x14ac:dyDescent="0.2">
      <c r="A66" s="158" t="s">
        <v>217</v>
      </c>
      <c r="B66" s="158">
        <v>0.10580000281333923</v>
      </c>
      <c r="C66" s="158">
        <v>0.10570000112056732</v>
      </c>
      <c r="D66" s="158">
        <v>0.10570000112056732</v>
      </c>
      <c r="E66" s="158">
        <v>0.10580000281333923</v>
      </c>
      <c r="F66" s="158">
        <v>0.1054999977350235</v>
      </c>
      <c r="G66" s="158">
        <v>0.10559999942779541</v>
      </c>
      <c r="H66" s="158">
        <v>0.10540000349283218</v>
      </c>
      <c r="I66" s="158">
        <v>0.10530000180006027</v>
      </c>
      <c r="J66" s="158">
        <v>0.10520000010728836</v>
      </c>
      <c r="K66" s="158">
        <v>0.10520000010728836</v>
      </c>
      <c r="L66" s="158">
        <v>0.10520000010728836</v>
      </c>
      <c r="M66" s="158">
        <v>0.10509999841451645</v>
      </c>
      <c r="N66" s="158">
        <v>0.10509999841451645</v>
      </c>
      <c r="O66" s="158">
        <v>0.10499999672174454</v>
      </c>
      <c r="P66" s="158">
        <v>0.10480000078678131</v>
      </c>
      <c r="Q66" s="158">
        <v>0.10480000078678131</v>
      </c>
      <c r="R66" s="158">
        <v>0.10480000078678131</v>
      </c>
      <c r="S66" s="158">
        <v>0.1046999990940094</v>
      </c>
      <c r="T66" s="158">
        <v>0.1046999990940094</v>
      </c>
      <c r="U66" s="158">
        <v>0.1046999990940094</v>
      </c>
      <c r="V66" s="158">
        <f t="shared" si="1"/>
        <v>0.10464999824762344</v>
      </c>
      <c r="W66" s="158">
        <v>0.10459999740123749</v>
      </c>
      <c r="X66" s="158">
        <v>0.10459999740123749</v>
      </c>
      <c r="Y66" s="158">
        <v>0.10450000315904617</v>
      </c>
      <c r="Z66" s="158">
        <v>0.10450000315904617</v>
      </c>
      <c r="AA66" s="158">
        <v>0.10429999977350235</v>
      </c>
      <c r="AB66" s="158">
        <v>0.10429999977350235</v>
      </c>
      <c r="AC66" s="158">
        <v>0.10429999977350235</v>
      </c>
      <c r="AD66" s="158">
        <v>0.10429999977350235</v>
      </c>
      <c r="AE66" s="158">
        <v>0.10419999808073044</v>
      </c>
      <c r="AF66" s="158">
        <v>0.10419999808073044</v>
      </c>
    </row>
    <row r="67" spans="1:32" x14ac:dyDescent="0.2">
      <c r="A67" s="158" t="s">
        <v>218</v>
      </c>
      <c r="B67" s="158">
        <v>0.10999999940395355</v>
      </c>
      <c r="C67" s="158">
        <v>0.10859999805688858</v>
      </c>
      <c r="D67" s="158">
        <v>0.1088000014424324</v>
      </c>
      <c r="E67" s="158">
        <v>0.10869999974966049</v>
      </c>
      <c r="F67" s="158">
        <v>0.10859999805688858</v>
      </c>
      <c r="G67" s="158">
        <v>0.10890000313520432</v>
      </c>
      <c r="H67" s="158">
        <v>0.10849999636411667</v>
      </c>
      <c r="I67" s="158">
        <v>0.10830000042915344</v>
      </c>
      <c r="J67" s="158">
        <v>0.10840000212192535</v>
      </c>
      <c r="K67" s="158">
        <v>0.10809999704360962</v>
      </c>
      <c r="L67" s="158">
        <v>0.10869999974966049</v>
      </c>
      <c r="M67" s="158">
        <v>0.10849999636411667</v>
      </c>
      <c r="N67" s="158">
        <v>0.10859999805688858</v>
      </c>
      <c r="O67" s="158">
        <v>0.10849999636411667</v>
      </c>
      <c r="P67" s="158">
        <v>0.1080000028014183</v>
      </c>
      <c r="Q67" s="158">
        <v>0.10769999772310257</v>
      </c>
      <c r="R67" s="158">
        <v>0.10769999772310257</v>
      </c>
      <c r="S67" s="158">
        <v>0.1080000028014183</v>
      </c>
      <c r="T67" s="158">
        <v>0.10769999772310257</v>
      </c>
      <c r="U67" s="158">
        <v>0.10809999704360962</v>
      </c>
      <c r="V67" s="158">
        <f t="shared" si="1"/>
        <v>0.10794999822974205</v>
      </c>
      <c r="W67" s="158">
        <v>0.10779999941587448</v>
      </c>
      <c r="X67" s="158">
        <v>0.10740000009536743</v>
      </c>
      <c r="Y67" s="158">
        <v>0.10750000178813934</v>
      </c>
      <c r="Z67" s="158">
        <v>0.10750000178813934</v>
      </c>
      <c r="AA67" s="158">
        <v>0.10620000213384628</v>
      </c>
      <c r="AB67" s="158">
        <v>0.10670000314712524</v>
      </c>
      <c r="AC67" s="158">
        <v>0.10620000213384628</v>
      </c>
      <c r="AD67" s="158">
        <v>0.10700000077486038</v>
      </c>
      <c r="AE67" s="158">
        <v>0.10679999738931656</v>
      </c>
      <c r="AF67" s="158">
        <v>0.10639999806880951</v>
      </c>
    </row>
    <row r="68" spans="1:32" x14ac:dyDescent="0.2">
      <c r="A68" s="158" t="s">
        <v>219</v>
      </c>
      <c r="B68" s="158">
        <v>0.10649999976158142</v>
      </c>
      <c r="C68" s="158">
        <v>0.10620000213384628</v>
      </c>
      <c r="D68" s="158">
        <v>0.10610000044107437</v>
      </c>
      <c r="E68" s="158">
        <v>0.10639999806880951</v>
      </c>
      <c r="F68" s="158">
        <v>0.10620000213384628</v>
      </c>
      <c r="G68" s="158">
        <v>0.10620000213384628</v>
      </c>
      <c r="H68" s="158">
        <v>0.10610000044107437</v>
      </c>
      <c r="I68" s="158">
        <v>0.10589999705553055</v>
      </c>
      <c r="J68" s="158">
        <v>0.10610000044107437</v>
      </c>
      <c r="K68" s="158">
        <v>0.10589999705553055</v>
      </c>
      <c r="L68" s="158">
        <v>0.10589999705553055</v>
      </c>
      <c r="M68" s="158">
        <v>0.10570000112056732</v>
      </c>
      <c r="N68" s="158">
        <v>0.10570000112056732</v>
      </c>
      <c r="O68" s="158">
        <v>0.10559999942779541</v>
      </c>
      <c r="P68" s="158">
        <v>0.10540000349283218</v>
      </c>
      <c r="Q68" s="158">
        <v>0.10540000349283218</v>
      </c>
      <c r="R68" s="158">
        <v>0.10540000349283218</v>
      </c>
      <c r="S68" s="158">
        <v>0.10530000180006027</v>
      </c>
      <c r="T68" s="158">
        <v>0.10530000180006027</v>
      </c>
      <c r="U68" s="158">
        <v>0.10530000180006027</v>
      </c>
      <c r="V68" s="158">
        <f t="shared" si="1"/>
        <v>0.10525000095367432</v>
      </c>
      <c r="W68" s="158">
        <v>0.10520000010728836</v>
      </c>
      <c r="X68" s="158">
        <v>0.10509999841451645</v>
      </c>
      <c r="Y68" s="158">
        <v>0.10499999672174454</v>
      </c>
      <c r="Z68" s="158">
        <v>0.10520000010728836</v>
      </c>
      <c r="AA68" s="158">
        <v>0.10490000247955322</v>
      </c>
      <c r="AB68" s="158">
        <v>0.10490000247955322</v>
      </c>
      <c r="AC68" s="158">
        <v>0.10490000247955322</v>
      </c>
      <c r="AD68" s="158">
        <v>0.10480000078678131</v>
      </c>
      <c r="AE68" s="158">
        <v>0.10499999672174454</v>
      </c>
      <c r="AF68" s="158">
        <v>0.10480000078678131</v>
      </c>
    </row>
    <row r="69" spans="1:32" x14ac:dyDescent="0.2">
      <c r="A69" s="158" t="s">
        <v>220</v>
      </c>
      <c r="B69" s="158">
        <v>0.10679999738931656</v>
      </c>
      <c r="C69" s="158">
        <v>0.10660000145435333</v>
      </c>
      <c r="D69" s="158">
        <v>0.10649999976158142</v>
      </c>
      <c r="E69" s="158">
        <v>0.10649999976158142</v>
      </c>
      <c r="F69" s="158">
        <v>0.1062999963760376</v>
      </c>
      <c r="G69" s="158">
        <v>0.10620000213384628</v>
      </c>
      <c r="H69" s="158">
        <v>0.10610000044107437</v>
      </c>
      <c r="I69" s="158">
        <v>0.10599999874830246</v>
      </c>
      <c r="J69" s="158">
        <v>0.10589999705553055</v>
      </c>
      <c r="K69" s="158">
        <v>0.10589999705553055</v>
      </c>
      <c r="L69" s="158">
        <v>0.10589999705553055</v>
      </c>
      <c r="M69" s="158">
        <v>0.10580000281333923</v>
      </c>
      <c r="N69" s="158">
        <v>0.10570000112056732</v>
      </c>
      <c r="O69" s="158">
        <v>0.10559999942779541</v>
      </c>
      <c r="P69" s="158">
        <v>0.10540000349283218</v>
      </c>
      <c r="Q69" s="158">
        <v>0.10540000349283218</v>
      </c>
      <c r="R69" s="158">
        <v>0.10530000180006027</v>
      </c>
      <c r="S69" s="158">
        <v>0.10520000010728836</v>
      </c>
      <c r="T69" s="158">
        <v>0.10520000010728836</v>
      </c>
      <c r="U69" s="158">
        <v>0.10520000010728836</v>
      </c>
      <c r="V69" s="158">
        <f t="shared" si="1"/>
        <v>0.10509999841451645</v>
      </c>
      <c r="W69" s="158">
        <v>0.10499999672174454</v>
      </c>
      <c r="X69" s="158">
        <v>0.10499999672174454</v>
      </c>
      <c r="Y69" s="158">
        <v>0.10480000078678131</v>
      </c>
      <c r="Z69" s="158">
        <v>0.10480000078678131</v>
      </c>
      <c r="AA69" s="158">
        <v>0.10459999740123749</v>
      </c>
      <c r="AB69" s="158">
        <v>0.10459999740123749</v>
      </c>
      <c r="AC69" s="158">
        <v>0.10459999740123749</v>
      </c>
      <c r="AD69" s="158">
        <v>0.10450000315904617</v>
      </c>
      <c r="AE69" s="158">
        <v>0.10440000146627426</v>
      </c>
      <c r="AF69" s="158">
        <v>0.10440000146627426</v>
      </c>
    </row>
    <row r="70" spans="1:32" x14ac:dyDescent="0.2">
      <c r="A70" s="158" t="s">
        <v>221</v>
      </c>
      <c r="B70" s="158">
        <v>0.10620000213384628</v>
      </c>
      <c r="C70" s="158">
        <v>0.10610000044107437</v>
      </c>
      <c r="D70" s="158">
        <v>0.10599999874830246</v>
      </c>
      <c r="E70" s="158">
        <v>0.10610000044107437</v>
      </c>
      <c r="F70" s="158">
        <v>0.10589999705553055</v>
      </c>
      <c r="G70" s="158">
        <v>0.10599999874830246</v>
      </c>
      <c r="H70" s="158">
        <v>0.10589999705553055</v>
      </c>
      <c r="I70" s="158">
        <v>0.10580000281333923</v>
      </c>
      <c r="J70" s="158">
        <v>0.10570000112056732</v>
      </c>
      <c r="K70" s="158">
        <v>0.10570000112056732</v>
      </c>
      <c r="L70" s="158">
        <v>0.10580000281333923</v>
      </c>
      <c r="M70" s="158">
        <v>0.10570000112056732</v>
      </c>
      <c r="N70" s="158">
        <v>0.10559999942779541</v>
      </c>
      <c r="O70" s="158">
        <v>0.10540000349283218</v>
      </c>
      <c r="P70" s="158">
        <v>0.10530000180006027</v>
      </c>
      <c r="Q70" s="158">
        <v>0.10530000180006027</v>
      </c>
      <c r="R70" s="158">
        <v>0.10520000010728836</v>
      </c>
      <c r="S70" s="158">
        <v>0.10530000180006027</v>
      </c>
      <c r="T70" s="158">
        <v>0.10530000180006027</v>
      </c>
      <c r="U70" s="158">
        <v>0.10540000349283218</v>
      </c>
      <c r="V70" s="158">
        <f t="shared" si="1"/>
        <v>0.10530000180006027</v>
      </c>
      <c r="W70" s="158">
        <v>0.10520000010728836</v>
      </c>
      <c r="X70" s="158">
        <v>0.10520000010728836</v>
      </c>
      <c r="Y70" s="158">
        <v>0.10499999672174454</v>
      </c>
      <c r="Z70" s="158">
        <v>0.10490000247955322</v>
      </c>
      <c r="AA70" s="158">
        <v>0.10490000247955322</v>
      </c>
      <c r="AB70" s="158">
        <v>0.10480000078678131</v>
      </c>
      <c r="AC70" s="158">
        <v>0.1046999990940094</v>
      </c>
      <c r="AD70" s="158">
        <v>0.10480000078678131</v>
      </c>
      <c r="AE70" s="158">
        <v>0.1046999990940094</v>
      </c>
      <c r="AF70" s="158">
        <v>0.10480000078678131</v>
      </c>
    </row>
    <row r="71" spans="1:32" x14ac:dyDescent="0.2">
      <c r="A71" s="158" t="s">
        <v>222</v>
      </c>
      <c r="B71" s="158">
        <v>0.10649999976158142</v>
      </c>
      <c r="C71" s="158">
        <v>0.10610000044107437</v>
      </c>
      <c r="D71" s="158">
        <v>0.10599999874830246</v>
      </c>
      <c r="E71" s="158">
        <v>0.10610000044107437</v>
      </c>
      <c r="F71" s="158">
        <v>0.10589999705553055</v>
      </c>
      <c r="G71" s="158">
        <v>0.10580000281333923</v>
      </c>
      <c r="H71" s="158">
        <v>0.10570000112056732</v>
      </c>
      <c r="I71" s="158">
        <v>0.10559999942779541</v>
      </c>
      <c r="J71" s="158">
        <v>0.1054999977350235</v>
      </c>
      <c r="K71" s="158">
        <v>0.1054999977350235</v>
      </c>
      <c r="L71" s="158">
        <v>0.1054999977350235</v>
      </c>
      <c r="M71" s="158">
        <v>0.10540000349283218</v>
      </c>
      <c r="N71" s="158">
        <v>0.10540000349283218</v>
      </c>
      <c r="O71" s="158">
        <v>0.10530000180006027</v>
      </c>
      <c r="P71" s="158">
        <v>0.10499999672174454</v>
      </c>
      <c r="Q71" s="158">
        <v>0.10499999672174454</v>
      </c>
      <c r="R71" s="158">
        <v>0.10499999672174454</v>
      </c>
      <c r="S71" s="158">
        <v>0.10490000247955322</v>
      </c>
      <c r="T71" s="158">
        <v>0.10490000247955322</v>
      </c>
      <c r="U71" s="158">
        <v>0.10490000247955322</v>
      </c>
      <c r="V71" s="158">
        <f t="shared" si="1"/>
        <v>0.10485000163316727</v>
      </c>
      <c r="W71" s="158">
        <v>0.10480000078678131</v>
      </c>
      <c r="X71" s="158">
        <v>0.10480000078678131</v>
      </c>
      <c r="Y71" s="158">
        <v>0.1046999990940094</v>
      </c>
      <c r="Z71" s="158">
        <v>0.10450000315904617</v>
      </c>
      <c r="AA71" s="158">
        <v>0.10450000315904617</v>
      </c>
      <c r="AB71" s="158">
        <v>0.10450000315904617</v>
      </c>
      <c r="AC71" s="158">
        <v>0.10440000146627426</v>
      </c>
      <c r="AD71" s="158">
        <v>0.10440000146627426</v>
      </c>
      <c r="AE71" s="158">
        <v>0.10440000146627426</v>
      </c>
      <c r="AF71" s="158">
        <v>0.10429999977350235</v>
      </c>
    </row>
    <row r="72" spans="1:32" x14ac:dyDescent="0.2">
      <c r="A72" s="158" t="s">
        <v>223</v>
      </c>
      <c r="B72" s="158">
        <v>0.10710000246763229</v>
      </c>
      <c r="C72" s="158">
        <v>0.10689999908208847</v>
      </c>
      <c r="D72" s="158">
        <v>0.10679999738931656</v>
      </c>
      <c r="E72" s="158">
        <v>0.10679999738931656</v>
      </c>
      <c r="F72" s="158">
        <v>0.10689999908208847</v>
      </c>
      <c r="G72" s="158">
        <v>0.10670000314712524</v>
      </c>
      <c r="H72" s="158">
        <v>0.10670000314712524</v>
      </c>
      <c r="I72" s="158">
        <v>0.10649999976158142</v>
      </c>
      <c r="J72" s="158">
        <v>0.10649999976158142</v>
      </c>
      <c r="K72" s="158">
        <v>0.10639999806880951</v>
      </c>
      <c r="L72" s="158">
        <v>0.10649999976158142</v>
      </c>
      <c r="M72" s="158">
        <v>0.10639999806880951</v>
      </c>
      <c r="N72" s="158">
        <v>0.1062999963760376</v>
      </c>
      <c r="O72" s="158">
        <v>0.10620000213384628</v>
      </c>
      <c r="P72" s="158">
        <v>0.10610000044107437</v>
      </c>
      <c r="Q72" s="158">
        <v>0.10599999874830246</v>
      </c>
      <c r="R72" s="158">
        <v>0.10599999874830246</v>
      </c>
      <c r="S72" s="158">
        <v>0.10610000044107437</v>
      </c>
      <c r="T72" s="158">
        <v>0.10610000044107437</v>
      </c>
      <c r="U72" s="158">
        <v>0.10610000044107437</v>
      </c>
      <c r="V72" s="158">
        <f t="shared" si="1"/>
        <v>0.10610000044107437</v>
      </c>
      <c r="W72" s="158">
        <v>0.10610000044107437</v>
      </c>
      <c r="X72" s="158">
        <v>0.10599999874830246</v>
      </c>
      <c r="Y72" s="158">
        <v>0.10589999705553055</v>
      </c>
      <c r="Z72" s="158">
        <v>0.10580000281333923</v>
      </c>
      <c r="AA72" s="158">
        <v>0.10589999705553055</v>
      </c>
      <c r="AB72" s="158">
        <v>0.10559999942779541</v>
      </c>
      <c r="AC72" s="158">
        <v>0.10559999942779541</v>
      </c>
      <c r="AD72" s="158">
        <v>0.10559999942779541</v>
      </c>
      <c r="AE72" s="158">
        <v>0.10559999942779541</v>
      </c>
      <c r="AF72" s="158">
        <v>0.10589999705553055</v>
      </c>
    </row>
    <row r="73" spans="1:32" x14ac:dyDescent="0.2">
      <c r="A73" s="158" t="s">
        <v>224</v>
      </c>
      <c r="B73" s="158">
        <v>0.10710000246763229</v>
      </c>
      <c r="C73" s="158">
        <v>0.10679999738931656</v>
      </c>
      <c r="D73" s="158">
        <v>0.10670000314712524</v>
      </c>
      <c r="E73" s="158">
        <v>0.10670000314712524</v>
      </c>
      <c r="F73" s="158">
        <v>0.10660000145435333</v>
      </c>
      <c r="G73" s="158">
        <v>0.10660000145435333</v>
      </c>
      <c r="H73" s="158">
        <v>0.10639999806880951</v>
      </c>
      <c r="I73" s="158">
        <v>0.1062999963760376</v>
      </c>
      <c r="J73" s="158">
        <v>0.10620000213384628</v>
      </c>
      <c r="K73" s="158">
        <v>0.10620000213384628</v>
      </c>
      <c r="L73" s="158">
        <v>0.10620000213384628</v>
      </c>
      <c r="M73" s="158">
        <v>0.10599999874830246</v>
      </c>
      <c r="N73" s="158">
        <v>0.10589999705553055</v>
      </c>
      <c r="O73" s="158">
        <v>0.10570000112056732</v>
      </c>
      <c r="P73" s="158">
        <v>0.1054999977350235</v>
      </c>
      <c r="Q73" s="158">
        <v>0.1054999977350235</v>
      </c>
      <c r="R73" s="158">
        <v>0.1054999977350235</v>
      </c>
      <c r="S73" s="158">
        <v>0.1054999977350235</v>
      </c>
      <c r="T73" s="158">
        <v>0.10559999942779541</v>
      </c>
      <c r="U73" s="158">
        <v>0.10570000112056732</v>
      </c>
      <c r="V73" s="158">
        <f t="shared" si="1"/>
        <v>0.10559999942779541</v>
      </c>
      <c r="W73" s="158">
        <v>0.1054999977350235</v>
      </c>
      <c r="X73" s="158">
        <v>0.10540000349283218</v>
      </c>
      <c r="Y73" s="158">
        <v>0.10520000010728836</v>
      </c>
      <c r="Z73" s="158">
        <v>0.10509999841451645</v>
      </c>
      <c r="AA73" s="158">
        <v>0.10490000247955322</v>
      </c>
      <c r="AB73" s="158">
        <v>0.10480000078678131</v>
      </c>
      <c r="AC73" s="158">
        <v>0.10480000078678131</v>
      </c>
      <c r="AD73" s="158">
        <v>0.10480000078678131</v>
      </c>
      <c r="AE73" s="158">
        <v>0.1046999990940094</v>
      </c>
      <c r="AF73" s="158">
        <v>0.10490000247955322</v>
      </c>
    </row>
    <row r="74" spans="1:32" x14ac:dyDescent="0.2">
      <c r="A74" s="158" t="s">
        <v>225</v>
      </c>
      <c r="B74" s="158">
        <v>0.10719999670982361</v>
      </c>
      <c r="C74" s="158">
        <v>0.10719999670982361</v>
      </c>
      <c r="D74" s="158">
        <v>0.10719999670982361</v>
      </c>
      <c r="E74" s="158">
        <v>0.10729999840259552</v>
      </c>
      <c r="F74" s="158">
        <v>0.10729999840259552</v>
      </c>
      <c r="G74" s="158">
        <v>0.10740000009536743</v>
      </c>
      <c r="H74" s="158">
        <v>0.10729999840259552</v>
      </c>
      <c r="I74" s="158">
        <v>0.10729999840259552</v>
      </c>
      <c r="J74" s="158">
        <v>0.10719999670982361</v>
      </c>
      <c r="K74" s="158">
        <v>0.10719999670982361</v>
      </c>
      <c r="L74" s="158">
        <v>0.10719999670982361</v>
      </c>
      <c r="M74" s="158">
        <v>0.10729999840259552</v>
      </c>
      <c r="N74" s="158">
        <v>0.10689999908208847</v>
      </c>
      <c r="O74" s="158">
        <v>0.10679999738931656</v>
      </c>
      <c r="P74" s="158">
        <v>0.10660000145435333</v>
      </c>
      <c r="Q74" s="158">
        <v>0.10660000145435333</v>
      </c>
      <c r="R74" s="158">
        <v>0.10660000145435333</v>
      </c>
      <c r="S74" s="158">
        <v>0.10670000314712524</v>
      </c>
      <c r="T74" s="158">
        <v>0.10679999738931656</v>
      </c>
      <c r="U74" s="158">
        <v>0.10689999908208847</v>
      </c>
      <c r="V74" s="158">
        <f t="shared" si="1"/>
        <v>0.10684999823570251</v>
      </c>
      <c r="W74" s="158">
        <v>0.10679999738931656</v>
      </c>
      <c r="X74" s="158">
        <v>0.10679999738931656</v>
      </c>
      <c r="Y74" s="158">
        <v>0.10649999976158142</v>
      </c>
      <c r="Z74" s="158">
        <v>0.1062999963760376</v>
      </c>
      <c r="AA74" s="158">
        <v>0.10620000213384628</v>
      </c>
      <c r="AB74" s="158">
        <v>0.10610000044107437</v>
      </c>
      <c r="AC74" s="158">
        <v>0.10610000044107437</v>
      </c>
      <c r="AD74" s="158">
        <v>0.10610000044107437</v>
      </c>
      <c r="AE74" s="158">
        <v>0.10610000044107437</v>
      </c>
      <c r="AF74" s="158">
        <v>0.10620000213384628</v>
      </c>
    </row>
    <row r="75" spans="1:32" x14ac:dyDescent="0.2">
      <c r="A75" s="158" t="s">
        <v>226</v>
      </c>
      <c r="B75" s="158">
        <v>0.10740000009536743</v>
      </c>
      <c r="C75" s="158">
        <v>0.10710000246763229</v>
      </c>
      <c r="D75" s="158">
        <v>0.10710000246763229</v>
      </c>
      <c r="E75" s="158">
        <v>0.10700000077486038</v>
      </c>
      <c r="F75" s="158">
        <v>0.10689999908208847</v>
      </c>
      <c r="G75" s="158">
        <v>0.10719999670982361</v>
      </c>
      <c r="H75" s="158">
        <v>0.10679999738931656</v>
      </c>
      <c r="I75" s="158">
        <v>0.10670000314712524</v>
      </c>
      <c r="J75" s="158">
        <v>0.10670000314712524</v>
      </c>
      <c r="K75" s="158">
        <v>0.10670000314712524</v>
      </c>
      <c r="L75" s="158">
        <v>0.10670000314712524</v>
      </c>
      <c r="M75" s="158">
        <v>0.10649999976158142</v>
      </c>
      <c r="N75" s="158">
        <v>0.10639999806880951</v>
      </c>
      <c r="O75" s="158">
        <v>0.10620000213384628</v>
      </c>
      <c r="P75" s="158">
        <v>0.10599999874830246</v>
      </c>
      <c r="Q75" s="158">
        <v>0.10599999874830246</v>
      </c>
      <c r="R75" s="158">
        <v>0.10599999874830246</v>
      </c>
      <c r="S75" s="158">
        <v>0.10599999874830246</v>
      </c>
      <c r="T75" s="158">
        <v>0.10610000044107437</v>
      </c>
      <c r="U75" s="158">
        <v>0.10620000213384628</v>
      </c>
      <c r="V75" s="158">
        <f t="shared" si="1"/>
        <v>0.10615000128746033</v>
      </c>
      <c r="W75" s="158">
        <v>0.10610000044107437</v>
      </c>
      <c r="X75" s="158">
        <v>0.10599999874830246</v>
      </c>
      <c r="Y75" s="158">
        <v>0.10570000112056732</v>
      </c>
      <c r="Z75" s="158">
        <v>0.1054999977350235</v>
      </c>
      <c r="AA75" s="158">
        <v>0.10540000349283218</v>
      </c>
      <c r="AB75" s="158">
        <v>0.10540000349283218</v>
      </c>
      <c r="AC75" s="158">
        <v>0.10530000180006027</v>
      </c>
      <c r="AD75" s="158">
        <v>0.10540000349283218</v>
      </c>
      <c r="AE75" s="158">
        <v>0.10530000180006027</v>
      </c>
      <c r="AF75" s="158">
        <v>0.1054999977350235</v>
      </c>
    </row>
    <row r="76" spans="1:32" x14ac:dyDescent="0.2">
      <c r="A76" s="158" t="s">
        <v>227</v>
      </c>
      <c r="B76" s="158">
        <v>0.10859999805688858</v>
      </c>
      <c r="C76" s="158">
        <v>0.10819999873638153</v>
      </c>
      <c r="D76" s="158">
        <v>0.10809999704360962</v>
      </c>
      <c r="E76" s="158">
        <v>0.10819999873638153</v>
      </c>
      <c r="F76" s="158">
        <v>0.10809999704360962</v>
      </c>
      <c r="G76" s="158">
        <v>0.10819999873638153</v>
      </c>
      <c r="H76" s="158">
        <v>0.10809999704360962</v>
      </c>
      <c r="I76" s="158">
        <v>0.1080000028014183</v>
      </c>
      <c r="J76" s="158">
        <v>0.1080000028014183</v>
      </c>
      <c r="K76" s="158">
        <v>0.1080000028014183</v>
      </c>
      <c r="L76" s="158">
        <v>0.1080000028014183</v>
      </c>
      <c r="M76" s="158">
        <v>0.10779999941587448</v>
      </c>
      <c r="N76" s="158">
        <v>0.10769999772310257</v>
      </c>
      <c r="O76" s="158">
        <v>0.10750000178813934</v>
      </c>
      <c r="P76" s="158">
        <v>0.10729999840259552</v>
      </c>
      <c r="Q76" s="158">
        <v>0.10760000348091125</v>
      </c>
      <c r="R76" s="158">
        <v>0.10729999840259552</v>
      </c>
      <c r="S76" s="158">
        <v>0.10760000348091125</v>
      </c>
      <c r="T76" s="158">
        <v>0.10760000348091125</v>
      </c>
      <c r="U76" s="158">
        <v>0.10769999772310257</v>
      </c>
      <c r="V76" s="158">
        <f t="shared" si="1"/>
        <v>0.10799999907612801</v>
      </c>
      <c r="W76" s="158">
        <v>0.10830000042915344</v>
      </c>
      <c r="X76" s="158">
        <v>0.10819999873638153</v>
      </c>
      <c r="Y76" s="158">
        <v>0.10939999669790268</v>
      </c>
      <c r="Z76" s="158">
        <v>0.10899999737739563</v>
      </c>
      <c r="AA76" s="158">
        <v>0.10920000076293945</v>
      </c>
      <c r="AB76" s="158">
        <v>0.10930000245571136</v>
      </c>
      <c r="AC76" s="158">
        <v>0.10890000313520432</v>
      </c>
      <c r="AD76" s="158">
        <v>0.10890000313520432</v>
      </c>
      <c r="AE76" s="158">
        <v>0.1088000014424324</v>
      </c>
      <c r="AF76" s="158">
        <v>0.10830000042915344</v>
      </c>
    </row>
    <row r="77" spans="1:32" x14ac:dyDescent="0.2">
      <c r="A77" s="158" t="s">
        <v>228</v>
      </c>
      <c r="B77" s="158">
        <v>0.10719999670982361</v>
      </c>
      <c r="C77" s="158">
        <v>0.10660000145435333</v>
      </c>
      <c r="D77" s="158">
        <v>0.10660000145435333</v>
      </c>
      <c r="E77" s="158">
        <v>0.10660000145435333</v>
      </c>
      <c r="F77" s="158">
        <v>0.10639999806880951</v>
      </c>
      <c r="G77" s="158">
        <v>0.10649999976158142</v>
      </c>
      <c r="H77" s="158">
        <v>0.10660000145435333</v>
      </c>
      <c r="I77" s="158">
        <v>0.10620000213384628</v>
      </c>
      <c r="J77" s="158">
        <v>0.10620000213384628</v>
      </c>
      <c r="K77" s="158">
        <v>0.10620000213384628</v>
      </c>
      <c r="L77" s="158">
        <v>0.10610000044107437</v>
      </c>
      <c r="M77" s="158">
        <v>0.10589999705553055</v>
      </c>
      <c r="N77" s="158">
        <v>0.10580000281333923</v>
      </c>
      <c r="O77" s="158">
        <v>0.1054999977350235</v>
      </c>
      <c r="P77" s="158">
        <v>0.10530000180006027</v>
      </c>
      <c r="Q77" s="158">
        <v>0.10530000180006027</v>
      </c>
      <c r="R77" s="158">
        <v>0.10530000180006027</v>
      </c>
      <c r="S77" s="158">
        <v>0.10540000349283218</v>
      </c>
      <c r="T77" s="158">
        <v>0.10570000112056732</v>
      </c>
      <c r="U77" s="158">
        <v>0.10570000112056732</v>
      </c>
      <c r="V77" s="158">
        <f t="shared" si="1"/>
        <v>0.10610000044107437</v>
      </c>
      <c r="W77" s="158">
        <v>0.10649999976158142</v>
      </c>
      <c r="X77" s="158">
        <v>0.10639999806880951</v>
      </c>
      <c r="Y77" s="158">
        <v>0.10620000213384628</v>
      </c>
      <c r="Z77" s="158">
        <v>0.10580000281333923</v>
      </c>
      <c r="AA77" s="158">
        <v>0.10570000112056732</v>
      </c>
      <c r="AB77" s="158">
        <v>0.10559999942779541</v>
      </c>
      <c r="AC77" s="158">
        <v>0.10540000349283218</v>
      </c>
      <c r="AD77" s="158">
        <v>0.1054999977350235</v>
      </c>
      <c r="AE77" s="158">
        <v>0.1054999977350235</v>
      </c>
      <c r="AF77" s="158">
        <v>0.10580000281333923</v>
      </c>
    </row>
    <row r="78" spans="1:32" x14ac:dyDescent="0.2">
      <c r="A78" s="158" t="s">
        <v>229</v>
      </c>
      <c r="B78" s="158">
        <v>0.10790000110864639</v>
      </c>
      <c r="C78" s="158">
        <v>0.10760000348091125</v>
      </c>
      <c r="D78" s="158">
        <v>0.10750000178813934</v>
      </c>
      <c r="E78" s="158">
        <v>0.10750000178813934</v>
      </c>
      <c r="F78" s="158">
        <v>0.10750000178813934</v>
      </c>
      <c r="G78" s="158">
        <v>0.10760000348091125</v>
      </c>
      <c r="H78" s="158">
        <v>0.10750000178813934</v>
      </c>
      <c r="I78" s="158">
        <v>0.10750000178813934</v>
      </c>
      <c r="J78" s="158">
        <v>0.10740000009536743</v>
      </c>
      <c r="K78" s="158">
        <v>0.10740000009536743</v>
      </c>
      <c r="L78" s="158">
        <v>0.10740000009536743</v>
      </c>
      <c r="M78" s="158">
        <v>0.10719999670982361</v>
      </c>
      <c r="N78" s="158">
        <v>0.10700000077486038</v>
      </c>
      <c r="O78" s="158">
        <v>0.10670000314712524</v>
      </c>
      <c r="P78" s="158">
        <v>0.10679999738931656</v>
      </c>
      <c r="Q78" s="158">
        <v>0.10649999976158142</v>
      </c>
      <c r="R78" s="158">
        <v>0.10660000145435333</v>
      </c>
      <c r="S78" s="158">
        <v>0.10679999738931656</v>
      </c>
      <c r="T78" s="158">
        <v>0.10700000077486038</v>
      </c>
      <c r="U78" s="158">
        <v>0.10710000246763229</v>
      </c>
      <c r="V78" s="158">
        <f t="shared" si="1"/>
        <v>0.10710000246763229</v>
      </c>
      <c r="W78" s="158">
        <v>0.10710000246763229</v>
      </c>
      <c r="X78" s="158">
        <v>0.10679999738931656</v>
      </c>
      <c r="Y78" s="158">
        <v>0.10660000145435333</v>
      </c>
      <c r="Z78" s="158">
        <v>0.1062999963760376</v>
      </c>
      <c r="AA78" s="158">
        <v>0.10620000213384628</v>
      </c>
      <c r="AB78" s="158">
        <v>0.10599999874830246</v>
      </c>
      <c r="AC78" s="158">
        <v>0.10589999705553055</v>
      </c>
      <c r="AD78" s="158">
        <v>0.10599999874830246</v>
      </c>
      <c r="AE78" s="158">
        <v>0.10599999874830246</v>
      </c>
      <c r="AF78" s="158">
        <v>0.10610000044107437</v>
      </c>
    </row>
    <row r="79" spans="1:32" x14ac:dyDescent="0.2">
      <c r="A79" s="158" t="s">
        <v>230</v>
      </c>
      <c r="B79" s="158">
        <v>0.10639999806880951</v>
      </c>
      <c r="C79" s="158">
        <v>0.10589999705553055</v>
      </c>
      <c r="D79" s="158">
        <v>0.10570000112056732</v>
      </c>
      <c r="E79" s="158">
        <v>0.10570000112056732</v>
      </c>
      <c r="F79" s="158">
        <v>0.1054999977350235</v>
      </c>
      <c r="G79" s="158">
        <v>0.10559999942779541</v>
      </c>
      <c r="H79" s="158">
        <v>0.10540000349283218</v>
      </c>
      <c r="I79" s="158">
        <v>0.10530000180006027</v>
      </c>
      <c r="J79" s="158">
        <v>0.10509999841451645</v>
      </c>
      <c r="K79" s="158">
        <v>0.10520000010728836</v>
      </c>
      <c r="L79" s="158">
        <v>0.10520000010728836</v>
      </c>
      <c r="M79" s="158">
        <v>0.10499999672174454</v>
      </c>
      <c r="N79" s="158">
        <v>0.10480000078678131</v>
      </c>
      <c r="O79" s="158">
        <v>0.10450000315904617</v>
      </c>
      <c r="P79" s="158">
        <v>0.10429999977350235</v>
      </c>
      <c r="Q79" s="158">
        <v>0.10429999977350235</v>
      </c>
      <c r="R79" s="158">
        <v>0.10429999977350235</v>
      </c>
      <c r="S79" s="158">
        <v>0.10440000146627426</v>
      </c>
      <c r="T79" s="158">
        <v>0.10459999740123749</v>
      </c>
      <c r="U79" s="158">
        <v>0.1046999990940094</v>
      </c>
      <c r="V79" s="158">
        <f t="shared" si="1"/>
        <v>0.10520000010728836</v>
      </c>
      <c r="W79" s="158">
        <v>0.10570000112056732</v>
      </c>
      <c r="X79" s="158">
        <v>0.10540000349283218</v>
      </c>
      <c r="Y79" s="158">
        <v>0.10509999841451645</v>
      </c>
      <c r="Z79" s="158">
        <v>0.10499999672174454</v>
      </c>
      <c r="AA79" s="158">
        <v>0.10480000078678131</v>
      </c>
      <c r="AB79" s="158">
        <v>0.1046999990940094</v>
      </c>
      <c r="AC79" s="158">
        <v>0.10459999740123749</v>
      </c>
      <c r="AD79" s="158">
        <v>0.10459999740123749</v>
      </c>
      <c r="AE79" s="158">
        <v>0.1046999990940094</v>
      </c>
      <c r="AF79" s="158">
        <v>0.10400000214576721</v>
      </c>
    </row>
    <row r="80" spans="1:32" x14ac:dyDescent="0.2">
      <c r="A80" s="158" t="s">
        <v>231</v>
      </c>
      <c r="B80" s="158">
        <v>0.10719999670982361</v>
      </c>
      <c r="C80" s="158">
        <v>0.10679999738931656</v>
      </c>
      <c r="D80" s="158">
        <v>0.10670000314712524</v>
      </c>
      <c r="E80" s="158">
        <v>0.10660000145435333</v>
      </c>
      <c r="F80" s="158">
        <v>0.10660000145435333</v>
      </c>
      <c r="G80" s="158">
        <v>0.10679999738931656</v>
      </c>
      <c r="H80" s="158">
        <v>0.10670000314712524</v>
      </c>
      <c r="I80" s="158">
        <v>0.10670000314712524</v>
      </c>
      <c r="J80" s="158">
        <v>0.10660000145435333</v>
      </c>
      <c r="K80" s="158">
        <v>0.10679999738931656</v>
      </c>
      <c r="L80" s="158">
        <v>0.10660000145435333</v>
      </c>
      <c r="M80" s="158">
        <v>0.10639999806880951</v>
      </c>
      <c r="N80" s="158">
        <v>0.10620000213384628</v>
      </c>
      <c r="O80" s="158">
        <v>0.10599999874830246</v>
      </c>
      <c r="P80" s="158">
        <v>0.10580000281333923</v>
      </c>
      <c r="Q80" s="158">
        <v>0.10580000281333923</v>
      </c>
      <c r="R80" s="158">
        <v>0.10580000281333923</v>
      </c>
      <c r="S80" s="158">
        <v>0.10599999874830246</v>
      </c>
      <c r="T80" s="158">
        <v>0.10620000213384628</v>
      </c>
      <c r="U80" s="158">
        <v>0.1062999963760376</v>
      </c>
      <c r="V80" s="158">
        <f t="shared" si="1"/>
        <v>0.1062999963760376</v>
      </c>
      <c r="W80" s="158">
        <v>0.1062999963760376</v>
      </c>
      <c r="X80" s="158">
        <v>0.10610000044107437</v>
      </c>
      <c r="Y80" s="158">
        <v>0.10580000281333923</v>
      </c>
      <c r="Z80" s="158">
        <v>0.10559999942779541</v>
      </c>
      <c r="AA80" s="158">
        <v>0.10540000349283218</v>
      </c>
      <c r="AB80" s="158">
        <v>0.10530000180006027</v>
      </c>
      <c r="AC80" s="158">
        <v>0.10520000010728836</v>
      </c>
      <c r="AD80" s="158">
        <v>0.10520000010728836</v>
      </c>
      <c r="AE80" s="158">
        <v>0.10530000180006027</v>
      </c>
      <c r="AF80" s="158">
        <v>0.10530000180006027</v>
      </c>
    </row>
    <row r="81" spans="1:32" x14ac:dyDescent="0.2">
      <c r="A81" s="158" t="s">
        <v>232</v>
      </c>
      <c r="B81" s="158">
        <v>0.10719999670982361</v>
      </c>
      <c r="C81" s="158">
        <v>0.10660000145435333</v>
      </c>
      <c r="D81" s="158">
        <v>0.1062999963760376</v>
      </c>
      <c r="E81" s="158">
        <v>0.1062999963760376</v>
      </c>
      <c r="F81" s="158">
        <v>0.10620000213384628</v>
      </c>
      <c r="G81" s="158">
        <v>0.1062999963760376</v>
      </c>
      <c r="H81" s="158">
        <v>0.10620000213384628</v>
      </c>
      <c r="I81" s="158">
        <v>0.10610000044107437</v>
      </c>
      <c r="J81" s="158">
        <v>0.10599999874830246</v>
      </c>
      <c r="K81" s="158">
        <v>0.10599999874830246</v>
      </c>
      <c r="L81" s="158">
        <v>0.10599999874830246</v>
      </c>
      <c r="M81" s="158">
        <v>0.10570000112056732</v>
      </c>
      <c r="N81" s="158">
        <v>0.1054999977350235</v>
      </c>
      <c r="O81" s="158">
        <v>0.10520000010728836</v>
      </c>
      <c r="P81" s="158">
        <v>0.10499999672174454</v>
      </c>
      <c r="Q81" s="158">
        <v>0.10499999672174454</v>
      </c>
      <c r="R81" s="158">
        <v>0.10499999672174454</v>
      </c>
      <c r="S81" s="158">
        <v>0.10520000010728836</v>
      </c>
      <c r="T81" s="158">
        <v>0.10540000349283218</v>
      </c>
      <c r="U81" s="158">
        <v>0.1054999977350235</v>
      </c>
      <c r="V81" s="158">
        <f t="shared" si="1"/>
        <v>0.10545000061392784</v>
      </c>
      <c r="W81" s="158">
        <v>0.10540000349283218</v>
      </c>
      <c r="X81" s="158">
        <v>0.10520000010728836</v>
      </c>
      <c r="Y81" s="158">
        <v>0.10490000247955322</v>
      </c>
      <c r="Z81" s="158">
        <v>0.10459999740123749</v>
      </c>
      <c r="AA81" s="158">
        <v>0.10440000146627426</v>
      </c>
      <c r="AB81" s="158">
        <v>0.10429999977350235</v>
      </c>
      <c r="AC81" s="158">
        <v>0.10419999808073044</v>
      </c>
      <c r="AD81" s="158">
        <v>0.10419999808073044</v>
      </c>
      <c r="AE81" s="158">
        <v>0.10419999808073044</v>
      </c>
      <c r="AF81" s="158">
        <v>0.10440000146627426</v>
      </c>
    </row>
    <row r="82" spans="1:32" x14ac:dyDescent="0.2">
      <c r="A82" s="158" t="s">
        <v>233</v>
      </c>
      <c r="B82" s="158">
        <v>0.10769999772310257</v>
      </c>
      <c r="C82" s="158">
        <v>0.10729999840259552</v>
      </c>
      <c r="D82" s="158">
        <v>0.10689999908208847</v>
      </c>
      <c r="E82" s="158">
        <v>0.10689999908208847</v>
      </c>
      <c r="F82" s="158">
        <v>0.10689999908208847</v>
      </c>
      <c r="G82" s="158">
        <v>0.10719999670982361</v>
      </c>
      <c r="H82" s="158">
        <v>0.10710000246763229</v>
      </c>
      <c r="I82" s="158">
        <v>0.10710000246763229</v>
      </c>
      <c r="J82" s="158">
        <v>0.10700000077486038</v>
      </c>
      <c r="K82" s="158">
        <v>0.10700000077486038</v>
      </c>
      <c r="L82" s="158">
        <v>0.10689999908208847</v>
      </c>
      <c r="M82" s="158">
        <v>0.10670000314712524</v>
      </c>
      <c r="N82" s="158">
        <v>0.10639999806880951</v>
      </c>
      <c r="O82" s="158">
        <v>0.10620000213384628</v>
      </c>
      <c r="P82" s="158">
        <v>0.10599999874830246</v>
      </c>
      <c r="Q82" s="158">
        <v>0.10589999705553055</v>
      </c>
      <c r="R82" s="158">
        <v>0.10599999874830246</v>
      </c>
      <c r="S82" s="158">
        <v>0.10620000213384628</v>
      </c>
      <c r="T82" s="158">
        <v>0.10670000314712524</v>
      </c>
      <c r="U82" s="158">
        <v>0.10660000145435333</v>
      </c>
      <c r="V82" s="158">
        <f t="shared" si="1"/>
        <v>0.10660000145435333</v>
      </c>
      <c r="W82" s="158">
        <v>0.10660000145435333</v>
      </c>
      <c r="X82" s="158">
        <v>0.1062999963760376</v>
      </c>
      <c r="Y82" s="158">
        <v>0.10620000213384628</v>
      </c>
      <c r="Z82" s="158">
        <v>0.10559999942779541</v>
      </c>
      <c r="AA82" s="158">
        <v>0.1054999977350235</v>
      </c>
      <c r="AB82" s="158">
        <v>0.10530000180006027</v>
      </c>
      <c r="AC82" s="158">
        <v>0.10509999841451645</v>
      </c>
      <c r="AD82" s="158">
        <v>0.10509999841451645</v>
      </c>
      <c r="AE82" s="158">
        <v>0.10520000010728836</v>
      </c>
      <c r="AF82" s="158">
        <v>0.10530000180006027</v>
      </c>
    </row>
    <row r="83" spans="1:32" x14ac:dyDescent="0.2">
      <c r="A83" s="158" t="s">
        <v>234</v>
      </c>
      <c r="B83" s="158">
        <v>0.10710000246763229</v>
      </c>
      <c r="C83" s="158">
        <v>0.10679999738931656</v>
      </c>
      <c r="D83" s="158">
        <v>0.10639999806880951</v>
      </c>
      <c r="E83" s="158">
        <v>0.10639999806880951</v>
      </c>
      <c r="F83" s="158">
        <v>0.1062999963760376</v>
      </c>
      <c r="G83" s="158">
        <v>0.10649999976158142</v>
      </c>
      <c r="H83" s="158">
        <v>0.10639999806880951</v>
      </c>
      <c r="I83" s="158">
        <v>0.1062999963760376</v>
      </c>
      <c r="J83" s="158">
        <v>0.10639999806880951</v>
      </c>
      <c r="K83" s="158">
        <v>0.10620000213384628</v>
      </c>
      <c r="L83" s="158">
        <v>0.10620000213384628</v>
      </c>
      <c r="M83" s="158">
        <v>0.10599999874830246</v>
      </c>
      <c r="N83" s="158">
        <v>0.10580000281333923</v>
      </c>
      <c r="O83" s="158">
        <v>0.1054999977350235</v>
      </c>
      <c r="P83" s="158">
        <v>0.10530000180006027</v>
      </c>
      <c r="Q83" s="158">
        <v>0.10530000180006027</v>
      </c>
      <c r="R83" s="158">
        <v>0.10540000349283218</v>
      </c>
      <c r="S83" s="158">
        <v>0.10559999942779541</v>
      </c>
      <c r="T83" s="158">
        <v>0.10580000281333923</v>
      </c>
      <c r="U83" s="158">
        <v>0.10589999705553055</v>
      </c>
      <c r="V83" s="158">
        <f t="shared" si="1"/>
        <v>0.10589999705553055</v>
      </c>
      <c r="W83" s="158">
        <v>0.10589999705553055</v>
      </c>
      <c r="X83" s="158">
        <v>0.10570000112056732</v>
      </c>
      <c r="Y83" s="158">
        <v>0.10530000180006027</v>
      </c>
      <c r="Z83" s="158">
        <v>0.10509999841451645</v>
      </c>
      <c r="AA83" s="158">
        <v>0.10520000010728836</v>
      </c>
      <c r="AB83" s="158">
        <v>0.10480000078678131</v>
      </c>
      <c r="AC83" s="158">
        <v>0.10459999740123749</v>
      </c>
      <c r="AD83" s="158">
        <v>0.1046999990940094</v>
      </c>
      <c r="AE83" s="158">
        <v>0.1046999990940094</v>
      </c>
      <c r="AF83" s="158">
        <v>0.10509999841451645</v>
      </c>
    </row>
    <row r="84" spans="1:32" x14ac:dyDescent="0.2">
      <c r="A84" s="158" t="s">
        <v>235</v>
      </c>
      <c r="B84" s="158">
        <v>0.10719999670982361</v>
      </c>
      <c r="C84" s="158">
        <v>0.10679999738931656</v>
      </c>
      <c r="D84" s="158">
        <v>0.10670000314712524</v>
      </c>
      <c r="E84" s="158">
        <v>0.10649999976158142</v>
      </c>
      <c r="F84" s="158">
        <v>0.10639999806880951</v>
      </c>
      <c r="G84" s="158">
        <v>0.10670000314712524</v>
      </c>
      <c r="H84" s="158">
        <v>0.10660000145435333</v>
      </c>
      <c r="I84" s="158">
        <v>0.10639999806880951</v>
      </c>
      <c r="J84" s="158">
        <v>0.10639999806880951</v>
      </c>
      <c r="K84" s="158">
        <v>0.10639999806880951</v>
      </c>
      <c r="L84" s="158">
        <v>0.10639999806880951</v>
      </c>
      <c r="M84" s="158">
        <v>0.10610000044107437</v>
      </c>
      <c r="N84" s="158">
        <v>0.10580000281333923</v>
      </c>
      <c r="O84" s="158">
        <v>0.10559999942779541</v>
      </c>
      <c r="P84" s="158">
        <v>0.10540000349283218</v>
      </c>
      <c r="Q84" s="158">
        <v>0.10540000349283218</v>
      </c>
      <c r="R84" s="158">
        <v>0.1054999977350235</v>
      </c>
      <c r="S84" s="158">
        <v>0.10559999942779541</v>
      </c>
      <c r="T84" s="158">
        <v>0.10589999705553055</v>
      </c>
      <c r="U84" s="158">
        <v>0.10599999874830246</v>
      </c>
      <c r="V84" s="158">
        <f t="shared" si="1"/>
        <v>0.10604999959468842</v>
      </c>
      <c r="W84" s="158">
        <v>0.10610000044107437</v>
      </c>
      <c r="X84" s="158">
        <v>0.10580000281333923</v>
      </c>
      <c r="Y84" s="158">
        <v>0.1054999977350235</v>
      </c>
      <c r="Z84" s="158">
        <v>0.10520000010728836</v>
      </c>
      <c r="AA84" s="158">
        <v>0.10499999672174454</v>
      </c>
      <c r="AB84" s="158">
        <v>0.10490000247955322</v>
      </c>
      <c r="AC84" s="158">
        <v>0.1046999990940094</v>
      </c>
      <c r="AD84" s="158">
        <v>0.10480000078678131</v>
      </c>
      <c r="AE84" s="158">
        <v>0.10480000078678131</v>
      </c>
      <c r="AF84" s="158">
        <v>0.10499999672174454</v>
      </c>
    </row>
    <row r="85" spans="1:32" x14ac:dyDescent="0.2">
      <c r="A85" s="158" t="s">
        <v>236</v>
      </c>
      <c r="B85" s="158">
        <v>0.10639999806880951</v>
      </c>
      <c r="C85" s="158">
        <v>0.10599999874830246</v>
      </c>
      <c r="D85" s="158">
        <v>0.10580000281333923</v>
      </c>
      <c r="E85" s="158">
        <v>0.10580000281333923</v>
      </c>
      <c r="F85" s="158">
        <v>0.10610000044107437</v>
      </c>
      <c r="G85" s="158">
        <v>0.10620000213384628</v>
      </c>
      <c r="H85" s="158">
        <v>0.10610000044107437</v>
      </c>
      <c r="I85" s="158">
        <v>0.10599999874830246</v>
      </c>
      <c r="J85" s="158">
        <v>0.10580000281333923</v>
      </c>
      <c r="K85" s="158">
        <v>0.10580000281333923</v>
      </c>
      <c r="L85" s="158">
        <v>0.10580000281333923</v>
      </c>
      <c r="M85" s="158">
        <v>0.10559999942779541</v>
      </c>
      <c r="N85" s="158">
        <v>0.10530000180006027</v>
      </c>
      <c r="O85" s="158">
        <v>0.10490000247955322</v>
      </c>
      <c r="P85" s="158">
        <v>0.10490000247955322</v>
      </c>
      <c r="Q85" s="158">
        <v>0.10480000078678131</v>
      </c>
      <c r="R85" s="158">
        <v>0.10480000078678131</v>
      </c>
      <c r="S85" s="158">
        <v>0.10509999841451645</v>
      </c>
      <c r="T85" s="158">
        <v>0.10530000180006027</v>
      </c>
      <c r="U85" s="158">
        <v>0.10559999942779541</v>
      </c>
      <c r="V85" s="158">
        <f t="shared" si="1"/>
        <v>0.10619999840855598</v>
      </c>
      <c r="W85" s="158">
        <v>0.10679999738931656</v>
      </c>
      <c r="X85" s="158">
        <v>0.1062999963760376</v>
      </c>
      <c r="Y85" s="158">
        <v>0.10589999705553055</v>
      </c>
      <c r="Z85" s="158">
        <v>0.10580000281333923</v>
      </c>
      <c r="AA85" s="158">
        <v>0.10570000112056732</v>
      </c>
      <c r="AB85" s="158">
        <v>0.10540000349283218</v>
      </c>
      <c r="AC85" s="158">
        <v>0.1054999977350235</v>
      </c>
      <c r="AD85" s="158">
        <v>0.10520000010728836</v>
      </c>
      <c r="AE85" s="158">
        <v>0.10540000349283218</v>
      </c>
      <c r="AF85" s="158">
        <v>0.10480000078678131</v>
      </c>
    </row>
    <row r="86" spans="1:32" x14ac:dyDescent="0.2">
      <c r="A86" s="158" t="s">
        <v>237</v>
      </c>
      <c r="B86" s="158">
        <v>0.10670000314712524</v>
      </c>
      <c r="C86" s="158">
        <v>0.1062999963760376</v>
      </c>
      <c r="D86" s="158">
        <v>0.10620000213384628</v>
      </c>
      <c r="E86" s="158">
        <v>0.10610000044107437</v>
      </c>
      <c r="F86" s="158">
        <v>0.10599999874830246</v>
      </c>
      <c r="G86" s="158">
        <v>0.1062999963760376</v>
      </c>
      <c r="H86" s="158">
        <v>0.10620000213384628</v>
      </c>
      <c r="I86" s="158">
        <v>0.10610000044107437</v>
      </c>
      <c r="J86" s="158">
        <v>0.10649999976158142</v>
      </c>
      <c r="K86" s="158">
        <v>0.10599999874830246</v>
      </c>
      <c r="L86" s="158">
        <v>0.10610000044107437</v>
      </c>
      <c r="M86" s="158">
        <v>0.10589999705553055</v>
      </c>
      <c r="N86" s="158">
        <v>0.1054999977350235</v>
      </c>
      <c r="O86" s="158">
        <v>0.10520000010728836</v>
      </c>
      <c r="P86" s="158">
        <v>0.10499999672174454</v>
      </c>
      <c r="Q86" s="158">
        <v>0.10499999672174454</v>
      </c>
      <c r="R86" s="158">
        <v>0.10509999841451645</v>
      </c>
      <c r="S86" s="158">
        <v>0.10520000010728836</v>
      </c>
      <c r="T86" s="158">
        <v>0.1054999977350235</v>
      </c>
      <c r="U86" s="158">
        <v>0.10559999942779541</v>
      </c>
      <c r="V86" s="158">
        <f t="shared" si="1"/>
        <v>0.10559999942779541</v>
      </c>
      <c r="W86" s="158">
        <v>0.10559999942779541</v>
      </c>
      <c r="X86" s="158">
        <v>0.10540000349283218</v>
      </c>
      <c r="Y86" s="158">
        <v>0.10509999841451645</v>
      </c>
      <c r="Z86" s="158">
        <v>0.10480000078678131</v>
      </c>
      <c r="AA86" s="158">
        <v>0.10459999740123749</v>
      </c>
      <c r="AB86" s="158">
        <v>0.10440000146627426</v>
      </c>
      <c r="AC86" s="158">
        <v>0.10429999977350235</v>
      </c>
      <c r="AD86" s="158">
        <v>0.10429999977350235</v>
      </c>
      <c r="AE86" s="158">
        <v>0.10440000146627426</v>
      </c>
      <c r="AF86" s="158">
        <v>0.10459999740123749</v>
      </c>
    </row>
    <row r="87" spans="1:32" x14ac:dyDescent="0.2">
      <c r="A87" s="158" t="s">
        <v>238</v>
      </c>
      <c r="B87" s="158">
        <v>0.10679999738931656</v>
      </c>
      <c r="C87" s="158">
        <v>0.10649999976158142</v>
      </c>
      <c r="D87" s="158">
        <v>0.10639999806880951</v>
      </c>
      <c r="E87" s="158">
        <v>0.1062999963760376</v>
      </c>
      <c r="F87" s="158">
        <v>0.10620000213384628</v>
      </c>
      <c r="G87" s="158">
        <v>0.10639999806880951</v>
      </c>
      <c r="H87" s="158">
        <v>0.1062999963760376</v>
      </c>
      <c r="I87" s="158">
        <v>0.10620000213384628</v>
      </c>
      <c r="J87" s="158">
        <v>0.10610000044107437</v>
      </c>
      <c r="K87" s="158">
        <v>0.10610000044107437</v>
      </c>
      <c r="L87" s="158">
        <v>0.10610000044107437</v>
      </c>
      <c r="M87" s="158">
        <v>0.10580000281333923</v>
      </c>
      <c r="N87" s="158">
        <v>0.10559999942779541</v>
      </c>
      <c r="O87" s="158">
        <v>0.1054999977350235</v>
      </c>
      <c r="P87" s="158">
        <v>0.10509999841451645</v>
      </c>
      <c r="Q87" s="158">
        <v>0.10509999841451645</v>
      </c>
      <c r="R87" s="158">
        <v>0.10520000010728836</v>
      </c>
      <c r="S87" s="158">
        <v>0.10530000180006027</v>
      </c>
      <c r="T87" s="158">
        <v>0.10559999942779541</v>
      </c>
      <c r="U87" s="158">
        <v>0.10559999942779541</v>
      </c>
      <c r="V87" s="158">
        <f t="shared" si="1"/>
        <v>0.10565000027418137</v>
      </c>
      <c r="W87" s="158">
        <v>0.10570000112056732</v>
      </c>
      <c r="X87" s="158">
        <v>0.10540000349283218</v>
      </c>
      <c r="Y87" s="158">
        <v>0.10509999841451645</v>
      </c>
      <c r="Z87" s="158">
        <v>0.10490000247955322</v>
      </c>
      <c r="AA87" s="158">
        <v>0.10459999740123749</v>
      </c>
      <c r="AB87" s="158">
        <v>0.10450000315904617</v>
      </c>
      <c r="AC87" s="158">
        <v>0.10440000146627426</v>
      </c>
      <c r="AD87" s="158">
        <v>0.10440000146627426</v>
      </c>
      <c r="AE87" s="158">
        <v>0.10440000146627426</v>
      </c>
      <c r="AF87" s="158">
        <v>0.10459999740123749</v>
      </c>
    </row>
    <row r="88" spans="1:32" x14ac:dyDescent="0.2">
      <c r="A88" s="158" t="s">
        <v>239</v>
      </c>
      <c r="B88" s="158">
        <v>0.10679999738931656</v>
      </c>
      <c r="C88" s="158">
        <v>0.1062999963760376</v>
      </c>
      <c r="D88" s="158">
        <v>0.10620000213384628</v>
      </c>
      <c r="E88" s="158">
        <v>0.10610000044107437</v>
      </c>
      <c r="F88" s="158">
        <v>0.10610000044107437</v>
      </c>
      <c r="G88" s="158">
        <v>0.10620000213384628</v>
      </c>
      <c r="H88" s="158">
        <v>0.10620000213384628</v>
      </c>
      <c r="I88" s="158">
        <v>0.10599999874830246</v>
      </c>
      <c r="J88" s="158">
        <v>0.10589999705553055</v>
      </c>
      <c r="K88" s="158">
        <v>0.10589999705553055</v>
      </c>
      <c r="L88" s="158">
        <v>0.10589999705553055</v>
      </c>
      <c r="M88" s="158">
        <v>0.10570000112056732</v>
      </c>
      <c r="N88" s="158">
        <v>0.10540000349283218</v>
      </c>
      <c r="O88" s="158">
        <v>0.10520000010728836</v>
      </c>
      <c r="P88" s="158">
        <v>0.10490000247955322</v>
      </c>
      <c r="Q88" s="158">
        <v>0.10499999672174454</v>
      </c>
      <c r="R88" s="158">
        <v>0.10499999672174454</v>
      </c>
      <c r="S88" s="158">
        <v>0.10520000010728836</v>
      </c>
      <c r="T88" s="158">
        <v>0.1054999977350235</v>
      </c>
      <c r="U88" s="158">
        <v>0.1054999977350235</v>
      </c>
      <c r="V88" s="158">
        <f t="shared" si="1"/>
        <v>0.1054999977350235</v>
      </c>
      <c r="W88" s="158">
        <v>0.1054999977350235</v>
      </c>
      <c r="X88" s="158">
        <v>0.10520000010728836</v>
      </c>
      <c r="Y88" s="158">
        <v>0.10499999672174454</v>
      </c>
      <c r="Z88" s="158">
        <v>0.1046999990940094</v>
      </c>
      <c r="AA88" s="158">
        <v>0.10450000315904617</v>
      </c>
      <c r="AB88" s="158">
        <v>0.10440000146627426</v>
      </c>
      <c r="AC88" s="158">
        <v>0.10429999977350235</v>
      </c>
      <c r="AD88" s="158">
        <v>0.10419999808073044</v>
      </c>
      <c r="AE88" s="158">
        <v>0.10429999977350235</v>
      </c>
      <c r="AF88" s="158">
        <v>0.10450000315904617</v>
      </c>
    </row>
    <row r="89" spans="1:32" x14ac:dyDescent="0.2">
      <c r="A89" s="158" t="s">
        <v>240</v>
      </c>
      <c r="B89" s="158">
        <v>0.10649999976158142</v>
      </c>
      <c r="C89" s="158">
        <v>0.10610000044107437</v>
      </c>
      <c r="D89" s="158">
        <v>0.10589999705553055</v>
      </c>
      <c r="E89" s="158">
        <v>0.10589999705553055</v>
      </c>
      <c r="F89" s="158">
        <v>0.10589999705553055</v>
      </c>
      <c r="G89" s="158">
        <v>0.10599999874830246</v>
      </c>
      <c r="H89" s="158">
        <v>0.10620000213384628</v>
      </c>
      <c r="I89" s="158">
        <v>0.10570000112056732</v>
      </c>
      <c r="J89" s="158">
        <v>0.10570000112056732</v>
      </c>
      <c r="K89" s="158">
        <v>0.10559999942779541</v>
      </c>
      <c r="L89" s="158">
        <v>0.10570000112056732</v>
      </c>
      <c r="M89" s="158">
        <v>0.10540000349283218</v>
      </c>
      <c r="N89" s="158">
        <v>0.10520000010728836</v>
      </c>
      <c r="O89" s="158">
        <v>0.10490000247955322</v>
      </c>
      <c r="P89" s="158">
        <v>0.1046999990940094</v>
      </c>
      <c r="Q89" s="158">
        <v>0.1046999990940094</v>
      </c>
      <c r="R89" s="158">
        <v>0.1046999990940094</v>
      </c>
      <c r="S89" s="158">
        <v>0.10509999841451645</v>
      </c>
      <c r="T89" s="158">
        <v>0.10520000010728836</v>
      </c>
      <c r="U89" s="158">
        <v>0.10530000180006027</v>
      </c>
      <c r="V89" s="158">
        <f t="shared" si="1"/>
        <v>0.10530000180006027</v>
      </c>
      <c r="W89" s="158">
        <v>0.10530000180006027</v>
      </c>
      <c r="X89" s="158">
        <v>0.10499999672174454</v>
      </c>
      <c r="Y89" s="158">
        <v>0.10480000078678131</v>
      </c>
      <c r="Z89" s="158">
        <v>0.10450000315904617</v>
      </c>
      <c r="AA89" s="158">
        <v>0.10419999808073044</v>
      </c>
      <c r="AB89" s="158">
        <v>0.10409999638795853</v>
      </c>
      <c r="AC89" s="158">
        <v>0.10400000214576721</v>
      </c>
      <c r="AD89" s="158">
        <v>0.10400000214576721</v>
      </c>
      <c r="AE89" s="158">
        <v>0.10409999638795853</v>
      </c>
      <c r="AF89" s="158">
        <v>0.10419999808073044</v>
      </c>
    </row>
    <row r="90" spans="1:32" x14ac:dyDescent="0.2">
      <c r="A90" s="158" t="s">
        <v>241</v>
      </c>
      <c r="B90" s="158">
        <v>0.10740000009536743</v>
      </c>
      <c r="C90" s="158">
        <v>0.10700000077486038</v>
      </c>
      <c r="D90" s="158">
        <v>0.10700000077486038</v>
      </c>
      <c r="E90" s="158">
        <v>0.10670000314712524</v>
      </c>
      <c r="F90" s="158">
        <v>0.10660000145435333</v>
      </c>
      <c r="G90" s="158">
        <v>0.10689999908208847</v>
      </c>
      <c r="H90" s="158">
        <v>0.10670000314712524</v>
      </c>
      <c r="I90" s="158">
        <v>0.10660000145435333</v>
      </c>
      <c r="J90" s="158">
        <v>0.10649999976158142</v>
      </c>
      <c r="K90" s="158">
        <v>0.10649999976158142</v>
      </c>
      <c r="L90" s="158">
        <v>0.10679999738931656</v>
      </c>
      <c r="M90" s="158">
        <v>0.1062999963760376</v>
      </c>
      <c r="N90" s="158">
        <v>0.10599999874830246</v>
      </c>
      <c r="O90" s="158">
        <v>0.10580000281333923</v>
      </c>
      <c r="P90" s="158">
        <v>0.1054999977350235</v>
      </c>
      <c r="Q90" s="158">
        <v>0.1054999977350235</v>
      </c>
      <c r="R90" s="158">
        <v>0.10559999942779541</v>
      </c>
      <c r="S90" s="158">
        <v>0.10570000112056732</v>
      </c>
      <c r="T90" s="158">
        <v>0.10599999874830246</v>
      </c>
      <c r="U90" s="158">
        <v>0.10610000044107437</v>
      </c>
      <c r="V90" s="158">
        <f t="shared" si="1"/>
        <v>0.10610000044107437</v>
      </c>
      <c r="W90" s="158">
        <v>0.10610000044107437</v>
      </c>
      <c r="X90" s="158">
        <v>0.10580000281333923</v>
      </c>
      <c r="Y90" s="158">
        <v>0.1054999977350235</v>
      </c>
      <c r="Z90" s="158">
        <v>0.10530000180006027</v>
      </c>
      <c r="AA90" s="158">
        <v>0.10499999672174454</v>
      </c>
      <c r="AB90" s="158">
        <v>0.10490000247955322</v>
      </c>
      <c r="AC90" s="158">
        <v>0.10480000078678131</v>
      </c>
      <c r="AD90" s="158">
        <v>0.10490000247955322</v>
      </c>
      <c r="AE90" s="158">
        <v>0.10480000078678131</v>
      </c>
      <c r="AF90" s="158">
        <v>0.10499999672174454</v>
      </c>
    </row>
    <row r="91" spans="1:32" x14ac:dyDescent="0.2">
      <c r="A91" s="158" t="s">
        <v>242</v>
      </c>
      <c r="B91" s="158">
        <v>0.10719999670982361</v>
      </c>
      <c r="C91" s="158">
        <v>0.10660000145435333</v>
      </c>
      <c r="D91" s="158">
        <v>0.10639999806880951</v>
      </c>
      <c r="E91" s="158">
        <v>0.10639999806880951</v>
      </c>
      <c r="F91" s="158">
        <v>0.10620000213384628</v>
      </c>
      <c r="G91" s="158">
        <v>0.10639999806880951</v>
      </c>
      <c r="H91" s="158">
        <v>0.10620000213384628</v>
      </c>
      <c r="I91" s="158">
        <v>0.10610000044107437</v>
      </c>
      <c r="J91" s="158">
        <v>0.10599999874830246</v>
      </c>
      <c r="K91" s="158">
        <v>0.10610000044107437</v>
      </c>
      <c r="L91" s="158">
        <v>0.10599999874830246</v>
      </c>
      <c r="M91" s="158">
        <v>0.10580000281333923</v>
      </c>
      <c r="N91" s="158">
        <v>0.1054999977350235</v>
      </c>
      <c r="O91" s="158">
        <v>0.10540000349283218</v>
      </c>
      <c r="P91" s="158">
        <v>0.10499999672174454</v>
      </c>
      <c r="Q91" s="158">
        <v>0.10509999841451645</v>
      </c>
      <c r="R91" s="158">
        <v>0.10509999841451645</v>
      </c>
      <c r="S91" s="158">
        <v>0.10520000010728836</v>
      </c>
      <c r="T91" s="158">
        <v>0.1054999977350235</v>
      </c>
      <c r="U91" s="158">
        <v>0.10559999942779541</v>
      </c>
      <c r="V91" s="158">
        <f t="shared" si="1"/>
        <v>0.10559999942779541</v>
      </c>
      <c r="W91" s="158">
        <v>0.10559999942779541</v>
      </c>
      <c r="X91" s="158">
        <v>0.10540000349283218</v>
      </c>
      <c r="Y91" s="158">
        <v>0.10509999841451645</v>
      </c>
      <c r="Z91" s="158">
        <v>0.10490000247955322</v>
      </c>
      <c r="AA91" s="158">
        <v>0.10459999740123749</v>
      </c>
      <c r="AB91" s="158">
        <v>0.10440000146627426</v>
      </c>
      <c r="AC91" s="158">
        <v>0.10440000146627426</v>
      </c>
      <c r="AD91" s="158">
        <v>0.10440000146627426</v>
      </c>
      <c r="AE91" s="158">
        <v>0.10440000146627426</v>
      </c>
      <c r="AF91" s="158">
        <v>0.10459999740123749</v>
      </c>
    </row>
    <row r="92" spans="1:32" x14ac:dyDescent="0.2">
      <c r="A92" s="158" t="s">
        <v>243</v>
      </c>
      <c r="B92" s="158">
        <v>0.10740000009536743</v>
      </c>
      <c r="C92" s="158">
        <v>0.10679999738931656</v>
      </c>
      <c r="D92" s="158">
        <v>0.10660000145435333</v>
      </c>
      <c r="E92" s="158">
        <v>0.10639999806880951</v>
      </c>
      <c r="F92" s="158">
        <v>0.1062999963760376</v>
      </c>
      <c r="G92" s="158">
        <v>0.10649999976158142</v>
      </c>
      <c r="H92" s="158">
        <v>0.1062999963760376</v>
      </c>
      <c r="I92" s="158">
        <v>0.10620000213384628</v>
      </c>
      <c r="J92" s="158">
        <v>0.10610000044107437</v>
      </c>
      <c r="K92" s="158">
        <v>0.10610000044107437</v>
      </c>
      <c r="L92" s="158">
        <v>0.10599999874830246</v>
      </c>
      <c r="M92" s="158">
        <v>0.10580000281333923</v>
      </c>
      <c r="N92" s="158">
        <v>0.1054999977350235</v>
      </c>
      <c r="O92" s="158">
        <v>0.10530000180006027</v>
      </c>
      <c r="P92" s="158">
        <v>0.10499999672174454</v>
      </c>
      <c r="Q92" s="158">
        <v>0.10499999672174454</v>
      </c>
      <c r="R92" s="158">
        <v>0.10509999841451645</v>
      </c>
      <c r="S92" s="158">
        <v>0.10520000010728836</v>
      </c>
      <c r="T92" s="158">
        <v>0.1054999977350235</v>
      </c>
      <c r="U92" s="158">
        <v>0.10559999942779541</v>
      </c>
      <c r="V92" s="158">
        <f t="shared" si="1"/>
        <v>0.10559999942779541</v>
      </c>
      <c r="W92" s="158">
        <v>0.10559999942779541</v>
      </c>
      <c r="X92" s="158">
        <v>0.10530000180006027</v>
      </c>
      <c r="Y92" s="158">
        <v>0.10509999841451645</v>
      </c>
      <c r="Z92" s="158">
        <v>0.10480000078678131</v>
      </c>
      <c r="AA92" s="158">
        <v>0.10450000315904617</v>
      </c>
      <c r="AB92" s="158">
        <v>0.10440000146627426</v>
      </c>
      <c r="AC92" s="158">
        <v>0.10429999977350235</v>
      </c>
      <c r="AD92" s="158">
        <v>0.10429999977350235</v>
      </c>
      <c r="AE92" s="158">
        <v>0.10429999977350235</v>
      </c>
      <c r="AF92" s="158">
        <v>0.10450000315904617</v>
      </c>
    </row>
    <row r="93" spans="1:32" x14ac:dyDescent="0.2">
      <c r="A93" s="158" t="s">
        <v>244</v>
      </c>
      <c r="B93" s="158">
        <v>0.10750000178813934</v>
      </c>
      <c r="C93" s="158">
        <v>0.10639999806880951</v>
      </c>
      <c r="D93" s="158">
        <v>0.10639999806880951</v>
      </c>
      <c r="E93" s="158">
        <v>0.10670000314712524</v>
      </c>
      <c r="F93" s="158">
        <v>0.10639999806880951</v>
      </c>
      <c r="G93" s="158">
        <v>0.10660000145435333</v>
      </c>
      <c r="H93" s="158">
        <v>0.1062999963760376</v>
      </c>
      <c r="I93" s="158">
        <v>0.10620000213384628</v>
      </c>
      <c r="J93" s="158">
        <v>0.10599999874830246</v>
      </c>
      <c r="K93" s="158">
        <v>0.10599999874830246</v>
      </c>
      <c r="L93" s="158">
        <v>0.10599999874830246</v>
      </c>
      <c r="M93" s="158">
        <v>0.10570000112056732</v>
      </c>
      <c r="N93" s="158">
        <v>0.1054999977350235</v>
      </c>
      <c r="O93" s="158">
        <v>0.10530000180006027</v>
      </c>
      <c r="P93" s="158">
        <v>0.10490000247955322</v>
      </c>
      <c r="Q93" s="158">
        <v>0.10490000247955322</v>
      </c>
      <c r="R93" s="158">
        <v>0.10499999672174454</v>
      </c>
      <c r="S93" s="158">
        <v>0.10509999841451645</v>
      </c>
      <c r="T93" s="158">
        <v>0.10530000180006027</v>
      </c>
      <c r="U93" s="158">
        <v>0.10530000180006027</v>
      </c>
      <c r="V93" s="158">
        <f t="shared" si="1"/>
        <v>0.10530000180006027</v>
      </c>
      <c r="W93" s="158">
        <v>0.10530000180006027</v>
      </c>
      <c r="X93" s="158">
        <v>0.10499999672174454</v>
      </c>
      <c r="Y93" s="158">
        <v>0.1046999990940094</v>
      </c>
      <c r="Z93" s="158">
        <v>0.10450000315904617</v>
      </c>
      <c r="AA93" s="158">
        <v>0.10419999808073044</v>
      </c>
      <c r="AB93" s="158">
        <v>0.10400000214576721</v>
      </c>
      <c r="AC93" s="158">
        <v>0.10400000214576721</v>
      </c>
      <c r="AD93" s="158">
        <v>0.10409999638795853</v>
      </c>
      <c r="AE93" s="158">
        <v>0.1039000004529953</v>
      </c>
      <c r="AF93" s="158">
        <v>0.10350000113248825</v>
      </c>
    </row>
    <row r="94" spans="1:32" x14ac:dyDescent="0.2">
      <c r="A94" s="156" t="s">
        <v>492</v>
      </c>
      <c r="B94" s="156">
        <f>$B$55-AVERAGE($B$58,$B$59,$B$60,$B$61,$B$62,$B$63,$B$64,$B$65,$B$66,$B$67,$B$68,$B$69,$B$70,$B$71,$B$72,$B$73,$B$74,$B$75,$B$76,$B$77,$B$78,$B$79,$B$80,$B$81,$B$82,$B$83,$B$84,$B$85,$B$86,$B$87,$B$88,$B$89,$B$90,$B$91,$B$92,$B$93)</f>
        <v>3.6777746346261797E-3</v>
      </c>
      <c r="C94" s="156">
        <f>$C$55-AVERAGE($C$58,$C$59,$C$60,$C$61,$C$62,$C$63,$C$64,$C$65,$C$66,$C$67,$C$68,$C$69,$C$70,$C$71,$C$72,$C$73,$C$74,$C$75,$C$76,$C$77,$C$78,$C$79,$C$80,$C$81,$C$82,$C$83,$C$84,$C$85,$C$86,$C$87,$C$88,$C$89,$C$90,$C$91,$C$92,$C$93)</f>
        <v>4.6444442123174667E-3</v>
      </c>
      <c r="D94" s="156">
        <f>$D$55-AVERAGE($D$58,$D$59,$D$60,$D$61,$D$62,$D$63,$D$64,$D$65,$D$66,$D$67,$D$68,$D$69,$D$70,$D$71,$D$72,$D$73,$D$74,$D$75,$D$76,$D$77,$D$78,$D$79,$D$80,$D$81,$D$82,$D$83,$D$84,$D$85,$D$86,$D$87,$D$88,$D$89,$D$90,$D$91,$D$92,$D$93)</f>
        <v>3.9444451944695563E-3</v>
      </c>
      <c r="E94" s="156">
        <f>$E$55-AVERAGE($E$58,$E$59,$E$60,$E$61,$E$62,$E$63,$E$64,$E$65,$E$66,$E$67,$E$68,$E$69,$E$70,$E$71,$E$72,$E$73,$E$74,$E$75,$E$76,$E$77,$E$78,$E$79,$E$80,$E$81,$E$82,$E$83,$E$84,$E$85,$E$86,$E$87,$E$88,$E$89,$E$90,$E$91,$E$92,$E$93)</f>
        <v>4.8694469862514134E-3</v>
      </c>
      <c r="F94" s="156">
        <f>$F$55-AVERAGE($F$58,$F$59,$F$60,$F$61,$F$62,$F$63,$F$64,$F$65,$F$66,$F$67,$F$68,$F$69,$F$70,$F$71,$F$72,$F$73,$F$74,$F$75,$F$76,$F$77,$F$78,$F$79,$F$80,$F$81,$F$82,$F$83,$F$84,$F$85,$F$86,$F$87,$F$88,$F$89,$F$90,$F$91,$F$92,$F$93)</f>
        <v>6.06944370600912E-3</v>
      </c>
      <c r="G94" s="156">
        <f>$G$55-AVERAGE($G$58,$G$59,$G$60,$G$61,$G$62,$G$63,$G$64,$G$65,$G$66,$G$67,$G$68,$G$69,$G$70,$G$71,$G$72,$G$73,$G$74,$G$75,$G$76,$G$77,$G$78,$G$79,$G$80,$G$81,$G$82,$G$83,$G$84,$G$85,$G$86,$G$87,$G$88,$G$89,$G$90,$G$91,$G$92,$G$93)</f>
        <v>8.788890308803976E-3</v>
      </c>
      <c r="H94" s="156">
        <f>$H$55-AVERAGE($H$58,$H$59,$H$60,$H$61,$H$62,$H$63,$H$64,$H$65,$H$66,$H$67,$H$68,$H$69,$H$70,$H$71,$H$72,$H$73,$H$74,$H$75,$H$76,$H$77,$H$78,$H$79,$H$80,$H$81,$H$82,$H$83,$H$84,$H$85,$H$86,$H$87,$H$88,$H$89,$H$90,$H$91,$H$92,$H$93)</f>
        <v>1.3108331089218453E-2</v>
      </c>
      <c r="I94" s="156">
        <f>$I$55-AVERAGE($I$58,$I$59,$I$60,$I$61,$I$62,$I$63,$I$64,$I$65,$I$66,$I$67,$I$68,$I$69,$I$70,$I$71,$I$72,$I$73,$I$74,$I$75,$I$76,$I$77,$I$78,$I$79,$I$80,$I$81,$I$82,$I$83,$I$84,$I$85,$I$86,$I$87,$I$88,$I$89,$I$90,$I$91,$I$92,$I$93)</f>
        <v>2.0844451669189662E-2</v>
      </c>
      <c r="J94" s="156">
        <f>$J$55-AVERAGE($J$58,$J$59,$J$60,$J$61,$J$62,$J$63,$J$64,$J$65,$J$66,$J$67,$J$68,$J$69,$J$70,$J$71,$J$72,$J$73,$J$74,$J$75,$J$76,$J$77,$J$78,$J$79,$J$80,$J$81,$J$82,$J$83,$J$84,$J$85,$J$86,$J$87,$J$88,$J$89,$J$90,$J$91,$J$92,$J$93)</f>
        <v>3.2394438361128167E-2</v>
      </c>
      <c r="K94" s="156">
        <f>$K$55-AVERAGE($K$58,$K$59,$K$60,$K$61,$K$62,$K$63,$K$64,$K$65,$K$66,$K$67,$K$68,$K$69,$K$70,$K$71,$K$72,$K$73,$K$74,$K$75,$K$76,$K$77,$K$78,$K$79,$K$80,$K$81,$K$82,$K$83,$K$84,$K$85,$K$86,$K$87,$K$88,$K$89,$K$90,$K$91,$K$92,$K$93)</f>
        <v>4.9719447890917465E-2</v>
      </c>
      <c r="L94" s="156">
        <f>$L$55-AVERAGE($L$58,$L$59,$L$60,$L$61,$L$62,$L$63,$L$64,$L$65,$L$66,$L$67,$L$68,$L$69,$L$70,$L$71,$L$72,$L$73,$L$74,$L$75,$L$76,$L$77,$L$78,$L$79,$L$80,$L$81,$L$82,$L$83,$L$84,$L$85,$L$86,$L$87,$L$88,$L$89,$L$90,$L$91,$L$92,$L$93)</f>
        <v>7.4094444099399775E-2</v>
      </c>
      <c r="M94" s="156">
        <f>$M$55-AVERAGE($M$58,$M$59,$M$60,$M$61,$M$62,$M$63,$M$64,$M$65,$M$66,$M$67,$M$68,$M$69,$M$70,$M$71,$M$72,$M$73,$M$74,$M$75,$M$76,$M$77,$M$78,$M$79,$M$80,$M$81,$M$82,$M$83,$M$84,$M$85,$M$86,$M$87,$M$88,$M$89,$M$90,$M$91,$M$92,$M$93)</f>
        <v>0.10537778172228071</v>
      </c>
      <c r="N94" s="156">
        <f>$N$55-AVERAGE($N$58,$N$59,$N$60,$N$61,$N$62,$N$63,$N$64,$N$65,$N$66,$N$67,$N$68,$N$69,$N$70,$N$71,$N$72,$N$73,$N$74,$N$75,$N$76,$N$77,$N$78,$N$79,$N$80,$N$81,$N$82,$N$83,$N$84,$N$85,$N$86,$N$87,$N$88,$N$89,$N$90,$N$91,$N$92,$N$93)</f>
        <v>0.14282777243190342</v>
      </c>
      <c r="O94" s="156">
        <f>$O$55-AVERAGE($O$58,$O$59,$O$60,$O$61,$O$62,$O$63,$O$64,$O$65,$O$66,$O$67,$O$68,$O$69,$O$70,$O$71,$O$72,$O$73,$O$74,$O$75,$O$76,$O$77,$O$78,$O$79,$O$80,$O$81,$O$82,$O$83,$O$84,$O$85,$O$86,$O$87,$O$88,$O$89,$O$90,$O$91,$O$92,$O$93)</f>
        <v>0.18710277333027786</v>
      </c>
      <c r="P94" s="156">
        <f>$P$55-AVERAGE($P$58,$P$59,$P$60,$P$61,$P$62,$P$63,$P$64,$P$65,$P$66,$P$67,$P$68,$P$69,$P$70,$P$71,$P$72,$P$73,$P$74,$P$75,$P$76,$P$77,$P$78,$P$79,$P$80,$P$81,$P$82,$P$83,$P$84,$P$85,$P$86,$P$87,$P$88,$P$89,$P$90,$P$91,$P$92,$P$93)</f>
        <v>0.23301945419775116</v>
      </c>
      <c r="Q94" s="156">
        <f>$Q$55-AVERAGE($Q$58,$Q$59,$Q$60,$Q$61,$Q$62,$Q$63,$Q$64,$Q$65,$Q$66,$Q$67,$Q$68,$Q$69,$Q$70,$Q$71,$Q$72,$Q$73,$Q$74,$Q$75,$Q$76,$Q$77,$Q$78,$Q$79,$Q$80,$Q$81,$Q$82,$Q$83,$Q$84,$Q$85,$Q$86,$Q$87,$Q$88,$Q$89,$Q$90,$Q$91,$Q$92,$Q$93)</f>
        <v>0.27952222960690659</v>
      </c>
      <c r="R94" s="156">
        <f>$R$55-AVERAGE($R$58,$R$59,$R$60,$R$61,$R$62,$R$63,$R$64,$R$65,$R$66,$R$67,$R$68,$R$69,$R$70,$R$71,$R$72,$R$73,$R$74,$R$75,$R$76,$R$77,$R$78,$R$79,$R$80,$R$81,$R$82,$R$83,$R$84,$R$85,$R$86,$R$87,$R$88,$R$89,$R$90,$R$91,$R$92,$R$93)</f>
        <v>0.3289166757216056</v>
      </c>
      <c r="S94" s="156">
        <f>$S$55-AVERAGE($S$58,$S$59,$S$60,$S$61,$S$62,$S$63,$S$64,$S$65,$S$66,$S$67,$S$68,$S$69,$S$70,$S$71,$S$72,$S$73,$S$74,$S$75,$S$76,$S$77,$S$78,$S$79,$S$80,$S$81,$S$82,$S$83,$S$84,$S$85,$S$86,$S$87,$S$88,$S$89,$S$90,$S$91,$S$92,$S$93)</f>
        <v>0.36014443118539119</v>
      </c>
      <c r="T94" s="156">
        <f>$T$55-AVERAGE($T$58,$T$59,$T$60,$T$61,$T$62,$T$63,$T$64,$T$65,$T$66,$T$67,$T$68,$T$69,$T$70,$T$71,$T$72,$T$73,$T$74,$T$75,$T$76,$T$77,$T$78,$T$79,$T$80,$T$81,$T$82,$T$83,$T$84,$T$85,$T$86,$T$87,$T$88,$T$89,$T$90,$T$91,$T$92,$T$93)</f>
        <v>0.38623334653675556</v>
      </c>
      <c r="U94" s="156">
        <f>$U$55-AVERAGE($U$58,$U$59,$U$60,$U$61,$U$62,$U$63,$U$64,$U$65,$U$66,$U$67,$U$68,$U$69,$U$70,$U$71,$U$72,$U$73,$U$74,$U$75,$U$76,$U$77,$U$78,$U$79,$U$80,$U$81,$U$82,$U$83,$U$84,$U$85,$U$86,$U$87,$U$88,$U$89,$U$90,$U$91,$U$92,$U$93)</f>
        <v>0.3972666445705626</v>
      </c>
      <c r="V94" s="156">
        <f>$V$55-AVERAGE($V$58,$V$59,$V$60,$V$61,$V$62,$V$63,$V$64,$V$65,$V$66,$V$67,$V$68,$V$69,$V$70,$V$71,$V$72,$V$73,$V$74,$V$75,$V$76,$V$77,$V$78,$V$79,$V$80,$V$81,$V$82,$V$83,$V$84,$V$85,$V$86,$V$87,$V$88,$V$89,$V$90,$V$91,$V$92,$V$93)</f>
        <v>0.40584858558658099</v>
      </c>
      <c r="W94" s="156">
        <f>$W$55-AVERAGE($W$58,$W$59,$W$60,$W$61,$W$62,$W$63,$W$64,$W$65,$W$66,$W$67,$W$68,$W$69,$W$70,$W$71,$W$72,$W$73,$W$74,$W$75,$W$76,$W$77,$W$78,$W$79,$W$80,$W$81,$W$82,$W$83,$W$84,$W$85,$W$86,$W$87,$W$88,$W$89,$W$90,$W$91,$W$92,$W$93)</f>
        <v>0.41443052660259938</v>
      </c>
      <c r="X94" s="156">
        <f>$X$55-AVERAGE($X$58,$X$59,$X$60,$X$61,$X$62,$X$63,$X$64,$X$65,$X$66,$X$67,$X$68,$X$69,$X$70,$X$71,$X$72,$X$73,$X$74,$X$75,$X$76,$X$77,$X$78,$X$79,$X$80,$X$81,$X$82,$X$83,$X$84,$X$85,$X$86,$X$87,$X$88,$X$89,$X$90,$X$91,$X$92,$X$93)</f>
        <v>0.42598890409701401</v>
      </c>
      <c r="Y94" s="156">
        <f>$Y$55-AVERAGE($Y$58,$Y$59,$Y$60,$Y$61,$Y$62,$Y$63,$Y$64,$Y$65,$Y$66,$Y$67,$Y$68,$Y$69,$Y$70,$Y$71,$Y$72,$Y$73,$Y$74,$Y$75,$Y$76,$Y$77,$Y$78,$Y$79,$Y$80,$Y$81,$Y$82,$Y$83,$Y$84,$Y$85,$Y$86,$Y$87,$Y$88,$Y$89,$Y$90,$Y$91,$Y$92,$Y$93)</f>
        <v>0.4310499940895372</v>
      </c>
      <c r="Z94" s="156">
        <f>$Z$55-AVERAGE($Z$58,$Z$59,$Z$60,$Z$61,$Z$62,$Z$63,$Z$64,$Z$65,$Z$66,$Z$67,$Z$68,$Z$69,$Z$70,$Z$71,$Z$72,$Z$73,$Z$74,$Z$75,$Z$76,$Z$77,$Z$78,$Z$79,$Z$80,$Z$81,$Z$82,$Z$83,$Z$84,$Z$85,$Z$86,$Z$87,$Z$88,$Z$89,$Z$90,$Z$91,$Z$92,$Z$93)</f>
        <v>0.43101113082634079</v>
      </c>
      <c r="AA94" s="156">
        <f>$AA$55-AVERAGE($AA$58,$AA$59,$AA$60,$AA$61,$AA$62,$AA$63,$AA$64,$AA$65,$AA$66,$AA$67,$AA$68,$AA$69,$AA$70,$AA$71,$AA$72,$AA$73,$AA$74,$AA$75,$AA$76,$AA$77,$AA$78,$AA$79,$AA$80,$AA$81,$AA$82,$AA$83,$AA$84,$AA$85,$AA$86,$AA$87,$AA$88,$AA$89,$AA$90,$AA$91,$AA$92,$AA$93)</f>
        <v>0.43432779216931927</v>
      </c>
      <c r="AB94" s="156">
        <f>$AB$55-AVERAGE($AB$58,$AB$59,$AB$60,$AB$61,$AB$62,$AB$63,$AB$64,$AB$65,$AB$66,$AB$67,$AB$68,$AB$69,$AB$70,$AB$71,$AB$72,$AB$73,$AB$74,$AB$75,$AB$76,$AB$77,$AB$78,$AB$79,$AB$80,$AB$81,$AB$82,$AB$83,$AB$84,$AB$85,$AB$86,$AB$87,$AB$88,$AB$89,$AB$90,$AB$91,$AB$92,$AB$93)</f>
        <v>0.43662779902418453</v>
      </c>
      <c r="AC94" s="156">
        <f>$AC$55-AVERAGE($AC$58,$AC$59,$AC$60,$AC$61,$AC$62,$AC$63,$AC$64,$AC$65,$AC$66,$AC$67,$AC$68,$AC$69,$AC$70,$AC$71,$AC$72,$AC$73,$AC$74,$AC$75,$AC$76,$AC$77,$AC$78,$AC$79,$AC$80,$AC$81,$AC$82,$AC$83,$AC$84,$AC$85,$AC$86,$AC$87,$AC$88,$AC$89,$AC$90,$AC$91,$AC$92,$AC$93)</f>
        <v>0.43888058492706883</v>
      </c>
      <c r="AD94" s="156">
        <f>$AD$55-AVERAGE($AD$58,$AD$59,$AD$60,$AD$61,$AD$62,$AD$63,$AD$64,$AD$65,$AD$66,$AD$67,$AD$68,$AD$69,$AD$70,$AD$71,$AD$72,$AD$73,$AD$74,$AD$75,$AD$76,$AD$77,$AD$78,$AD$79,$AD$80,$AD$81,$AD$82,$AD$83,$AD$84,$AD$85,$AD$86,$AD$87,$AD$88,$AD$89,$AD$90,$AD$91,$AD$92,$AD$93)</f>
        <v>0.44350001774728298</v>
      </c>
      <c r="AE94" s="156">
        <f>$AE$55-AVERAGE($AE$58,$AE$59,$AE$60,$AE$61,$AE$62,$AE$63,$AE$64,$AE$65,$AE$66,$AE$67,$AE$68,$AE$69,$AE$70,$AE$71,$AE$72,$AE$73,$AE$74,$AE$75,$AE$76,$AE$77,$AE$78,$AE$79,$AE$80,$AE$81,$AE$82,$AE$83,$AE$84,$AE$85,$AE$86,$AE$87,$AE$88,$AE$89,$AE$90,$AE$91,$AE$92,$AE$93)</f>
        <v>0.45103889972799355</v>
      </c>
      <c r="AF94" s="156">
        <f>$AF$55-AVERAGE($AF$58,$AF$59,$AF$60,$AF$61,$AF$62,$AF$63,$AF$64,$AF$65,$AF$66,$AF$67,$AF$68,$AF$69,$AF$70,$AF$71,$AF$72,$AF$73,$AF$74,$AF$75,$AF$76,$AF$77,$AF$78,$AF$79,$AF$80,$AF$81,$AF$82,$AF$83,$AF$84,$AF$85,$AF$86,$AF$87,$AF$88,$AF$89,$AF$90,$AF$91,$AF$92,$AF$93)</f>
        <v>0.45378888750241864</v>
      </c>
    </row>
    <row r="95" spans="1:32" x14ac:dyDescent="0.2">
      <c r="A95" s="157" t="s">
        <v>493</v>
      </c>
      <c r="B95" s="157">
        <f>$B$56-AVERAGE($B$58,$B$59,$B$60,$B$61,$B$62,$B$63,$B$64,$B$65,$B$66,$B$68,$B$69,$B$70,$B$71,$B$72,$B$73,$B$74,$B$75,$B$76,$B$77,$B$78,$B$79,$B$80,$B$81,$B$82,$B$83,$B$84,$B$85,$B$86,$B$87,$B$88,$B$89,$B$90,$B$91,$B$92,$B$93)</f>
        <v>2.5628560355731439E-3</v>
      </c>
      <c r="C95" s="157">
        <f>$C$56-AVERAGE($C$58,$C$59,$C$60,$C$61,$C$62,$C$63,$C$64,$C$65,$C$66,$C$68,$C$69,$C$70,$C$71,$C$72,$C$73,$C$74,$C$75,$C$76,$C$77,$C$78,$C$79,$C$80,$C$81,$C$82,$C$83,$C$84,$C$85,$C$86,$C$87,$C$88,$C$89,$C$90,$C$91,$C$92,$C$93)</f>
        <v>2.7999973722866583E-3</v>
      </c>
      <c r="D95" s="157">
        <f>$D$56-AVERAGE($D$58,$D$59,$D$60,$D$61,$D$62,$D$63,$D$64,$D$65,$D$66,$D$68,$D$69,$D$70,$D$71,$D$72,$D$73,$D$74,$D$75,$D$76,$D$77,$D$78,$D$79,$D$80,$D$81,$D$82,$D$83,$D$84,$D$85,$D$86,$D$87,$D$88,$D$89,$D$90,$D$91,$D$92,$D$93)</f>
        <v>2.9085685099874276E-3</v>
      </c>
      <c r="E95" s="157">
        <f>$E$56-AVERAGE($E$58,$E$59,$E$60,$E$61,$E$62,$E$63,$E$64,$E$65,$E$66,$E$68,$E$69,$E$70,$E$71,$E$72,$E$73,$E$74,$E$75,$E$76,$E$77,$E$78,$E$79,$E$80,$E$81,$E$82,$E$83,$E$84,$E$85,$E$86,$E$87,$E$88,$E$89,$E$90,$E$91,$E$92,$E$93)</f>
        <v>3.7285685539245605E-3</v>
      </c>
      <c r="F95" s="157">
        <f>$F$56-AVERAGE($F$58,$F$59,$F$60,$F$61,$F$62,$F$63,$F$64,$F$65,$F$66,$F$68,$F$69,$F$70,$F$71,$F$72,$F$73,$F$74,$F$75,$F$76,$F$77,$F$78,$F$79,$F$80,$F$81,$F$82,$F$83,$F$84,$F$85,$F$86,$F$87,$F$88,$F$89,$F$90,$F$91,$F$92,$F$93)</f>
        <v>5.2285703165190628E-3</v>
      </c>
      <c r="G95" s="157">
        <f>$G$56-AVERAGE($G$58,$G$59,$G$60,$G$61,$G$62,$G$63,$G$64,$G$65,$G$66,$G$68,$G$69,$G$70,$G$71,$G$72,$G$73,$G$74,$G$75,$G$76,$G$77,$G$78,$G$79,$G$80,$G$81,$G$82,$G$83,$G$84,$G$85,$G$86,$G$87,$G$88,$G$89,$G$90,$G$91,$G$92,$G$93)</f>
        <v>8.2542845181056423E-3</v>
      </c>
      <c r="H95" s="157">
        <f>$H$56-AVERAGE($H$58,$H$59,$H$60,$H$61,$H$62,$H$63,$H$64,$H$65,$H$66,$H$68,$H$69,$H$70,$H$71,$H$72,$H$73,$H$74,$H$75,$H$76,$H$77,$H$78,$H$79,$H$80,$H$81,$H$82,$H$83,$H$84,$H$85,$H$86,$H$87,$H$88,$H$89,$H$90,$H$91,$H$92,$H$93)</f>
        <v>1.3365715316363741E-2</v>
      </c>
      <c r="I95" s="157">
        <f>$I$56-AVERAGE($I$58,$I$59,$I$60,$I$61,$I$62,$I$63,$I$64,$I$65,$I$66,$I$68,$I$69,$I$70,$I$71,$I$72,$I$73,$I$74,$I$75,$I$76,$I$77,$I$78,$I$79,$I$80,$I$81,$I$82,$I$83,$I$84,$I$85,$I$86,$I$87,$I$88,$I$89,$I$90,$I$91,$I$92,$I$93)</f>
        <v>2.1999996049063553E-2</v>
      </c>
      <c r="J95" s="157">
        <f>$J$56-AVERAGE($J$58,$J$59,$J$60,$J$61,$J$62,$J$63,$J$64,$J$65,$J$66,$J$68,$J$69,$J$70,$J$71,$J$72,$J$73,$J$74,$J$75,$J$76,$J$77,$J$78,$J$79,$J$80,$J$81,$J$82,$J$83,$J$84,$J$85,$J$86,$J$87,$J$88,$J$89,$J$90,$J$91,$J$92,$J$93)</f>
        <v>3.525428239788328E-2</v>
      </c>
      <c r="K95" s="157">
        <f>$K$56-AVERAGE($K$58,$K$59,$K$60,$K$61,$K$62,$K$63,$K$64,$K$65,$K$66,$K$68,$K$69,$K$70,$K$71,$K$72,$K$73,$K$74,$K$75,$K$76,$K$77,$K$78,$K$79,$K$80,$K$81,$K$82,$K$83,$K$84,$K$85,$K$86,$K$87,$K$88,$K$89,$K$90,$K$91,$K$92,$K$93)</f>
        <v>5.407143022332872E-2</v>
      </c>
      <c r="L95" s="157">
        <f>$L$56-AVERAGE($L$58,$L$59,$L$60,$L$61,$L$62,$L$63,$L$64,$L$65,$L$66,$L$68,$L$69,$L$70,$L$71,$L$72,$L$73,$L$74,$L$75,$L$76,$L$77,$L$78,$L$79,$L$80,$L$81,$L$82,$L$83,$L$84,$L$85,$L$86,$L$87,$L$88,$L$89,$L$90,$L$91,$L$92,$L$93)</f>
        <v>7.9662860504218516E-2</v>
      </c>
      <c r="M95" s="157">
        <f>$M$56-AVERAGE($M$58,$M$59,$M$60,$M$61,$M$62,$M$63,$M$64,$M$65,$M$66,$M$68,$M$69,$M$70,$M$71,$M$72,$M$73,$M$74,$M$75,$M$76,$M$77,$M$78,$M$79,$M$80,$M$81,$M$82,$M$83,$M$84,$M$85,$M$86,$M$87,$M$88,$M$89,$M$90,$M$91,$M$92,$M$93)</f>
        <v>0.11254571910415377</v>
      </c>
      <c r="N95" s="157">
        <f>$N$56-AVERAGE($N$58,$N$59,$N$60,$N$61,$N$62,$N$63,$N$64,$N$65,$N$66,$N$68,$N$69,$N$70,$N$71,$N$72,$N$73,$N$74,$N$75,$N$76,$N$77,$N$78,$N$79,$N$80,$N$81,$N$82,$N$83,$N$84,$N$85,$N$86,$N$87,$N$88,$N$89,$N$90,$N$91,$N$92,$N$93)</f>
        <v>0.15110285644020355</v>
      </c>
      <c r="O95" s="157">
        <f>$O$56-AVERAGE($O$58,$O$59,$O$60,$O$61,$O$62,$O$63,$O$64,$O$65,$O$66,$O$68,$O$69,$O$70,$O$71,$O$72,$O$73,$O$74,$O$75,$O$76,$O$77,$O$78,$O$79,$O$80,$O$81,$O$82,$O$83,$O$84,$O$85,$O$86,$O$87,$O$88,$O$89,$O$90,$O$91,$O$92,$O$93)</f>
        <v>0.19748000587735859</v>
      </c>
      <c r="P95" s="157">
        <f>$P$56-AVERAGE($P$58,$P$59,$P$60,$P$61,$P$62,$P$63,$P$64,$P$65,$P$66,$P$68,$P$69,$P$70,$P$71,$P$72,$P$73,$P$74,$P$75,$P$76,$P$77,$P$78,$P$79,$P$80,$P$81,$P$82,$P$83,$P$84,$P$85,$P$86,$P$87,$P$88,$P$89,$P$90,$P$91,$P$92,$P$93)</f>
        <v>0.24408855885267258</v>
      </c>
      <c r="Q95" s="157">
        <f>$Q$56-AVERAGE($Q$58,$Q$59,$Q$60,$Q$61,$Q$62,$Q$63,$Q$64,$Q$65,$Q$66,$Q$68,$Q$69,$Q$70,$Q$71,$Q$72,$Q$73,$Q$74,$Q$75,$Q$76,$Q$77,$Q$78,$Q$79,$Q$80,$Q$81,$Q$82,$Q$83,$Q$84,$Q$85,$Q$86,$Q$87,$Q$88,$Q$89,$Q$90,$Q$91,$Q$92,$Q$93)</f>
        <v>0.29658285421984537</v>
      </c>
      <c r="R95" s="157">
        <f>$R$56-AVERAGE($R$58,$R$59,$R$60,$R$61,$R$62,$R$63,$R$64,$R$65,$R$66,$R$68,$R$69,$R$70,$R$71,$R$72,$R$73,$R$74,$R$75,$R$76,$R$77,$R$78,$R$79,$R$80,$R$81,$R$82,$R$83,$R$84,$R$85,$R$86,$R$87,$R$88,$R$89,$R$90,$R$91,$R$92,$R$93)</f>
        <v>0.33657713149275098</v>
      </c>
      <c r="S95" s="157">
        <f>$S$56-AVERAGE($S$58,$S$59,$S$60,$S$61,$S$62,$S$63,$S$64,$S$65,$S$66,$S$68,$S$69,$S$70,$S$71,$S$72,$S$73,$S$74,$S$75,$S$76,$S$77,$S$78,$S$79,$S$80,$S$81,$S$82,$S$83,$S$84,$S$85,$S$86,$S$87,$S$88,$S$89,$S$90,$S$91,$S$92,$S$93)</f>
        <v>0.3732114268200738</v>
      </c>
      <c r="T95" s="157">
        <f>$T$56-AVERAGE($T$58,$T$59,$T$60,$T$61,$T$62,$T$63,$T$64,$T$65,$T$66,$T$68,$T$69,$T$70,$T$71,$T$72,$T$73,$T$74,$T$75,$T$76,$T$77,$T$78,$T$79,$T$80,$T$81,$T$82,$T$83,$T$84,$T$85,$T$86,$T$87,$T$88,$T$89,$T$90,$T$91,$T$92,$T$93)</f>
        <v>0.3920885635273797</v>
      </c>
      <c r="U95" s="157">
        <f>$U$56-AVERAGE($U$58,$U$59,$U$60,$U$61,$U$62,$U$63,$U$64,$U$65,$U$66,$U$68,$U$69,$U$70,$U$71,$U$72,$U$73,$U$74,$U$75,$U$76,$U$77,$U$78,$U$79,$U$80,$U$81,$U$82,$U$83,$U$84,$U$85,$U$86,$U$87,$U$88,$U$89,$U$90,$U$91,$U$92,$U$93)</f>
        <v>0.40073143414088658</v>
      </c>
      <c r="V95" s="157">
        <f>$V$56-AVERAGE($V$58,$V$59,$V$60,$V$61,$V$62,$V$63,$V$64,$V$65,$V$66,$V$68,$V$69,$V$70,$V$71,$V$72,$V$73,$V$74,$V$75,$V$76,$V$77,$V$78,$V$79,$V$80,$V$81,$V$82,$V$83,$V$84,$V$85,$V$86,$V$87,$V$88,$V$89,$V$90,$V$91,$V$92,$V$93)</f>
        <v>0.40745856463909147</v>
      </c>
      <c r="W95" s="157">
        <f>$W$56-AVERAGE($W$58,$W$59,$W$60,$W$61,$W$62,$W$63,$W$64,$W$65,$W$66,$W$68,$W$69,$W$70,$W$71,$W$72,$W$73,$W$74,$W$75,$W$76,$W$77,$W$78,$W$79,$W$80,$W$81,$W$82,$W$83,$W$84,$W$85,$W$86,$W$87,$W$88,$W$89,$W$90,$W$91,$W$92,$W$93)</f>
        <v>0.41418569513729642</v>
      </c>
      <c r="X95" s="157">
        <f>$X$56-AVERAGE($X$58,$X$59,$X$60,$X$61,$X$62,$X$63,$X$64,$X$65,$X$66,$X$68,$X$69,$X$70,$X$71,$X$72,$X$73,$X$74,$X$75,$X$76,$X$77,$X$78,$X$79,$X$80,$X$81,$X$82,$X$83,$X$84,$X$85,$X$86,$X$87,$X$88,$X$89,$X$90,$X$91,$X$92,$X$93)</f>
        <v>0.42563715130090712</v>
      </c>
      <c r="Y95" s="157">
        <f>$Y$56-AVERAGE($Y$58,$Y$59,$Y$60,$Y$61,$Y$62,$Y$63,$Y$64,$Y$65,$Y$66,$Y$68,$Y$69,$Y$70,$Y$71,$Y$72,$Y$73,$Y$74,$Y$75,$Y$76,$Y$77,$Y$78,$Y$79,$Y$80,$Y$81,$Y$82,$Y$83,$Y$84,$Y$85,$Y$86,$Y$87,$Y$88,$Y$89,$Y$90,$Y$91,$Y$92,$Y$93)</f>
        <v>0.42720571692500797</v>
      </c>
      <c r="Z95" s="157">
        <f>$Z$56-AVERAGE($Z$58,$Z$59,$Z$60,$Z$61,$Z$62,$Z$63,$Z$64,$Z$65,$Z$66,$Z$68,$Z$69,$Z$70,$Z$71,$Z$72,$Z$73,$Z$74,$Z$75,$Z$76,$Z$77,$Z$78,$Z$79,$Z$80,$Z$81,$Z$82,$Z$83,$Z$84,$Z$85,$Z$86,$Z$87,$Z$88,$Z$89,$Z$90,$Z$91,$Z$92,$Z$93)</f>
        <v>0.42857145071029662</v>
      </c>
      <c r="AA95" s="157">
        <f>$AA$56-AVERAGE($AA$58,$AA$59,$AA$60,$AA$61,$AA$62,$AA$63,$AA$64,$AA$65,$AA$66,$AA$68,$AA$69,$AA$70,$AA$71,$AA$72,$AA$73,$AA$74,$AA$75,$AA$76,$AA$77,$AA$78,$AA$79,$AA$80,$AA$81,$AA$82,$AA$83,$AA$84,$AA$85,$AA$86,$AA$87,$AA$88,$AA$89,$AA$90,$AA$91,$AA$92,$AA$93)</f>
        <v>0.43205427612577163</v>
      </c>
      <c r="AB95" s="157">
        <f>$AB$56-AVERAGE($AB$58,$AB$59,$AB$60,$AB$61,$AB$62,$AB$63,$AB$64,$AB$65,$AB$66,$AB$68,$AB$69,$AB$70,$AB$71,$AB$72,$AB$73,$AB$74,$AB$75,$AB$76,$AB$77,$AB$78,$AB$79,$AB$80,$AB$81,$AB$82,$AB$83,$AB$84,$AB$85,$AB$86,$AB$87,$AB$88,$AB$89,$AB$90,$AB$91,$AB$92,$AB$93)</f>
        <v>0.43577141974653516</v>
      </c>
      <c r="AC95" s="157">
        <f>$AC$56-AVERAGE($AC$58,$AC$59,$AC$60,$AC$61,$AC$62,$AC$63,$AC$64,$AC$65,$AC$66,$AC$68,$AC$69,$AC$70,$AC$71,$AC$72,$AC$73,$AC$74,$AC$75,$AC$76,$AC$77,$AC$78,$AC$79,$AC$80,$AC$81,$AC$82,$AC$83,$AC$84,$AC$85,$AC$86,$AC$87,$AC$88,$AC$89,$AC$90,$AC$91,$AC$92,$AC$93)</f>
        <v>0.43961145494665421</v>
      </c>
      <c r="AD95" s="157">
        <f>$AD$56-AVERAGE($AD$58,$AD$59,$AD$60,$AD$61,$AD$62,$AD$63,$AD$64,$AD$65,$AD$66,$AD$68,$AD$69,$AD$70,$AD$71,$AD$72,$AD$73,$AD$74,$AD$75,$AD$76,$AD$77,$AD$78,$AD$79,$AD$80,$AD$81,$AD$82,$AD$83,$AD$84,$AD$85,$AD$86,$AD$87,$AD$88,$AD$89,$AD$90,$AD$91,$AD$92,$AD$93)</f>
        <v>0.44475426418440683</v>
      </c>
      <c r="AE95" s="157">
        <f>$AE$56-AVERAGE($AE$58,$AE$59,$AE$60,$AE$61,$AE$62,$AE$63,$AE$64,$AE$65,$AE$66,$AE$68,$AE$69,$AE$70,$AE$71,$AE$72,$AE$73,$AE$74,$AE$75,$AE$76,$AE$77,$AE$78,$AE$79,$AE$80,$AE$81,$AE$82,$AE$83,$AE$84,$AE$85,$AE$86,$AE$87,$AE$88,$AE$89,$AE$90,$AE$91,$AE$92,$AE$93)</f>
        <v>0.45028856864997319</v>
      </c>
      <c r="AF95" s="157">
        <f>$AF$56-AVERAGE($AF$58,$AF$59,$AF$60,$AF$61,$AF$62,$AF$63,$AF$64,$AF$65,$AF$66,$AF$68,$AF$69,$AF$70,$AF$71,$AF$72,$AF$73,$AF$74,$AF$75,$AF$76,$AF$77,$AF$78,$AF$79,$AF$80,$AF$81,$AF$82,$AF$83,$AF$84,$AF$85,$AF$86,$AF$87,$AF$88,$AF$89,$AF$90,$AF$91,$AF$92,$AF$93)</f>
        <v>0.45582568709339416</v>
      </c>
    </row>
    <row r="96" spans="1:32" x14ac:dyDescent="0.2">
      <c r="A96" s="168" t="s">
        <v>494</v>
      </c>
      <c r="B96" s="168">
        <f>$B$57-AVERAGE($B$58,$B$59,$B$60,$B$61,$B$62,$B$63,$B$66,$B$68,$B$69,$B$70,$B$71,$B$72,$B$73,$B$74,$B$75,$B$77,$B$78,$B$79,$B$80,$B$81,$B$82,$B$83,$B$84,$B$85,$B$86,$B$87,$B$88,$B$89,$B$90,$B$91,$B$92,$B$93)</f>
        <v>1.4375008177012205E-3</v>
      </c>
      <c r="C96" s="168">
        <f>$C$57-AVERAGE($C$58,$C$59,$C$60,$C$61,$C$62,$C$63,$C$66,$C$68,$C$69,$C$70,$C$71,$C$72,$C$73,$C$74,$C$75,$C$77,$C$78,$C$79,$C$80,$C$81,$C$82,$C$83,$C$84,$C$85,$C$86,$C$87,$C$88,$C$89,$C$90,$C$91,$C$92,$C$93)</f>
        <v>1.1718734167516232E-3</v>
      </c>
      <c r="D96" s="168">
        <f>$D$57-AVERAGE($D$58,$D$59,$D$60,$D$61,$D$62,$D$63,$D$66,$D$68,$D$69,$D$70,$D$71,$D$72,$D$73,$D$74,$D$75,$D$77,$D$78,$D$79,$D$80,$D$81,$D$82,$D$83,$D$84,$D$85,$D$86,$D$87,$D$88,$D$89,$D$90,$D$91,$D$92,$D$93)</f>
        <v>1.3812496326863766E-3</v>
      </c>
      <c r="E96" s="168">
        <f>$E$57-AVERAGE($E$58,$E$59,$E$60,$E$61,$E$62,$E$63,$E$66,$E$68,$E$69,$E$70,$E$71,$E$72,$E$73,$E$74,$E$75,$E$77,$E$78,$E$79,$E$80,$E$81,$E$82,$E$83,$E$84,$E$85,$E$86,$E$87,$E$88,$E$89,$E$90,$E$91,$E$92,$E$93)</f>
        <v>1.9812523387372494E-3</v>
      </c>
      <c r="F96" s="168">
        <f>$F$57-AVERAGE($F$58,$F$59,$F$60,$F$61,$F$62,$F$63,$F$66,$F$68,$F$69,$F$70,$F$71,$F$72,$F$73,$F$74,$F$75,$F$77,$F$78,$F$79,$F$80,$F$81,$F$82,$F$83,$F$84,$F$85,$F$86,$F$87,$F$88,$F$89,$F$90,$F$91,$F$92,$F$93)</f>
        <v>2.9843780212104321E-3</v>
      </c>
      <c r="G96" s="168">
        <f>$G$57-AVERAGE($G$58,$G$59,$G$60,$G$61,$G$62,$G$63,$G$66,$G$68,$G$69,$G$70,$G$71,$G$72,$G$73,$G$74,$G$75,$G$77,$G$78,$G$79,$G$80,$G$81,$G$82,$G$83,$G$84,$G$85,$G$86,$G$87,$G$88,$G$89,$G$90,$G$91,$G$92,$G$93)</f>
        <v>5.1874967757612467E-3</v>
      </c>
      <c r="H96" s="168">
        <f>$H$57-AVERAGE($H$58,$H$59,$H$60,$H$61,$H$62,$H$63,$H$66,$H$68,$H$69,$H$70,$H$71,$H$72,$H$73,$H$74,$H$75,$H$77,$H$78,$H$79,$H$80,$H$81,$H$82,$H$83,$H$84,$H$85,$H$86,$H$87,$H$88,$H$89,$H$90,$H$91,$H$92,$H$93)</f>
        <v>9.1031258925795555E-3</v>
      </c>
      <c r="I96" s="168">
        <f>$I$57-AVERAGE($I$58,$I$59,$I$60,$I$61,$I$62,$I$63,$I$66,$I$68,$I$69,$I$70,$I$71,$I$72,$I$73,$I$74,$I$75,$I$77,$I$78,$I$79,$I$80,$I$81,$I$82,$I$83,$I$84,$I$85,$I$86,$I$87,$I$88,$I$89,$I$90,$I$91,$I$92,$I$93)</f>
        <v>1.563437283039093E-2</v>
      </c>
      <c r="J96" s="168">
        <f>$J$57-AVERAGE($J$58,$J$59,$J$60,$J$61,$J$62,$J$63,$J$66,$J$68,$J$69,$J$70,$J$71,$J$72,$J$73,$J$74,$J$75,$J$77,$J$78,$J$79,$J$80,$J$81,$J$82,$J$83,$J$84,$J$85,$J$86,$J$87,$J$88,$J$89,$J$90,$J$91,$J$92,$J$93)</f>
        <v>2.5787498103454709E-2</v>
      </c>
      <c r="K96" s="168">
        <f>$K$57-AVERAGE($K$58,$K$59,$K$60,$K$61,$K$62,$K$63,$K$66,$K$68,$K$69,$K$70,$K$71,$K$72,$K$73,$K$74,$K$75,$K$77,$K$78,$K$79,$K$80,$K$81,$K$82,$K$83,$K$84,$K$85,$K$86,$K$87,$K$88,$K$89,$K$90,$K$91,$K$92,$K$93)</f>
        <v>4.1009376989677548E-2</v>
      </c>
      <c r="L96" s="168">
        <f>$L$57-AVERAGE($L$58,$L$59,$L$60,$L$61,$L$62,$L$63,$L$66,$L$68,$L$69,$L$70,$L$71,$L$72,$L$73,$L$74,$L$75,$L$77,$L$78,$L$79,$L$80,$L$81,$L$82,$L$83,$L$84,$L$85,$L$86,$L$87,$L$88,$L$89,$L$90,$L$91,$L$92,$L$93)</f>
        <v>6.3512495718896389E-2</v>
      </c>
      <c r="M96" s="168">
        <f>$M$57-AVERAGE($M$58,$M$59,$M$60,$M$61,$M$62,$M$63,$M$66,$M$68,$M$69,$M$70,$M$71,$M$72,$M$73,$M$74,$M$75,$M$77,$M$78,$M$79,$M$80,$M$81,$M$82,$M$83,$M$84,$M$85,$M$86,$M$87,$M$88,$M$89,$M$90,$M$91,$M$92,$M$93)</f>
        <v>9.0590628329664469E-2</v>
      </c>
      <c r="N96" s="168">
        <f>$N$57-AVERAGE($N$58,$N$59,$N$60,$N$61,$N$62,$N$63,$N$66,$N$68,$N$69,$N$70,$N$71,$N$72,$N$73,$N$74,$N$75,$N$77,$N$78,$N$79,$N$80,$N$81,$N$82,$N$83,$N$84,$N$85,$N$86,$N$87,$N$88,$N$89,$N$90,$N$91,$N$92,$N$93)</f>
        <v>0.1254624945577234</v>
      </c>
      <c r="O96" s="168">
        <f>$O$57-AVERAGE($O$58,$O$59,$O$60,$O$61,$O$62,$O$63,$O$66,$O$68,$O$69,$O$70,$O$71,$O$72,$O$73,$O$74,$O$75,$O$77,$O$78,$O$79,$O$80,$O$81,$O$82,$O$83,$O$84,$O$85,$O$86,$O$87,$O$88,$O$89,$O$90,$O$91,$O$92,$O$93)</f>
        <v>0.16724062291905284</v>
      </c>
      <c r="P96" s="168">
        <f>$P$57-AVERAGE($P$58,$P$59,$P$60,$P$61,$P$62,$P$63,$P$66,$P$68,$P$69,$P$70,$P$71,$P$72,$P$73,$P$74,$P$75,$P$77,$P$78,$P$79,$P$80,$P$81,$P$82,$P$83,$P$84,$P$85,$P$86,$P$87,$P$88,$P$89,$P$90,$P$91,$P$92,$P$93)</f>
        <v>0.21364375576376915</v>
      </c>
      <c r="Q96" s="168">
        <f>$Q$57-AVERAGE($Q$58,$Q$59,$Q$60,$Q$61,$Q$62,$Q$63,$Q$66,$Q$68,$Q$69,$Q$70,$Q$71,$Q$72,$Q$73,$Q$74,$Q$75,$Q$77,$Q$78,$Q$79,$Q$80,$Q$81,$Q$82,$Q$83,$Q$84,$Q$85,$Q$86,$Q$87,$Q$88,$Q$89,$Q$90,$Q$91,$Q$92,$Q$93)</f>
        <v>0.25965313496999443</v>
      </c>
      <c r="R96" s="168">
        <f>$R$57-AVERAGE($R$58,$R$59,$R$60,$R$61,$R$62,$R$63,$R$66,$R$68,$R$69,$R$70,$R$71,$R$72,$R$73,$R$74,$R$75,$R$77,$R$78,$R$79,$R$80,$R$81,$R$82,$R$83,$R$84,$R$85,$R$86,$R$87,$R$88,$R$89,$R$90,$R$91,$R$92,$R$93)</f>
        <v>0.30473438836634159</v>
      </c>
      <c r="S96" s="168">
        <f>$S$57-AVERAGE($S$58,$S$59,$S$60,$S$61,$S$62,$S$63,$S$66,$S$68,$S$69,$S$70,$S$71,$S$72,$S$73,$S$74,$S$75,$S$77,$S$78,$S$79,$S$80,$S$81,$S$82,$S$83,$S$84,$S$85,$S$86,$S$87,$S$88,$S$89,$S$90,$S$91,$S$92,$S$93)</f>
        <v>0.34578125807456672</v>
      </c>
      <c r="T96" s="168">
        <f>$T$57-AVERAGE($T$58,$T$59,$T$60,$T$61,$T$62,$T$63,$T$66,$T$68,$T$69,$T$70,$T$71,$T$72,$T$73,$T$74,$T$75,$T$77,$T$78,$T$79,$T$80,$T$81,$T$82,$T$83,$T$84,$T$85,$T$86,$T$87,$T$88,$T$89,$T$90,$T$91,$T$92,$T$93)</f>
        <v>0.37713123997673392</v>
      </c>
      <c r="U96" s="168">
        <f>$U$57-AVERAGE($U$58,$U$59,$U$60,$U$61,$U$62,$U$63,$U$66,$U$68,$U$69,$U$70,$U$71,$U$72,$U$73,$U$74,$U$75,$U$77,$U$78,$U$79,$U$80,$U$81,$U$82,$U$83,$U$84,$U$85,$U$86,$U$87,$U$88,$U$89,$U$90,$U$91,$U$92,$U$93)</f>
        <v>0.38627187185920775</v>
      </c>
      <c r="V96" s="168">
        <f>$V$57-AVERAGE($V$58,$V$59,$V$60,$V$61,$V$62,$V$63,$V$66,$V$68,$V$69,$V$70,$V$71,$V$72,$V$73,$V$74,$V$75,$V$77,$V$78,$V$79,$V$80,$V$81,$V$82,$V$83,$V$84,$V$85,$V$86,$V$87,$V$88,$V$89,$V$90,$V$91,$V$92,$V$93)</f>
        <v>0.39445625164080411</v>
      </c>
      <c r="W96" s="168">
        <f>$W$57-AVERAGE($W$58,$W$59,$W$60,$W$61,$W$62,$W$63,$W$66,$W$68,$W$69,$W$70,$W$71,$W$72,$W$73,$W$74,$W$75,$W$77,$W$78,$W$79,$W$80,$W$81,$W$82,$W$83,$W$84,$W$85,$W$86,$W$87,$W$88,$W$89,$W$90,$W$91,$W$92,$W$93)</f>
        <v>0.40264063142240047</v>
      </c>
      <c r="X96" s="168">
        <f>$X$57-AVERAGE($X$58,$X$59,$X$60,$X$61,$X$62,$X$63,$X$66,$X$68,$X$69,$X$70,$X$71,$X$72,$X$73,$X$74,$X$75,$X$77,$X$78,$X$79,$X$80,$X$81,$X$82,$X$83,$X$84,$X$85,$X$86,$X$87,$X$88,$X$89,$X$90,$X$91,$X$92,$X$93)</f>
        <v>0.41160935163497925</v>
      </c>
      <c r="Y96" s="168">
        <f>$Y$57-AVERAGE($Y$58,$Y$59,$Y$60,$Y$61,$Y$62,$Y$63,$Y$66,$Y$68,$Y$69,$Y$70,$Y$71,$Y$72,$Y$73,$Y$74,$Y$75,$Y$77,$Y$78,$Y$79,$Y$80,$Y$81,$Y$82,$Y$83,$Y$84,$Y$85,$Y$86,$Y$87,$Y$88,$Y$89,$Y$90,$Y$91,$Y$92,$Y$93)</f>
        <v>0.42161249369382858</v>
      </c>
      <c r="Z96" s="168">
        <f>$Z$57-AVERAGE($Z$58,$Z$59,$Z$60,$Z$61,$Z$62,$Z$63,$Z$66,$Z$68,$Z$69,$Z$70,$Z$71,$Z$72,$Z$73,$Z$74,$Z$75,$Z$77,$Z$78,$Z$79,$Z$80,$Z$81,$Z$82,$Z$83,$Z$84,$Z$85,$Z$86,$Z$87,$Z$88,$Z$89,$Z$90,$Z$91,$Z$92,$Z$93)</f>
        <v>0.4281843570061028</v>
      </c>
      <c r="AA96" s="168">
        <f>$AA$57-AVERAGE($AA$58,$AA$59,$AA$60,$AA$61,$AA$62,$AA$63,$AA$66,$AA$68,$AA$69,$AA$70,$AA$71,$AA$72,$AA$73,$AA$74,$AA$75,$AA$77,$AA$78,$AA$79,$AA$80,$AA$81,$AA$82,$AA$83,$AA$84,$AA$85,$AA$86,$AA$87,$AA$88,$AA$89,$AA$90,$AA$91,$AA$92,$AA$93)</f>
        <v>0.43173438496887684</v>
      </c>
      <c r="AB96" s="168">
        <f>$AB$57-AVERAGE($AB$58,$AB$59,$AB$60,$AB$61,$AB$62,$AB$63,$AB$66,$AB$68,$AB$69,$AB$70,$AB$71,$AB$72,$AB$73,$AB$74,$AB$75,$AB$77,$AB$78,$AB$79,$AB$80,$AB$81,$AB$82,$AB$83,$AB$84,$AB$85,$AB$86,$AB$87,$AB$88,$AB$89,$AB$90,$AB$91,$AB$92,$AB$93)</f>
        <v>0.43623752426356077</v>
      </c>
      <c r="AC96" s="168">
        <f>$AC$57-AVERAGE($AC$58,$AC$59,$AC$60,$AC$61,$AC$62,$AC$63,$AC$66,$AC$68,$AC$69,$AC$70,$AC$71,$AC$72,$AC$73,$AC$74,$AC$75,$AC$77,$AC$78,$AC$79,$AC$80,$AC$81,$AC$82,$AC$83,$AC$84,$AC$85,$AC$86,$AC$87,$AC$88,$AC$89,$AC$90,$AC$91,$AC$92,$AC$93)</f>
        <v>0.43989377631805837</v>
      </c>
      <c r="AD96" s="168">
        <f>$AD$57-AVERAGE($AD$58,$AD$59,$AD$60,$AD$61,$AD$62,$AD$63,$AD$66,$AD$68,$AD$69,$AD$70,$AD$71,$AD$72,$AD$73,$AD$74,$AD$75,$AD$77,$AD$78,$AD$79,$AD$80,$AD$81,$AD$82,$AD$83,$AD$84,$AD$85,$AD$86,$AD$87,$AD$88,$AD$89,$AD$90,$AD$91,$AD$92,$AD$93)</f>
        <v>0.44610935728996992</v>
      </c>
      <c r="AE96" s="168">
        <f>$AE$57-AVERAGE($AE$58,$AE$59,$AE$60,$AE$61,$AE$62,$AE$63,$AE$66,$AE$68,$AE$69,$AE$70,$AE$71,$AE$72,$AE$73,$AE$74,$AE$75,$AE$77,$AE$78,$AE$79,$AE$80,$AE$81,$AE$82,$AE$83,$AE$84,$AE$85,$AE$86,$AE$87,$AE$88,$AE$89,$AE$90,$AE$91,$AE$92,$AE$93)</f>
        <v>0.45231562294065952</v>
      </c>
      <c r="AF96" s="168">
        <f>$AF$57-AVERAGE($AF$58,$AF$59,$AF$60,$AF$61,$AF$62,$AF$63,$AF$66,$AF$68,$AF$69,$AF$70,$AF$71,$AF$72,$AF$73,$AF$74,$AF$75,$AF$77,$AF$78,$AF$79,$AF$80,$AF$81,$AF$82,$AF$83,$AF$84,$AF$85,$AF$86,$AF$87,$AF$88,$AF$89,$AF$90,$AF$91,$AF$92,$AF$93)</f>
        <v>0.4579656149726361</v>
      </c>
    </row>
    <row r="97" spans="1:32" x14ac:dyDescent="0.2">
      <c r="A97" t="s">
        <v>495</v>
      </c>
      <c r="H97">
        <f>INDEX(LOGEST($B$94:$H$94,$B$54:$H$54,TRUE,TRUE), 3)</f>
        <v>0.85293910823196106</v>
      </c>
      <c r="I97">
        <f>INDEX(LOGEST($B$94:$I$94,$B$54:$I$54,TRUE,TRUE), 3)</f>
        <v>0.87943251862234395</v>
      </c>
      <c r="J97">
        <f>INDEX(LOGEST($B$94:$J$94,$B$54:$J$54,TRUE,TRUE), 3)</f>
        <v>0.90256008816526978</v>
      </c>
      <c r="K97">
        <f>INDEX(LOGEST($B$94:$K$94,$B$54:$K$54,TRUE,TRUE), 3)</f>
        <v>0.92160092914664005</v>
      </c>
      <c r="L97">
        <f>INDEX(LOGEST($B$94:$L$94,$B$54:$L$54,TRUE,TRUE), 3)</f>
        <v>0.93730389930848157</v>
      </c>
      <c r="M97">
        <f>INDEX(LOGEST($B$94:$M$94,$B$54:$M$54,TRUE,TRUE), 3)</f>
        <v>0.95028803870354017</v>
      </c>
      <c r="N97">
        <f>INDEX(LOGEST($B$94:$N$94,$B$54:$N$54,TRUE,TRUE), 3)</f>
        <v>0.96067443026507948</v>
      </c>
      <c r="O97">
        <f>INDEX(LOGEST($B$94:$O$94,$B$54:$O$54,TRUE,TRUE), 3)</f>
        <v>0.96853563732742598</v>
      </c>
      <c r="P97">
        <f>INDEX(LOGEST($B$94:$P$94,$B$54:$P$54,TRUE,TRUE), 3)</f>
        <v>0.97401648451861766</v>
      </c>
      <c r="Q97">
        <f>INDEX(LOGEST($B$94:$Q$94,$B$54:$Q$54,TRUE,TRUE), 3)</f>
        <v>0.97722127920605573</v>
      </c>
      <c r="R97" s="155">
        <f>INDEX(LOGEST($B$94:$R$94,$B$54:$R$54,TRUE,TRUE), 3)</f>
        <v>0.97847609600373708</v>
      </c>
      <c r="S97">
        <f>INDEX(LOGEST($B$94:$S$94,$B$54:$S$54,TRUE,TRUE), 3)</f>
        <v>0.9771990207685407</v>
      </c>
      <c r="T97">
        <f>INDEX(LOGEST($B$94:$T$94,$B$54:$T$54,TRUE,TRUE), 3)</f>
        <v>0.97361966473377692</v>
      </c>
      <c r="U97">
        <f>INDEX(LOGEST($B$94:$U$94,$B$54:$U$54,TRUE,TRUE), 3)</f>
        <v>0.96742348312081061</v>
      </c>
      <c r="V97">
        <f>INDEX(LOGEST($B$94:$V$94,$B$54:$V$54,TRUE,TRUE), 3)</f>
        <v>0.95909658993517533</v>
      </c>
      <c r="W97">
        <f>INDEX(LOGEST($B$94:$W$94,$B$54:$W$54,TRUE,TRUE), 3)</f>
        <v>0.9492117943712336</v>
      </c>
      <c r="X97">
        <f>INDEX(LOGEST($B$94:$X$94,$B$54:$X$54,TRUE,TRUE), 3)</f>
        <v>0.93843368624819201</v>
      </c>
      <c r="Y97">
        <f>INDEX(LOGEST($B$94:$Y$94,$B$54:$Y$54,TRUE,TRUE), 3)</f>
        <v>0.92665254759437921</v>
      </c>
      <c r="Z97">
        <f>INDEX(LOGEST($B$94:$Z$94,$B$54:$Z$54,TRUE,TRUE), 3)</f>
        <v>0.91384602032102724</v>
      </c>
      <c r="AA97">
        <f>INDEX(LOGEST($B$94:$AA$94,$B$54:$AA$54,TRUE,TRUE), 3)</f>
        <v>0.90056014358112635</v>
      </c>
      <c r="AB97">
        <f>INDEX(LOGEST($B$94:$AB$94,$B$54:$AB$54,TRUE,TRUE), 3)</f>
        <v>0.88693237661883817</v>
      </c>
      <c r="AC97">
        <f>INDEX(LOGEST($B$94:$AC$94,$B$54:$AC$54,TRUE,TRUE), 3)</f>
        <v>0.87313149553769964</v>
      </c>
      <c r="AD97">
        <f>INDEX(LOGEST($B$94:$AD$94,$B$54:$AD$54,TRUE,TRUE), 3)</f>
        <v>0.85945543355351883</v>
      </c>
      <c r="AE97">
        <f>INDEX(LOGEST($B$94:$AE$94,$B$54:$AE$54,TRUE,TRUE), 3)</f>
        <v>0.84617875638554274</v>
      </c>
      <c r="AF97">
        <f>INDEX(LOGEST($B$94:$AF$94,$B$54:$AF$54,TRUE,TRUE), 3)</f>
        <v>0.83300732706088054</v>
      </c>
    </row>
    <row r="98" spans="1:32" x14ac:dyDescent="0.2">
      <c r="A98" t="s">
        <v>496</v>
      </c>
      <c r="H98">
        <f>INDEX(LOGEST($B$95:$H$95,$B$54:$H$54,TRUE,TRUE), 3)</f>
        <v>0.90622992942903369</v>
      </c>
      <c r="I98">
        <f>INDEX(LOGEST($B$95:$I$95,$B$54:$I$54,TRUE,TRUE), 3)</f>
        <v>0.9232964388632634</v>
      </c>
      <c r="J98">
        <f>INDEX(LOGEST($B$95:$J$95,$B$54:$J$54,TRUE,TRUE), 3)</f>
        <v>0.9389473368743434</v>
      </c>
      <c r="K98">
        <f>INDEX(LOGEST($B$95:$K$95,$B$54:$K$54,TRUE,TRUE), 3)</f>
        <v>0.95246178690931704</v>
      </c>
      <c r="L98">
        <f>INDEX(LOGEST($B$95:$L$95,$B$54:$L$54,TRUE,TRUE), 3)</f>
        <v>0.96333474534604613</v>
      </c>
      <c r="M98">
        <f>INDEX(LOGEST($B$95:$M$95,$B$54:$M$54,TRUE,TRUE), 3)</f>
        <v>0.97167013979405936</v>
      </c>
      <c r="N98">
        <f>INDEX(LOGEST($B$95:$N$95,$B$54:$N$54,TRUE,TRUE), 3)</f>
        <v>0.97767111523582417</v>
      </c>
      <c r="O98">
        <f>INDEX(LOGEST($B$95:$O$95,$B$54:$O$54,TRUE,TRUE), 3)</f>
        <v>0.98158941127290178</v>
      </c>
      <c r="P98">
        <f>INDEX(LOGEST($B$95:$P$95,$B$54:$P$54,TRUE,TRUE), 3)</f>
        <v>0.98344789113513997</v>
      </c>
      <c r="Q98" s="155">
        <f>INDEX(LOGEST($B$95:$Q$95,$B$54:$Q$54,TRUE,TRUE), 3)</f>
        <v>0.9836331834689952</v>
      </c>
      <c r="R98">
        <f>INDEX(LOGEST($B$95:$R$95,$B$54:$R$54,TRUE,TRUE), 3)</f>
        <v>0.98165750506732152</v>
      </c>
      <c r="S98">
        <f>INDEX(LOGEST($B$95:$S$95,$B$54:$S$54,TRUE,TRUE), 3)</f>
        <v>0.97775909527881733</v>
      </c>
      <c r="T98">
        <f>INDEX(LOGEST($B$95:$T$95,$B$54:$T$54,TRUE,TRUE), 3)</f>
        <v>0.97141947618715196</v>
      </c>
      <c r="U98">
        <f>INDEX(LOGEST($B$95:$U$95,$B$54:$U$54,TRUE,TRUE), 3)</f>
        <v>0.96266032560599857</v>
      </c>
      <c r="V98">
        <f>INDEX(LOGEST($B$95:$V$95,$B$54:$V$54,TRUE,TRUE), 3)</f>
        <v>0.95201301746316291</v>
      </c>
      <c r="W98">
        <f>INDEX(LOGEST($B$95:$W$95,$B$54:$W$54,TRUE,TRUE), 3)</f>
        <v>0.94003477425040782</v>
      </c>
      <c r="X98">
        <f>INDEX(LOGEST($B$95:$X$95,$B$54:$X$54,TRUE,TRUE), 3)</f>
        <v>0.92748763380193766</v>
      </c>
      <c r="Y98">
        <f>INDEX(LOGEST($B$95:$Y$95,$B$54:$Y$54,TRUE,TRUE), 3)</f>
        <v>0.91397703538062391</v>
      </c>
      <c r="Z98">
        <f>INDEX(LOGEST($B$95:$Z$95,$B$54:$Z$54,TRUE,TRUE), 3)</f>
        <v>0.89981553800062275</v>
      </c>
      <c r="AA98">
        <f>INDEX(LOGEST($B$95:$AA$95,$B$54:$AA$54,TRUE,TRUE), 3)</f>
        <v>0.88540661213026073</v>
      </c>
      <c r="AB98">
        <f>INDEX(LOGEST($B$95:$AB$95,$B$54:$AB$54,TRUE,TRUE), 3)</f>
        <v>0.87093958778613367</v>
      </c>
      <c r="AC98">
        <f>INDEX(LOGEST($B$95:$AC$95,$B$54:$AC$54,TRUE,TRUE), 3)</f>
        <v>0.85655104544826244</v>
      </c>
      <c r="AD98">
        <f>INDEX(LOGEST($B$95:$AD$95,$B$54:$AD$54,TRUE,TRUE), 3)</f>
        <v>0.84242329698448681</v>
      </c>
      <c r="AE98">
        <f>INDEX(LOGEST($B$95:$AE$95,$B$54:$AE$54,TRUE,TRUE), 3)</f>
        <v>0.82863724653180626</v>
      </c>
      <c r="AF98">
        <f>INDEX(LOGEST($B$95:$AF$95,$B$54:$AF$54,TRUE,TRUE), 3)</f>
        <v>0.81522706805900202</v>
      </c>
    </row>
    <row r="99" spans="1:32" x14ac:dyDescent="0.2">
      <c r="A99" t="s">
        <v>497</v>
      </c>
      <c r="H99">
        <f>INDEX(LOGEST($B$96:$H$96,$B$54:$H$54,TRUE,TRUE), 3)</f>
        <v>0.87425620190651576</v>
      </c>
      <c r="I99">
        <f>INDEX(LOGEST($B$96:$I$96,$B$54:$I$54,TRUE,TRUE), 3)</f>
        <v>0.90867833388177932</v>
      </c>
      <c r="J99">
        <f>INDEX(LOGEST($B$96:$J$96,$B$54:$J$54,TRUE,TRUE), 3)</f>
        <v>0.93267758796862787</v>
      </c>
      <c r="K99">
        <f>INDEX(LOGEST($B$96:$K$96,$B$54:$K$54,TRUE,TRUE), 3)</f>
        <v>0.94976160881643945</v>
      </c>
      <c r="L99">
        <f>INDEX(LOGEST($B$96:$L$96,$B$54:$L$54,TRUE,TRUE), 3)</f>
        <v>0.96195822753845306</v>
      </c>
      <c r="M99">
        <f>INDEX(LOGEST($B$96:$M$96,$B$54:$M$54,TRUE,TRUE), 3)</f>
        <v>0.97072856597171508</v>
      </c>
      <c r="N99">
        <f>INDEX(LOGEST($B$96:$N$96,$B$54:$N$54,TRUE,TRUE), 3)</f>
        <v>0.97664280528072933</v>
      </c>
      <c r="O99">
        <f>INDEX(LOGEST($B$96:$O$96,$B$54:$O$54,TRUE,TRUE), 3)</f>
        <v>0.98023519590819597</v>
      </c>
      <c r="P99" s="155">
        <f>INDEX(LOGEST($B$96:$P$96,$B$54:$P$54,TRUE,TRUE), 3)</f>
        <v>0.98181587473648468</v>
      </c>
      <c r="Q99">
        <f>INDEX(LOGEST($B$96:$Q$96,$B$54:$Q$54,TRUE,TRUE), 3)</f>
        <v>0.98143836041450205</v>
      </c>
      <c r="R99">
        <f>INDEX(LOGEST($B$96:$R$96,$B$54:$R$54,TRUE,TRUE), 3)</f>
        <v>0.97926709706745085</v>
      </c>
      <c r="S99">
        <f>INDEX(LOGEST($B$96:$S$96,$B$54:$S$54,TRUE,TRUE), 3)</f>
        <v>0.975389445960271</v>
      </c>
      <c r="T99">
        <f>INDEX(LOGEST($B$96:$T$96,$B$54:$T$54,TRUE,TRUE), 3)</f>
        <v>0.96968555300758019</v>
      </c>
      <c r="U99">
        <f>INDEX(LOGEST($B$96:$U$96,$B$54:$U$54,TRUE,TRUE), 3)</f>
        <v>0.96144290328896931</v>
      </c>
      <c r="V99">
        <f>INDEX(LOGEST($B$96:$V$96,$B$54:$V$54,TRUE,TRUE), 3)</f>
        <v>0.95127938971055981</v>
      </c>
      <c r="W99">
        <f>INDEX(LOGEST($B$96:$W$96,$B$54:$W$54,TRUE,TRUE), 3)</f>
        <v>0.93975719939592162</v>
      </c>
      <c r="X99">
        <f>INDEX(LOGEST($B$96:$X$96,$B$54:$X$54,TRUE,TRUE), 3)</f>
        <v>0.92736791421497256</v>
      </c>
      <c r="Y99">
        <f>INDEX(LOGEST($B$96:$Y$96,$B$54:$Y$54,TRUE,TRUE), 3)</f>
        <v>0.91450744108670423</v>
      </c>
      <c r="Z99">
        <f>INDEX(LOGEST($B$96:$Z$96,$B$54:$Z$54,TRUE,TRUE), 3)</f>
        <v>0.9012075388564188</v>
      </c>
      <c r="AA99">
        <f>INDEX(LOGEST($B$96:$AA$96,$B$54:$AA$54,TRUE,TRUE), 3)</f>
        <v>0.88750462457310686</v>
      </c>
      <c r="AB99">
        <f>INDEX(LOGEST($B$96:$AB$96,$B$54:$AB$54,TRUE,TRUE), 3)</f>
        <v>0.8736543433641899</v>
      </c>
      <c r="AC99">
        <f>INDEX(LOGEST($B$96:$AC$96,$B$54:$AC$54,TRUE,TRUE), 3)</f>
        <v>0.85974775357849853</v>
      </c>
      <c r="AD99">
        <f>INDEX(LOGEST($B$96:$AD$96,$B$54:$AD$54,TRUE,TRUE), 3)</f>
        <v>0.84605121205586886</v>
      </c>
      <c r="AE99">
        <f>INDEX(LOGEST($B$96:$AE$96,$B$54:$AE$54,TRUE,TRUE), 3)</f>
        <v>0.83262606697539954</v>
      </c>
      <c r="AF99">
        <f>INDEX(LOGEST($B$96:$AF$96,$B$54:$AF$54,TRUE,TRUE), 3)</f>
        <v>0.81948510311072453</v>
      </c>
    </row>
    <row r="100" spans="1:32" s="160" customFormat="1" x14ac:dyDescent="0.2">
      <c r="A100" s="160" t="s">
        <v>498</v>
      </c>
      <c r="B100" s="160">
        <f>$K$43*EXP($J$49*$B$54)</f>
        <v>2.3994649244094002E-3</v>
      </c>
      <c r="C100" s="160">
        <f>$K$43*EXP($J$49*$C$54)</f>
        <v>3.3141457582750314E-3</v>
      </c>
      <c r="D100" s="160">
        <f>$K$43*EXP($J$49*$D$54)</f>
        <v>4.5775047575641707E-3</v>
      </c>
      <c r="E100" s="160">
        <f>$K$43*EXP($J$49*$E$54)</f>
        <v>6.322458737128285E-3</v>
      </c>
      <c r="F100" s="160">
        <f>$K$43*EXP($J$49*$F$54)</f>
        <v>8.7325926677924177E-3</v>
      </c>
      <c r="G100" s="160">
        <f>$K$43*EXP($J$49*$G$54)</f>
        <v>1.2061474478870069E-2</v>
      </c>
      <c r="H100" s="160">
        <f>$K$43*EXP($J$49*$H$54)</f>
        <v>1.6659332702072649E-2</v>
      </c>
      <c r="I100" s="160">
        <f>$K$43*EXP($J$49*$I$54)</f>
        <v>2.300990368669641E-2</v>
      </c>
      <c r="J100" s="160">
        <f>$K$43*EXP($J$49*$J$54)</f>
        <v>3.1781325047021455E-2</v>
      </c>
      <c r="K100" s="160">
        <f>$K$43*EXP($J$49*$K$54)</f>
        <v>4.3896429793768038E-2</v>
      </c>
      <c r="L100" s="160">
        <f>$K$43*EXP($J$49*$L$54)</f>
        <v>6.0629836729220787E-2</v>
      </c>
      <c r="M100" s="160">
        <f>$K$43*EXP($J$49*$M$54)</f>
        <v>8.3742051895387859E-2</v>
      </c>
      <c r="N100" s="160">
        <f>$K$43*EXP($J$49*$N$54)</f>
        <v>0.1156646897627223</v>
      </c>
      <c r="O100" s="160">
        <f>$K$43*EXP($J$49*$O$54)</f>
        <v>0.15975630110687089</v>
      </c>
      <c r="P100" s="160">
        <f>$K$43*EXP($J$49*$P$54)</f>
        <v>0.22065572298430841</v>
      </c>
      <c r="Q100" s="160">
        <f>$K$43*EXP($J$49*$Q$54)</f>
        <v>0.30477012642622958</v>
      </c>
      <c r="R100" s="160">
        <f>$K$43*EXP($J$49*$R$54)</f>
        <v>0.42094910889061898</v>
      </c>
    </row>
    <row r="101" spans="1:32" s="161" customFormat="1" x14ac:dyDescent="0.2">
      <c r="A101" s="161" t="s">
        <v>499</v>
      </c>
      <c r="B101" s="161">
        <f>$Q$43*EXP($P$49*$B$54)</f>
        <v>1.6948652259984767E-3</v>
      </c>
      <c r="C101" s="161">
        <f>$Q$43*EXP($P$49*$C$54)</f>
        <v>2.4355614955286183E-3</v>
      </c>
      <c r="D101" s="161">
        <f>$Q$43*EXP($P$49*$D$54)</f>
        <v>3.4999595882362704E-3</v>
      </c>
      <c r="E101" s="161">
        <f>$Q$43*EXP($P$49*$E$54)</f>
        <v>5.029524872098662E-3</v>
      </c>
      <c r="F101" s="161">
        <f>$Q$43*EXP($P$49*$F$54)</f>
        <v>7.2275464334165367E-3</v>
      </c>
      <c r="G101" s="161">
        <f>$Q$43*EXP($P$49*$G$54)</f>
        <v>1.0386155506851097E-2</v>
      </c>
      <c r="H101" s="161">
        <f>$Q$43*EXP($P$49*$H$54)</f>
        <v>1.4925151599683478E-2</v>
      </c>
      <c r="I101" s="161">
        <f>$Q$43*EXP($P$49*$I$54)</f>
        <v>2.1447796552496557E-2</v>
      </c>
      <c r="J101" s="161">
        <f>$Q$43*EXP($P$49*$J$54)</f>
        <v>3.0820991926610596E-2</v>
      </c>
      <c r="K101" s="161">
        <f>$Q$43*EXP($P$49*$K$54)</f>
        <v>4.4290495809912032E-2</v>
      </c>
      <c r="L101" s="161">
        <f>$Q$43*EXP($P$49*$L$54)</f>
        <v>6.3646492097295726E-2</v>
      </c>
      <c r="M101" s="161">
        <f>$Q$43*EXP($P$49*$M$54)</f>
        <v>9.1461517470404041E-2</v>
      </c>
      <c r="N101" s="161">
        <f>$Q$43*EXP($P$49*$N$54)</f>
        <v>0.13143236810602571</v>
      </c>
      <c r="O101" s="161">
        <f>$Q$43*EXP($P$49*$O$54)</f>
        <v>0.18887142771874141</v>
      </c>
      <c r="P101" s="161">
        <f>$Q$43*EXP($P$49*$P$54)</f>
        <v>0.27141271760194619</v>
      </c>
      <c r="Q101" s="161">
        <f>$Q$43*EXP($P$49*$Q$54)</f>
        <v>0.3900265072691253</v>
      </c>
    </row>
    <row r="102" spans="1:32" s="169" customFormat="1" x14ac:dyDescent="0.2">
      <c r="A102" s="169" t="s">
        <v>500</v>
      </c>
      <c r="B102" s="169">
        <f>$W$43*EXP($V$49*$B$54)</f>
        <v>7.8155110849764675E-4</v>
      </c>
      <c r="C102" s="169">
        <f>$W$43*EXP($V$49*$C$54)</f>
        <v>1.1867762449275958E-3</v>
      </c>
      <c r="D102" s="169">
        <f>$W$43*EXP($V$49*$D$54)</f>
        <v>1.8021058894431671E-3</v>
      </c>
      <c r="E102" s="169">
        <f>$W$43*EXP($V$49*$E$54)</f>
        <v>2.7364767795498646E-3</v>
      </c>
      <c r="F102" s="169">
        <f>$W$43*EXP($V$49*$F$54)</f>
        <v>4.1553080808860842E-3</v>
      </c>
      <c r="G102" s="169">
        <f>$W$43*EXP($V$49*$G$54)</f>
        <v>6.3097868675931002E-3</v>
      </c>
      <c r="H102" s="169">
        <f>$W$43*EXP($V$49*$H$54)</f>
        <v>9.5813377827716883E-3</v>
      </c>
      <c r="I102" s="169">
        <f>$W$43*EXP($V$49*$I$54)</f>
        <v>1.4549149699344217E-2</v>
      </c>
      <c r="J102" s="169">
        <f>$W$43*EXP($V$49*$J$54)</f>
        <v>2.2092714167174881E-2</v>
      </c>
      <c r="K102" s="169">
        <f>$W$43*EXP($V$49*$K$54)</f>
        <v>3.3547528849365633E-2</v>
      </c>
      <c r="L102" s="169">
        <f>$W$43*EXP($V$49*$L$54)</f>
        <v>5.0941531374681971E-2</v>
      </c>
      <c r="M102" s="169">
        <f>$W$43*EXP($V$49*$M$54)</f>
        <v>7.7354121385509428E-2</v>
      </c>
      <c r="N102" s="169">
        <f>$W$43*EXP($V$49*$N$54)</f>
        <v>0.1174613313312762</v>
      </c>
      <c r="O102" s="169">
        <f>$W$43*EXP($V$49*$O$54)</f>
        <v>0.17836366196126743</v>
      </c>
      <c r="P102" s="169">
        <f>$W$43*EXP($V$49*$P$54)</f>
        <v>0.27084314086743483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10</vt:i4>
      </vt:variant>
    </vt:vector>
  </HeadingPairs>
  <TitlesOfParts>
    <vt:vector size="34" baseType="lpstr">
      <vt:lpstr>Config</vt:lpstr>
      <vt:lpstr>Data</vt:lpstr>
      <vt:lpstr>Results</vt:lpstr>
      <vt:lpstr>1077std-BHI</vt:lpstr>
      <vt:lpstr>1077std-V1</vt:lpstr>
      <vt:lpstr>1077std-V0,5</vt:lpstr>
      <vt:lpstr>1077std-V0,25</vt:lpstr>
      <vt:lpstr>1077std-V0,125</vt:lpstr>
      <vt:lpstr>1077std-V0,06</vt:lpstr>
      <vt:lpstr>1077std-V0,03</vt:lpstr>
      <vt:lpstr>1077V24-BHI</vt:lpstr>
      <vt:lpstr>1077V24-V1</vt:lpstr>
      <vt:lpstr>1077V24-V0,5</vt:lpstr>
      <vt:lpstr>1077V24-V0,25</vt:lpstr>
      <vt:lpstr>1077V24-V0,125</vt:lpstr>
      <vt:lpstr>1077V24-V0,06</vt:lpstr>
      <vt:lpstr>1077V24-V0,03</vt:lpstr>
      <vt:lpstr>1077V16-BHI</vt:lpstr>
      <vt:lpstr>1077V16-V1</vt:lpstr>
      <vt:lpstr>1077V16-V0,5</vt:lpstr>
      <vt:lpstr>1077V16-V0,25</vt:lpstr>
      <vt:lpstr>1077V16-V0,125</vt:lpstr>
      <vt:lpstr>1077V16-V0,06</vt:lpstr>
      <vt:lpstr>1077V16-V0,03</vt:lpstr>
      <vt:lpstr>conditions</vt:lpstr>
      <vt:lpstr>data_first_line</vt:lpstr>
      <vt:lpstr>data_last_line</vt:lpstr>
      <vt:lpstr>data_sheet_name</vt:lpstr>
      <vt:lpstr>experimental_plan_definition</vt:lpstr>
      <vt:lpstr>number_of_cycles</vt:lpstr>
      <vt:lpstr>t_growth_mini</vt:lpstr>
      <vt:lpstr>white_border_definition</vt:lpstr>
      <vt:lpstr>white_inner_application</vt:lpstr>
      <vt:lpstr>white_stats</vt:lpstr>
    </vt:vector>
  </TitlesOfParts>
  <Company>Hospices Civils de Lyon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MOUTON, William</dc:creator>
  <cp:lastModifiedBy>Julien</cp:lastModifiedBy>
  <cp:lastPrinted>2018-03-17T15:52:29Z</cp:lastPrinted>
  <dcterms:created xsi:type="dcterms:W3CDTF">2018-02-13T15:43:19Z</dcterms:created>
  <dcterms:modified xsi:type="dcterms:W3CDTF">2018-05-16T10:57:08Z</dcterms:modified>
</cp:coreProperties>
</file>