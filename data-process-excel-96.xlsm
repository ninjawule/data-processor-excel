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319" codeName="{51196F13-6AD0-C1B8-E2B4-A1F9AE17003E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/Users/julienwan/Desktop/"/>
    </mc:Choice>
  </mc:AlternateContent>
  <xr:revisionPtr revIDLastSave="0" documentId="13_ncr:1_{C8D82809-49C9-0F40-AF6E-9629E42B9508}" xr6:coauthVersionLast="31" xr6:coauthVersionMax="31" xr10:uidLastSave="{00000000-0000-0000-0000-000000000000}"/>
  <bookViews>
    <workbookView xWindow="0" yWindow="440" windowWidth="38400" windowHeight="21160" xr2:uid="{00000000-000D-0000-FFFF-FFFF00000000}"/>
  </bookViews>
  <sheets>
    <sheet name="Config" sheetId="7" r:id="rId1"/>
    <sheet name="Data" sheetId="2" r:id="rId2"/>
  </sheets>
  <functionGroups builtInGroupCount="19"/>
  <definedNames>
    <definedName name="conditions">Config!$C$15:$D$42</definedName>
    <definedName name="data_first_line">Config!$D$6</definedName>
    <definedName name="data_last_line">Config!$D$7</definedName>
    <definedName name="data_sheet_name">Config!$D$5</definedName>
    <definedName name="experimental_plan_definition">Config!$H$34:$T$42</definedName>
    <definedName name="number_of_cycles">Config!$D$8</definedName>
    <definedName name="t_growth_mini">Config!$D$12</definedName>
    <definedName name="white_border_definition">Config!$H$5:$T$13</definedName>
    <definedName name="white_inner_application">Config!$H$20:$T$28</definedName>
    <definedName name="white_stats">Config!$V$6:$AB$13</definedName>
  </definedNames>
  <calcPr calcId="179017"/>
</workbook>
</file>

<file path=xl/calcChain.xml><?xml version="1.0" encoding="utf-8"?>
<calcChain xmlns="http://schemas.openxmlformats.org/spreadsheetml/2006/main">
  <c r="V40" i="2" l="1"/>
  <c r="V41" i="2"/>
  <c r="V42" i="2"/>
  <c r="V43" i="2"/>
  <c r="V44" i="2"/>
  <c r="V45" i="2"/>
  <c r="V46" i="2"/>
  <c r="V47" i="2"/>
  <c r="V48" i="2"/>
  <c r="V49" i="2"/>
  <c r="V50" i="2"/>
  <c r="V51" i="2"/>
  <c r="V52" i="2"/>
  <c r="V53" i="2"/>
  <c r="V54" i="2"/>
  <c r="V55" i="2"/>
  <c r="V56" i="2"/>
  <c r="V57" i="2"/>
  <c r="V58" i="2"/>
  <c r="V59" i="2"/>
  <c r="V60" i="2"/>
  <c r="V61" i="2"/>
  <c r="V62" i="2"/>
  <c r="V63" i="2"/>
  <c r="V64" i="2"/>
  <c r="V65" i="2"/>
  <c r="V66" i="2"/>
  <c r="V67" i="2"/>
  <c r="V68" i="2"/>
  <c r="V69" i="2"/>
  <c r="V70" i="2"/>
  <c r="V71" i="2"/>
  <c r="V72" i="2"/>
  <c r="V73" i="2"/>
  <c r="V74" i="2"/>
  <c r="V75" i="2"/>
  <c r="V76" i="2"/>
  <c r="V77" i="2"/>
  <c r="V78" i="2"/>
  <c r="V79" i="2"/>
  <c r="V80" i="2"/>
  <c r="V81" i="2"/>
  <c r="V82" i="2"/>
  <c r="V83" i="2"/>
  <c r="V84" i="2"/>
  <c r="V85" i="2"/>
  <c r="V86" i="2"/>
  <c r="V87" i="2"/>
  <c r="V88" i="2"/>
  <c r="V89" i="2"/>
  <c r="V90" i="2"/>
  <c r="V91" i="2"/>
  <c r="V92" i="2"/>
  <c r="V93" i="2"/>
  <c r="V94" i="2"/>
  <c r="V95" i="2"/>
  <c r="V96" i="2"/>
  <c r="V97" i="2"/>
  <c r="V98" i="2"/>
  <c r="V99" i="2"/>
  <c r="V100" i="2"/>
  <c r="V101" i="2"/>
  <c r="V102" i="2"/>
  <c r="V103" i="2"/>
  <c r="V104" i="2"/>
  <c r="V105" i="2"/>
  <c r="V106" i="2"/>
  <c r="V107" i="2"/>
  <c r="V108" i="2"/>
  <c r="V109" i="2"/>
  <c r="V110" i="2"/>
  <c r="V111" i="2"/>
  <c r="V112" i="2"/>
  <c r="V113" i="2"/>
  <c r="V114" i="2"/>
  <c r="V115" i="2"/>
  <c r="V116" i="2"/>
  <c r="V117" i="2"/>
  <c r="V118" i="2"/>
  <c r="V119" i="2"/>
  <c r="V120" i="2"/>
  <c r="V121" i="2"/>
  <c r="V122" i="2"/>
  <c r="V123" i="2"/>
  <c r="V124" i="2"/>
  <c r="V125" i="2"/>
  <c r="V126" i="2"/>
  <c r="V127" i="2"/>
  <c r="V128" i="2"/>
  <c r="V129" i="2"/>
  <c r="V130" i="2"/>
  <c r="V131" i="2"/>
  <c r="V132" i="2"/>
  <c r="V133" i="2"/>
  <c r="V134" i="2"/>
  <c r="V39" i="2"/>
  <c r="X6" i="7" l="1"/>
  <c r="X7" i="7"/>
  <c r="X10" i="7"/>
  <c r="X11" i="7"/>
  <c r="X12" i="7"/>
  <c r="X13" i="7"/>
  <c r="X8" i="7"/>
  <c r="X9" i="7"/>
  <c r="Z8" i="7"/>
  <c r="Y11" i="7"/>
  <c r="Y10" i="7"/>
  <c r="AA9" i="7"/>
  <c r="AA10" i="7"/>
  <c r="AA11" i="7"/>
  <c r="Z11" i="7"/>
  <c r="Z10" i="7"/>
  <c r="Z9" i="7"/>
  <c r="AA8" i="7"/>
  <c r="Y8" i="7"/>
  <c r="Y9" i="7"/>
  <c r="D7" i="7" l="1"/>
  <c r="Z13" i="7"/>
  <c r="Y7" i="7"/>
  <c r="Z12" i="7"/>
  <c r="AB11" i="7"/>
  <c r="AA7" i="7"/>
  <c r="AA12" i="7"/>
  <c r="AB8" i="7"/>
  <c r="Z7" i="7"/>
  <c r="Y13" i="7"/>
  <c r="AB10" i="7"/>
  <c r="Y12" i="7"/>
  <c r="AA13" i="7"/>
  <c r="AB9" i="7"/>
  <c r="D8" i="7"/>
  <c r="Y6" i="7"/>
  <c r="Z6" i="7"/>
  <c r="AA6" i="7"/>
  <c r="D11" i="7" l="1"/>
  <c r="AB13" i="7"/>
  <c r="AB12" i="7"/>
  <c r="AB7" i="7"/>
  <c r="AB6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MOUTON, William</author>
  </authors>
  <commentList>
    <comment ref="E1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 xml:space="preserve">Tecan.At.Common, 3.9.1.0
Tecan.At.Common.DocumentManagement, 3.9.1.0
Tecan.At.Common.DocumentManagement.Reader, 3.6.1.0
Tecan.At.Common.MCS, 3.9.1.0
Tecan.At.Common.Results, 3.9.1.0
Tecan.At.Common.UI, 3.9.1.0
Tecan.At.Communication.Common, 3.9.1.0
Tecan.At.Communication.Port.IP, 3.9.1.0
Tecan.At.Communication.Port.RS232, 3.9.1.0
Tecan.At.Communication.Port.SIM.Common, 3.9.1.0
Tecan.At.Communication.Port.USB, 3.9.1.0
Tecan.At.Communication.Server, 3.9.1.0
Tecan.At.Communication.SIM.AMR, 3.6.1.0
Tecan.At.Communication.SIM.AMRPlus, 3.6.1.0
Tecan.At.Communication.SIM.Connect, 3.9.1.0
Tecan.At.Communication.SIM.GeniosUltra, 3.6.1.0
Tecan.At.Communication.SIM.Safire3, 3.6.1.0
Tecan.At.Communication.SIM.Safire3Pro, 3.6.1.0
Tecan.At.Communication.SIM.SunriseMini, 3.6.1.0
Tecan.At.Instrument.Common, 3.9.1.0
Tecan.At.Instrument.Common.GCM, 3.9.1.0
Tecan.At.Instrument.Common.Reader, 3.6.1.0
Tecan.At.Instrument.Common.Stacker, 3.9.1.0
Tecan.At.Instrument.Gas.GCM, 3.9.1.0
Tecan.At.Instrument.GCM.Server, 3.9.1.0
Tecan.At.Instrument.Reader.AMR, 3.6.1.0
Tecan.At.Instrument.Reader.AMRPlus, 3.6.1.0
Tecan.At.Instrument.Reader.GeniosUltra, 3.6.1.0
Tecan.At.Instrument.Reader.Safire3, 3.6.1.0
Tecan.At.Instrument.Reader.Safire3Pro, 3.6.1.0
Tecan.At.Instrument.Reader.SunriseMini, 3.6.1.0
Tecan.At.Instrument.Server, 3.9.1.0
Tecan.At.Instrument.Stacker.Connect, 3.9.1.0
Tecan.At.Instrument.Stacker.Server, 3.9.1.0
Tecan.At.Measurement.BuiltInTest.Common, 3.6.1.0
Tecan.At.Measurement.Common, 3.6.1.0
Tecan.At.Measurement.Server, 3.6.1.0
Tecan.At.XFluor, 2.0.10.0
Tecan.At.XFluor.Connect.Reader, 2.0.10.0
Tecan.At.XFluor.Core, 2.0.10.0
Tecan.At.XFluor.Device, 2.0.10.0
Tecan.At.XFluor.Device.AMR, 2.0.10.0
Tecan.At.XFluor.Device.AMRPlus, 2.0.10.0
Tecan.At.XFluor.Device.GeniosUltra, 2.0.10.0
Tecan.At.XFluor.Device.Reader, 2.0.10.0
Tecan.At.XFluor.Device.Safire3, 2.0.10.0
Tecan.At.XFluor.Device.Safire3Pro, 2.0.10.0
Tecan.At.XFluor.Device.SunriseMini, 2.0.10.0
Tecan.At.XFluor.ExcelOutput, 2.0.10.0
Tecan.At.XFluor.NanoQuant, 2.0.10.0
Tecan.At.XFluor.ReaderEditor, 2.0.10.0
</t>
        </r>
      </text>
    </comment>
    <comment ref="E3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 xml:space="preserve">EHC, V_5.26_10/17_InfiniteRX (Oct 19 2017/13.54.43)
MTP, V_5.26_10/17_InfiniteRX (Oct 19 2017/13.54.43)
HCP, V_5.26_10/17_InfiniteRX (Oct 19 2017/13.54.43)
MEM, V_3.00_09/11_MCR (Sep 27 2011/15.05.45)
MEX, V_3.00_09/11_MCR (Sep 27 2011/15.05.10)
ZSCAN, V_5.26_10/17_InfiniteRX (Oct 19 2017/13.54.43)
</t>
        </r>
      </text>
    </comment>
  </commentList>
</comments>
</file>

<file path=xl/sharedStrings.xml><?xml version="1.0" encoding="utf-8"?>
<sst xmlns="http://schemas.openxmlformats.org/spreadsheetml/2006/main" count="406" uniqueCount="221">
  <si>
    <t>Application: Tecan i-control</t>
  </si>
  <si>
    <t>Tecan i-control , 2.0.10.0</t>
  </si>
  <si>
    <t>Device: infinite 200Pro</t>
  </si>
  <si>
    <t>Serial number: 1710002559</t>
  </si>
  <si>
    <t>Serial number of connected stacker:</t>
  </si>
  <si>
    <t>Firmware: V_5.26_10/17_InfiniteRX (Oct 19 2017/13.54.43)</t>
  </si>
  <si>
    <t>MAI, V_5.26_10/17_InfiniteRX (Oct 19 2017/13.54.43)</t>
  </si>
  <si>
    <t>Date:</t>
  </si>
  <si>
    <t>Time:</t>
  </si>
  <si>
    <t>System</t>
  </si>
  <si>
    <t>CR103095</t>
  </si>
  <si>
    <t>User</t>
  </si>
  <si>
    <t>CHU-LYON\moutonwi</t>
  </si>
  <si>
    <t>Plate</t>
  </si>
  <si>
    <t>Greiner 96 Flat Bottom Transparent Polystyrene Cat. No.: 655101/655161/655192 [GRE96ft.pdfx]</t>
  </si>
  <si>
    <t>Plate-ID (Stacker)</t>
  </si>
  <si>
    <t>Wait (Plate)</t>
  </si>
  <si>
    <t>On</t>
  </si>
  <si>
    <t>Target Temperature: 37 °C</t>
  </si>
  <si>
    <t>Wait (Plate Temperature)</t>
  </si>
  <si>
    <t>Valid Range: 36.5 - 37.5 °C</t>
  </si>
  <si>
    <t>List of actions in this measurement script:</t>
  </si>
  <si>
    <t>Kinetic</t>
  </si>
  <si>
    <t>Shaking (Orbital) Duration:</t>
  </si>
  <si>
    <t>s</t>
  </si>
  <si>
    <t>Shaking (Orbital) Amplitude:</t>
  </si>
  <si>
    <t>mm</t>
  </si>
  <si>
    <t>Absorbance</t>
  </si>
  <si>
    <t>Label: Label1</t>
  </si>
  <si>
    <t>Kinetic Measurement</t>
  </si>
  <si>
    <t>Kinetic Cycles</t>
  </si>
  <si>
    <t>Interval Time</t>
  </si>
  <si>
    <t>Measurement Wavelength</t>
  </si>
  <si>
    <t>nm</t>
  </si>
  <si>
    <t>Bandwidth</t>
  </si>
  <si>
    <t>Number of Flashes</t>
  </si>
  <si>
    <t>Settle Time</t>
  </si>
  <si>
    <t>ms</t>
  </si>
  <si>
    <t>Start Time:</t>
  </si>
  <si>
    <t>Cycle Nr.</t>
  </si>
  <si>
    <t>Time [s]</t>
  </si>
  <si>
    <t>Temp. [°C]</t>
  </si>
  <si>
    <t>A1</t>
  </si>
  <si>
    <t>A2</t>
  </si>
  <si>
    <t>A3</t>
  </si>
  <si>
    <t>A4</t>
  </si>
  <si>
    <t>A5</t>
  </si>
  <si>
    <t>A6</t>
  </si>
  <si>
    <t>A7</t>
  </si>
  <si>
    <t>A8</t>
  </si>
  <si>
    <t>A9</t>
  </si>
  <si>
    <t>A10</t>
  </si>
  <si>
    <t>A11</t>
  </si>
  <si>
    <t>A12</t>
  </si>
  <si>
    <t>B1</t>
  </si>
  <si>
    <t>B2</t>
  </si>
  <si>
    <t>B3</t>
  </si>
  <si>
    <t>B4</t>
  </si>
  <si>
    <t>B5</t>
  </si>
  <si>
    <t>B6</t>
  </si>
  <si>
    <t>B7</t>
  </si>
  <si>
    <t>B8</t>
  </si>
  <si>
    <t>B9</t>
  </si>
  <si>
    <t>B10</t>
  </si>
  <si>
    <t>B11</t>
  </si>
  <si>
    <t>B12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</si>
  <si>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</si>
  <si>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</si>
  <si>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</si>
  <si>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</si>
  <si>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</si>
  <si>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</si>
  <si>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</si>
  <si>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</si>
  <si>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</si>
  <si>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</si>
  <si>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</si>
  <si>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</si>
  <si>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D1</t>
  </si>
  <si>
    <t>D2</t>
  </si>
  <si>
    <t>D3</t>
  </si>
  <si>
    <t>D4</t>
  </si>
  <si>
    <t>D5</t>
  </si>
  <si>
    <t>D6</t>
  </si>
  <si>
    <t>D7</t>
  </si>
  <si>
    <t>D8</t>
  </si>
  <si>
    <t>D9</t>
  </si>
  <si>
    <t>D10</t>
  </si>
  <si>
    <t>D11</t>
  </si>
  <si>
    <t>D12</t>
  </si>
  <si>
    <t>E1</t>
  </si>
  <si>
    <t>E2</t>
  </si>
  <si>
    <t>E3</t>
  </si>
  <si>
    <t>E4</t>
  </si>
  <si>
    <t>E5</t>
  </si>
  <si>
    <t>E6</t>
  </si>
  <si>
    <t>E7</t>
  </si>
  <si>
    <t>E8</t>
  </si>
  <si>
    <t>E9</t>
  </si>
  <si>
    <t>E10</t>
  </si>
  <si>
    <t>E11</t>
  </si>
  <si>
    <t>E12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</si>
  <si>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</si>
  <si>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</si>
  <si>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</si>
  <si>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</si>
  <si>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</si>
  <si>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</si>
  <si>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</si>
  <si>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</si>
  <si>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</si>
  <si>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</si>
  <si>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</si>
  <si>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</si>
  <si>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G1</t>
  </si>
  <si>
    <t>G2</t>
  </si>
  <si>
    <t>G3</t>
  </si>
  <si>
    <t>G4</t>
  </si>
  <si>
    <t>G5</t>
  </si>
  <si>
    <t>G6</t>
  </si>
  <si>
    <t>G7</t>
  </si>
  <si>
    <t>G8</t>
  </si>
  <si>
    <t>G9</t>
  </si>
  <si>
    <t>G10</t>
  </si>
  <si>
    <t>G11</t>
  </si>
  <si>
    <t>G12</t>
  </si>
  <si>
    <t>H1</t>
  </si>
  <si>
    <t>H2</t>
  </si>
  <si>
    <t>H3</t>
  </si>
  <si>
    <t>H4</t>
  </si>
  <si>
    <t>H5</t>
  </si>
  <si>
    <t>H6</t>
  </si>
  <si>
    <t>H7</t>
  </si>
  <si>
    <t>H8</t>
  </si>
  <si>
    <t>H9</t>
  </si>
  <si>
    <t>H10</t>
  </si>
  <si>
    <t>H11</t>
  </si>
  <si>
    <t>H12</t>
  </si>
  <si>
    <t>End Time:</t>
  </si>
  <si>
    <t>A</t>
  </si>
  <si>
    <t>B</t>
  </si>
  <si>
    <t>C</t>
  </si>
  <si>
    <t>D</t>
  </si>
  <si>
    <t>E</t>
  </si>
  <si>
    <t>F</t>
  </si>
  <si>
    <t>G</t>
  </si>
  <si>
    <t>H</t>
  </si>
  <si>
    <t>type 1</t>
  </si>
  <si>
    <t>type 2</t>
  </si>
  <si>
    <t>W1</t>
  </si>
  <si>
    <t>W2</t>
  </si>
  <si>
    <t>W3</t>
  </si>
  <si>
    <t>type 3</t>
  </si>
  <si>
    <t>W4</t>
  </si>
  <si>
    <t>type 4</t>
  </si>
  <si>
    <t>white border definition</t>
  </si>
  <si>
    <t>white inner application</t>
  </si>
  <si>
    <t>Data sheet name</t>
  </si>
  <si>
    <t>Number of cycles</t>
  </si>
  <si>
    <t>Data</t>
  </si>
  <si>
    <t>type</t>
  </si>
  <si>
    <t>nb</t>
  </si>
  <si>
    <t>average</t>
  </si>
  <si>
    <t>min</t>
  </si>
  <si>
    <t>max</t>
  </si>
  <si>
    <t>Data last line @</t>
  </si>
  <si>
    <t>std dev</t>
  </si>
  <si>
    <t>experimental plan definition</t>
  </si>
  <si>
    <t>Condition name</t>
  </si>
  <si>
    <t>C13</t>
  </si>
  <si>
    <t>C14</t>
  </si>
  <si>
    <t>C15</t>
  </si>
  <si>
    <t>ID</t>
  </si>
  <si>
    <t>general configuration</t>
  </si>
  <si>
    <t>C16</t>
  </si>
  <si>
    <t>C17</t>
  </si>
  <si>
    <t>C18</t>
  </si>
  <si>
    <t>C24</t>
  </si>
  <si>
    <t>C26</t>
  </si>
  <si>
    <t>C25</t>
  </si>
  <si>
    <t>C19</t>
  </si>
  <si>
    <t>C20</t>
  </si>
  <si>
    <t>C21</t>
  </si>
  <si>
    <t>C22</t>
  </si>
  <si>
    <t>C23</t>
  </si>
  <si>
    <t>C27</t>
  </si>
  <si>
    <t>C28</t>
  </si>
  <si>
    <t>Data first line @</t>
  </si>
  <si>
    <t>W5</t>
  </si>
  <si>
    <t>W6</t>
  </si>
  <si>
    <t>type 5</t>
  </si>
  <si>
    <t>W7</t>
  </si>
  <si>
    <t>type 6</t>
  </si>
  <si>
    <t>W8</t>
  </si>
  <si>
    <t>type 7</t>
  </si>
  <si>
    <t>type 8</t>
  </si>
  <si>
    <t>T° Mini</t>
  </si>
  <si>
    <t>T° Maxi</t>
  </si>
  <si>
    <t>Temperature ?</t>
  </si>
  <si>
    <t>T growth mini (s)</t>
  </si>
  <si>
    <t>1077std-BHI</t>
  </si>
  <si>
    <t>1077std-V1</t>
  </si>
  <si>
    <t>1077std-V0,5</t>
  </si>
  <si>
    <t>1077std-V0,25</t>
  </si>
  <si>
    <t>1077std-V0,125</t>
  </si>
  <si>
    <t>1077std-V0,06</t>
  </si>
  <si>
    <t>1077std-V0,03</t>
  </si>
  <si>
    <t>1077V24-BHI</t>
  </si>
  <si>
    <t>1077V24-V1</t>
  </si>
  <si>
    <t>1077V24-V0,5</t>
  </si>
  <si>
    <t>1077V24-V0,25</t>
  </si>
  <si>
    <t>1077V24-V0,125</t>
  </si>
  <si>
    <t>1077V24-V0,06</t>
  </si>
  <si>
    <t>1077V24-V0,03</t>
  </si>
  <si>
    <t>1077V16-BHI</t>
  </si>
  <si>
    <t>1077V16-V1</t>
  </si>
  <si>
    <t>1077V16-V0,5</t>
  </si>
  <si>
    <t>1077V16-V0,25</t>
  </si>
  <si>
    <t>1077V16-V0,125</t>
  </si>
  <si>
    <t>1077V16-V0,06</t>
  </si>
  <si>
    <t>1077V16-V0,03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</si>
</sst>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000"/>
  </numFmts>
  <fonts count="14" x14ac:knownFonts="1">
    <font>
      <sz val="11"/>
      <color theme="1"/>
      <name val="Calibri"/>
      <family val="2"/>
      <scheme val="minor"/>
    </font>
    <font>
      <sz val="11"/>
      <color rgb="FFFFFFFF"/>
      <name val="Calibri"/>
      <family val="2"/>
      <scheme val="minor"/>
    </font>
    <font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rgb="FFFF0000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b/>
      <sz val="11"/>
      <color rgb="FF000000"/>
      <name val="Calibri"/>
      <family val="2"/>
      <scheme val="minor"/>
    </font>
    <font>
      <sz val="11"/>
      <name val="Calibri"/>
      <family val="2"/>
      <scheme val="minor"/>
    </font>
    <font>
      <sz val="12"/>
      <color rgb="FF000000"/>
      <name val="Calibri"/>
      <family val="2"/>
    </font>
    <font>
      <sz val="16"/>
      <color rgb="FF000000"/>
      <name val="Lucida Grande"/>
      <family val="2"/>
    </font>
  </fonts>
  <fills count="6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ADD8E6"/>
        <bgColor indexed="64"/>
      </patternFill>
    </fill>
    <fill>
      <patternFill patternType="solid">
        <fgColor rgb="FFADFF2F"/>
        <bgColor indexed="64"/>
      </patternFill>
    </fill>
    <fill>
      <patternFill patternType="solid">
        <fgColor rgb="FFB0C4DE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CD5B4"/>
        <bgColor rgb="FF000000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96FF"/>
        <bgColor indexed="64"/>
      </patternFill>
    </fill>
    <fill>
      <patternFill patternType="solid">
        <fgColor rgb="FFCFEEFA"/>
        <bgColor indexed="64"/>
      </patternFill>
    </fill>
    <fill>
      <patternFill patternType="solid">
        <fgColor rgb="FF6AF5F5"/>
        <bgColor indexed="64"/>
      </patternFill>
    </fill>
    <fill>
      <patternFill patternType="solid">
        <fgColor rgb="FF2EA5F0"/>
        <bgColor indexed="64"/>
      </patternFill>
    </fill>
    <fill>
      <patternFill patternType="solid">
        <fgColor rgb="FF5147EB"/>
        <bgColor indexed="64"/>
      </patternFill>
    </fill>
    <fill>
      <patternFill patternType="solid">
        <fgColor rgb="FFB431E6"/>
        <bgColor indexed="64"/>
      </patternFill>
    </fill>
    <fill>
      <patternFill patternType="solid">
        <fgColor rgb="FFFB79E1"/>
        <bgColor indexed="64"/>
      </patternFill>
    </fill>
    <fill>
      <patternFill patternType="solid">
        <fgColor rgb="FFE5DBDC"/>
        <bgColor indexed="64"/>
      </patternFill>
    </fill>
    <fill>
      <patternFill patternType="solid">
        <fgColor rgb="FF87FED7"/>
        <bgColor indexed="64"/>
      </patternFill>
    </fill>
    <fill>
      <patternFill patternType="solid">
        <fgColor rgb="FF36C1D2"/>
        <bgColor indexed="64"/>
      </patternFill>
    </fill>
    <fill>
      <patternFill patternType="solid">
        <fgColor rgb="FF3E5DCD"/>
        <bgColor indexed="64"/>
      </patternFill>
    </fill>
    <fill>
      <patternFill patternType="solid">
        <fgColor rgb="FF962DC8"/>
        <bgColor indexed="64"/>
      </patternFill>
    </fill>
    <fill>
      <patternFill patternType="solid">
        <fgColor rgb="FFEF5EC3"/>
        <bgColor indexed="64"/>
      </patternFill>
    </fill>
    <fill>
      <patternFill patternType="solid">
        <fgColor rgb="FFF5C2BE"/>
        <bgColor indexed="64"/>
      </patternFill>
    </fill>
    <fill>
      <patternFill patternType="solid">
        <fgColor rgb="FFA4FEB9"/>
        <bgColor indexed="64"/>
      </patternFill>
    </fill>
    <fill>
      <patternFill patternType="solid">
        <fgColor rgb="FF46DAB4"/>
        <bgColor indexed="64"/>
      </patternFill>
    </fill>
    <fill>
      <patternFill patternType="solid">
        <fgColor rgb="FF3178AF"/>
        <bgColor indexed="64"/>
      </patternFill>
    </fill>
    <fill>
      <patternFill patternType="solid">
        <fgColor rgb="FF7931AA"/>
        <bgColor indexed="64"/>
      </patternFill>
    </fill>
    <fill>
      <patternFill patternType="solid">
        <fgColor rgb="FFDB47A5"/>
        <bgColor indexed="64"/>
      </patternFill>
    </fill>
    <fill>
      <patternFill patternType="solid">
        <fgColor rgb="FFFEA6A0"/>
        <bgColor indexed="64"/>
      </patternFill>
    </fill>
    <fill>
      <patternFill patternType="solid">
        <fgColor rgb="FFC1F69B"/>
        <bgColor indexed="64"/>
      </patternFill>
    </fill>
    <fill>
      <patternFill patternType="solid">
        <fgColor rgb="FF5CEE96"/>
        <bgColor indexed="64"/>
      </patternFill>
    </fill>
    <fill>
      <patternFill patternType="solid">
        <fgColor rgb="FF2D9591"/>
        <bgColor indexed="64"/>
      </patternFill>
    </fill>
    <fill>
      <patternFill patternType="solid">
        <fgColor rgb="FF5E3D8C"/>
        <bgColor indexed="64"/>
      </patternFill>
    </fill>
    <fill>
      <patternFill patternType="solid">
        <fgColor rgb="FFC33787"/>
        <bgColor indexed="64"/>
      </patternFill>
    </fill>
    <fill>
      <patternFill patternType="solid">
        <fgColor rgb="FFFE8882"/>
        <bgColor indexed="64"/>
      </patternFill>
    </fill>
    <fill>
      <patternFill patternType="solid">
        <fgColor rgb="FFDAE67D"/>
        <bgColor indexed="64"/>
      </patternFill>
    </fill>
    <fill>
      <patternFill patternType="solid">
        <fgColor rgb="FF77FA78"/>
        <bgColor indexed="64"/>
      </patternFill>
    </fill>
    <fill>
      <patternFill patternType="solid">
        <fgColor rgb="FFFDE9D9"/>
        <bgColor rgb="FF000000"/>
      </patternFill>
    </fill>
    <fill>
      <patternFill patternType="solid">
        <fgColor theme="9" tint="0.79998168889431442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8DB4E2"/>
        <bgColor rgb="FF000000"/>
      </patternFill>
    </fill>
    <fill>
      <patternFill patternType="solid">
        <fgColor rgb="FFCCC0DA"/>
        <bgColor rgb="FF000000"/>
      </patternFill>
    </fill>
    <fill>
      <patternFill patternType="solid">
        <fgColor rgb="FFD9D9D9"/>
        <bgColor rgb="FF000000"/>
      </patternFill>
    </fill>
    <fill>
      <patternFill patternType="solid">
        <fgColor theme="6" tint="0.39997558519241921"/>
        <bgColor rgb="FF000000"/>
      </patternFill>
    </fill>
    <fill>
      <patternFill patternType="solid">
        <fgColor theme="2" tint="-0.499984740745262"/>
        <bgColor rgb="FF000000"/>
      </patternFill>
    </fill>
    <fill>
      <patternFill patternType="solid">
        <fgColor theme="8" tint="0.39997558519241921"/>
        <bgColor rgb="FF000000"/>
      </patternFill>
    </fill>
    <fill>
      <patternFill patternType="solid">
        <fgColor theme="5" tint="0.79998168889431442"/>
        <bgColor rgb="FF000000"/>
      </patternFill>
    </fill>
    <fill>
      <patternFill patternType="solid">
        <fgColor rgb="FFF2DCDB"/>
        <bgColor rgb="FF000000"/>
      </patternFill>
    </fill>
    <fill>
      <patternFill patternType="solid">
        <fgColor rgb="FFADFF2F"/>
        <bgColor rgb="FF000000"/>
      </patternFill>
    </fill>
    <fill>
      <patternFill patternType="solid">
        <fgColor rgb="FF808080"/>
        <bgColor rgb="FF000000"/>
      </patternFill>
    </fill>
    <fill>
      <patternFill patternType="solid">
        <fgColor rgb="FF3E5DCD"/>
        <bgColor rgb="FF000000"/>
      </patternFill>
    </fill>
    <fill>
      <patternFill patternType="solid">
        <fgColor rgb="FFE4DFEC"/>
        <bgColor rgb="FF000000"/>
      </patternFill>
    </fill>
    <fill>
      <patternFill patternType="solid">
        <fgColor rgb="FF36C1D2"/>
        <bgColor rgb="FF000000"/>
      </patternFill>
    </fill>
    <fill>
      <patternFill patternType="solid">
        <fgColor rgb="FF87FED7"/>
        <bgColor rgb="FF000000"/>
      </patternFill>
    </fill>
  </fills>
  <borders count="32">
    <border>
      <left/>
      <right/>
      <top/>
      <bottom/>
      <diagonal/>
    </border>
    <border>
      <left/>
      <right style="thin">
        <color theme="9" tint="0.59999389629810485"/>
      </right>
      <top/>
      <bottom style="thin">
        <color theme="9" tint="0.59999389629810485"/>
      </bottom>
      <diagonal/>
    </border>
    <border>
      <left/>
      <right style="thin">
        <color theme="9" tint="0.59999389629810485"/>
      </right>
      <top style="thin">
        <color theme="9" tint="0.59999389629810485"/>
      </top>
      <bottom style="thin">
        <color theme="9" tint="0.59999389629810485"/>
      </bottom>
      <diagonal/>
    </border>
    <border>
      <left/>
      <right style="thin">
        <color theme="9" tint="0.59999389629810485"/>
      </right>
      <top style="thin">
        <color theme="9" tint="0.59999389629810485"/>
      </top>
      <bottom/>
      <diagonal/>
    </border>
    <border>
      <left style="thin">
        <color theme="9" tint="0.59999389629810485"/>
      </left>
      <right/>
      <top/>
      <bottom style="thin">
        <color theme="9" tint="0.79998168889431442"/>
      </bottom>
      <diagonal/>
    </border>
    <border>
      <left/>
      <right/>
      <top/>
      <bottom style="thin">
        <color theme="9" tint="0.59999389629810485"/>
      </bottom>
      <diagonal/>
    </border>
    <border>
      <left/>
      <right/>
      <top/>
      <bottom style="thin">
        <color theme="9" tint="0.79998168889431442"/>
      </bottom>
      <diagonal/>
    </border>
    <border>
      <left/>
      <right/>
      <top style="thin">
        <color theme="9" tint="0.79998168889431442"/>
      </top>
      <bottom/>
      <diagonal/>
    </border>
    <border>
      <left/>
      <right/>
      <top style="thin">
        <color theme="9" tint="0.79998168889431442"/>
      </top>
      <bottom style="thin">
        <color theme="9" tint="0.79998168889431442"/>
      </bottom>
      <diagonal/>
    </border>
    <border>
      <left style="medium">
        <color theme="0" tint="-0.499984740745262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/>
      <right/>
      <top style="medium">
        <color theme="0" tint="-0.499984740745262"/>
      </top>
      <bottom style="medium">
        <color theme="0" tint="-0.499984740745262"/>
      </bottom>
      <diagonal/>
    </border>
    <border>
      <left/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medium">
        <color theme="0" tint="-0.499984740745262"/>
      </left>
      <right/>
      <top style="medium">
        <color theme="0" tint="-0.499984740745262"/>
      </top>
      <bottom/>
      <diagonal/>
    </border>
    <border>
      <left/>
      <right/>
      <top style="medium">
        <color theme="0" tint="-0.499984740745262"/>
      </top>
      <bottom/>
      <diagonal/>
    </border>
    <border>
      <left/>
      <right style="medium">
        <color theme="0" tint="-0.499984740745262"/>
      </right>
      <top style="medium">
        <color theme="0" tint="-0.499984740745262"/>
      </top>
      <bottom/>
      <diagonal/>
    </border>
    <border>
      <left style="medium">
        <color theme="0" tint="-0.499984740745262"/>
      </left>
      <right/>
      <top/>
      <bottom/>
      <diagonal/>
    </border>
    <border>
      <left/>
      <right style="medium">
        <color theme="0" tint="-0.499984740745262"/>
      </right>
      <top/>
      <bottom/>
      <diagonal/>
    </border>
    <border>
      <left style="medium">
        <color theme="0" tint="-0.499984740745262"/>
      </left>
      <right/>
      <top/>
      <bottom style="medium">
        <color theme="0" tint="-0.499984740745262"/>
      </bottom>
      <diagonal/>
    </border>
    <border>
      <left/>
      <right/>
      <top/>
      <bottom style="medium">
        <color theme="0" tint="-0.499984740745262"/>
      </bottom>
      <diagonal/>
    </border>
    <border>
      <left/>
      <right style="medium">
        <color theme="0" tint="-0.499984740745262"/>
      </right>
      <top/>
      <bottom style="medium">
        <color theme="0" tint="-0.499984740745262"/>
      </bottom>
      <diagonal/>
    </border>
    <border>
      <left style="thin">
        <color theme="7" tint="0.59999389629810485"/>
      </left>
      <right style="thin">
        <color theme="7" tint="0.59999389629810485"/>
      </right>
      <top style="thin">
        <color theme="7" tint="0.59999389629810485"/>
      </top>
      <bottom style="thin">
        <color theme="7" tint="0.59999389629810485"/>
      </bottom>
      <diagonal/>
    </border>
    <border>
      <left style="thin">
        <color theme="6" tint="0.59999389629810485"/>
      </left>
      <right style="thin">
        <color theme="6" tint="0.59999389629810485"/>
      </right>
      <top style="thin">
        <color theme="6" tint="0.59999389629810485"/>
      </top>
      <bottom style="thin">
        <color theme="6" tint="0.59999389629810485"/>
      </bottom>
      <diagonal/>
    </border>
    <border>
      <left style="thin">
        <color theme="5" tint="0.59999389629810485"/>
      </left>
      <right style="thin">
        <color theme="5" tint="0.59999389629810485"/>
      </right>
      <top style="thin">
        <color theme="5" tint="0.59999389629810485"/>
      </top>
      <bottom style="thin">
        <color theme="5" tint="0.59999389629810485"/>
      </bottom>
      <diagonal/>
    </border>
    <border>
      <left style="thin">
        <color rgb="FFCCC0DA"/>
      </left>
      <right style="thin">
        <color rgb="FFCCC0DA"/>
      </right>
      <top style="thin">
        <color rgb="FFCCC0DA"/>
      </top>
      <bottom style="thin">
        <color rgb="FFCCC0DA"/>
      </bottom>
      <diagonal/>
    </border>
    <border>
      <left/>
      <right style="thin">
        <color rgb="FFCCC0DA"/>
      </right>
      <top style="thin">
        <color rgb="FFCCC0DA"/>
      </top>
      <bottom style="thin">
        <color rgb="FFCCC0DA"/>
      </bottom>
      <diagonal/>
    </border>
    <border>
      <left/>
      <right style="thin">
        <color rgb="FFFCD5B4"/>
      </right>
      <top style="thin">
        <color rgb="FFFCD5B4"/>
      </top>
      <bottom/>
      <diagonal/>
    </border>
    <border>
      <left/>
      <right/>
      <top/>
      <bottom style="medium">
        <color rgb="FF808080"/>
      </bottom>
      <diagonal/>
    </border>
    <border>
      <left style="thin">
        <color rgb="FFD8E4BC"/>
      </left>
      <right style="thin">
        <color rgb="FFD8E4BC"/>
      </right>
      <top style="thin">
        <color rgb="FFD8E4BC"/>
      </top>
      <bottom style="thin">
        <color rgb="FFD8E4BC"/>
      </bottom>
      <diagonal/>
    </border>
    <border>
      <left/>
      <right style="thin">
        <color rgb="FFFCD5B4"/>
      </right>
      <top style="thin">
        <color rgb="FFFCD5B4"/>
      </top>
      <bottom style="thin">
        <color rgb="FFFCD5B4"/>
      </bottom>
      <diagonal/>
    </border>
    <border>
      <left/>
      <right style="thin">
        <color rgb="FFFCD5B4"/>
      </right>
      <top/>
      <bottom style="thin">
        <color rgb="FFFCD5B4"/>
      </bottom>
      <diagonal/>
    </border>
    <border>
      <left style="thin">
        <color rgb="FFE6B8B7"/>
      </left>
      <right style="thin">
        <color rgb="FFE6B8B7"/>
      </right>
      <top style="thin">
        <color rgb="FFE6B8B7"/>
      </top>
      <bottom style="thin">
        <color rgb="FFE6B8B7"/>
      </bottom>
      <diagonal/>
    </border>
    <border>
      <left/>
      <right style="thin">
        <color rgb="FFE6B8B7"/>
      </right>
      <top style="thin">
        <color rgb="FFE6B8B7"/>
      </top>
      <bottom style="thin">
        <color rgb="FFE6B8B7"/>
      </bottom>
      <diagonal/>
    </border>
  </borders>
  <cellStyleXfs count="300">
    <xf numFmtId="0" fontId="0" fillId="0" borderId="0"/>
    <xf numFmtId="0" fontId="1" fillId="2" borderId="0"/>
    <xf numFmtId="0" fontId="2" fillId="3" borderId="0"/>
    <xf numFmtId="0" fontId="2" fillId="4" borderId="0"/>
    <xf numFmtId="0" fontId="2" fillId="5" borderId="0"/>
    <xf numFmtId="0" fontId="2" fillId="6" borderId="0"/>
    <xf numFmtId="0" fontId="2" fillId="7" borderId="0"/>
    <xf numFmtId="0" fontId="2" fillId="8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161">
    <xf numFmtId="0" fontId="0" fillId="0" borderId="0" xfId="0"/>
    <xf numFmtId="0" fontId="1" fillId="9" borderId="0" xfId="0" applyFont="1" applyFill="1"/>
    <xf numFmtId="0" fontId="0" fillId="0" borderId="0" xfId="0" applyAlignment="1">
      <alignment horizontal="center"/>
    </xf>
    <xf numFmtId="0" fontId="5" fillId="11" borderId="0" xfId="0" applyFont="1" applyFill="1" applyAlignment="1">
      <alignment horizontal="center"/>
    </xf>
    <xf numFmtId="0" fontId="0" fillId="11" borderId="0" xfId="0" applyFill="1" applyAlignment="1">
      <alignment horizontal="center"/>
    </xf>
    <xf numFmtId="0" fontId="0" fillId="12" borderId="0" xfId="0" applyFill="1" applyBorder="1" applyAlignment="1">
      <alignment horizontal="center"/>
    </xf>
    <xf numFmtId="0" fontId="0" fillId="13" borderId="0" xfId="0" applyFill="1" applyBorder="1" applyAlignment="1">
      <alignment horizontal="center"/>
    </xf>
    <xf numFmtId="0" fontId="7" fillId="10" borderId="0" xfId="0" applyFont="1" applyFill="1" applyBorder="1" applyAlignment="1">
      <alignment horizontal="center"/>
    </xf>
    <xf numFmtId="0" fontId="0" fillId="17" borderId="0" xfId="0" applyFill="1" applyBorder="1" applyAlignment="1">
      <alignment horizontal="center"/>
    </xf>
    <xf numFmtId="0" fontId="0" fillId="14" borderId="5" xfId="0" applyFill="1" applyBorder="1" applyAlignment="1">
      <alignment horizontal="center"/>
    </xf>
    <xf numFmtId="0" fontId="0" fillId="10" borderId="7" xfId="0" applyFill="1" applyBorder="1" applyAlignment="1">
      <alignment horizontal="center"/>
    </xf>
    <xf numFmtId="0" fontId="0" fillId="12" borderId="9" xfId="0" applyFill="1" applyBorder="1" applyAlignment="1"/>
    <xf numFmtId="0" fontId="0" fillId="12" borderId="10" xfId="0" applyFill="1" applyBorder="1" applyAlignment="1"/>
    <xf numFmtId="0" fontId="0" fillId="12" borderId="11" xfId="0" applyFill="1" applyBorder="1" applyAlignment="1"/>
    <xf numFmtId="0" fontId="0" fillId="12" borderId="12" xfId="0" applyFill="1" applyBorder="1" applyAlignment="1">
      <alignment horizontal="center"/>
    </xf>
    <xf numFmtId="0" fontId="0" fillId="12" borderId="13" xfId="0" applyFill="1" applyBorder="1" applyAlignment="1">
      <alignment horizontal="center"/>
    </xf>
    <xf numFmtId="0" fontId="0" fillId="12" borderId="14" xfId="0" applyFill="1" applyBorder="1" applyAlignment="1">
      <alignment horizontal="center"/>
    </xf>
    <xf numFmtId="0" fontId="0" fillId="12" borderId="15" xfId="0" applyFill="1" applyBorder="1" applyAlignment="1">
      <alignment horizontal="center"/>
    </xf>
    <xf numFmtId="0" fontId="0" fillId="12" borderId="16" xfId="0" applyFill="1" applyBorder="1" applyAlignment="1">
      <alignment horizontal="center"/>
    </xf>
    <xf numFmtId="0" fontId="0" fillId="12" borderId="17" xfId="0" applyFill="1" applyBorder="1" applyAlignment="1">
      <alignment horizontal="center"/>
    </xf>
    <xf numFmtId="0" fontId="0" fillId="12" borderId="18" xfId="0" applyFill="1" applyBorder="1" applyAlignment="1">
      <alignment horizontal="center"/>
    </xf>
    <xf numFmtId="0" fontId="0" fillId="12" borderId="19" xfId="0" applyFill="1" applyBorder="1" applyAlignment="1">
      <alignment horizontal="center"/>
    </xf>
    <xf numFmtId="0" fontId="0" fillId="13" borderId="12" xfId="0" applyFill="1" applyBorder="1" applyAlignment="1">
      <alignment horizontal="center"/>
    </xf>
    <xf numFmtId="0" fontId="0" fillId="13" borderId="13" xfId="0" applyFill="1" applyBorder="1" applyAlignment="1">
      <alignment horizontal="center"/>
    </xf>
    <xf numFmtId="0" fontId="0" fillId="13" borderId="14" xfId="0" applyFill="1" applyBorder="1" applyAlignment="1">
      <alignment horizontal="center"/>
    </xf>
    <xf numFmtId="0" fontId="0" fillId="13" borderId="15" xfId="0" applyFill="1" applyBorder="1" applyAlignment="1">
      <alignment horizontal="center"/>
    </xf>
    <xf numFmtId="0" fontId="0" fillId="13" borderId="16" xfId="0" applyFill="1" applyBorder="1" applyAlignment="1">
      <alignment horizontal="center"/>
    </xf>
    <xf numFmtId="0" fontId="0" fillId="13" borderId="17" xfId="0" applyFill="1" applyBorder="1" applyAlignment="1">
      <alignment horizontal="center"/>
    </xf>
    <xf numFmtId="0" fontId="0" fillId="13" borderId="18" xfId="0" applyFill="1" applyBorder="1" applyAlignment="1">
      <alignment horizontal="center"/>
    </xf>
    <xf numFmtId="0" fontId="0" fillId="13" borderId="19" xfId="0" applyFill="1" applyBorder="1" applyAlignment="1">
      <alignment horizontal="center"/>
    </xf>
    <xf numFmtId="0" fontId="0" fillId="13" borderId="9" xfId="0" applyFill="1" applyBorder="1" applyAlignment="1"/>
    <xf numFmtId="0" fontId="0" fillId="13" borderId="10" xfId="0" applyFill="1" applyBorder="1" applyAlignment="1"/>
    <xf numFmtId="0" fontId="0" fillId="13" borderId="11" xfId="0" applyFill="1" applyBorder="1" applyAlignment="1"/>
    <xf numFmtId="0" fontId="0" fillId="17" borderId="9" xfId="0" applyFill="1" applyBorder="1" applyAlignment="1"/>
    <xf numFmtId="0" fontId="0" fillId="17" borderId="10" xfId="0" applyFill="1" applyBorder="1" applyAlignment="1"/>
    <xf numFmtId="0" fontId="0" fillId="17" borderId="11" xfId="0" applyFill="1" applyBorder="1" applyAlignment="1"/>
    <xf numFmtId="0" fontId="0" fillId="17" borderId="12" xfId="0" applyFill="1" applyBorder="1" applyAlignment="1">
      <alignment horizontal="center"/>
    </xf>
    <xf numFmtId="0" fontId="0" fillId="17" borderId="13" xfId="0" applyFill="1" applyBorder="1" applyAlignment="1">
      <alignment horizontal="center"/>
    </xf>
    <xf numFmtId="0" fontId="0" fillId="17" borderId="14" xfId="0" applyFill="1" applyBorder="1" applyAlignment="1">
      <alignment horizontal="center"/>
    </xf>
    <xf numFmtId="0" fontId="0" fillId="17" borderId="15" xfId="0" applyFill="1" applyBorder="1" applyAlignment="1">
      <alignment horizontal="center"/>
    </xf>
    <xf numFmtId="0" fontId="0" fillId="17" borderId="16" xfId="0" applyFill="1" applyBorder="1" applyAlignment="1">
      <alignment horizontal="center"/>
    </xf>
    <xf numFmtId="0" fontId="0" fillId="17" borderId="17" xfId="0" applyFill="1" applyBorder="1" applyAlignment="1">
      <alignment horizontal="center"/>
    </xf>
    <xf numFmtId="0" fontId="0" fillId="17" borderId="18" xfId="0" applyFill="1" applyBorder="1" applyAlignment="1">
      <alignment horizontal="center"/>
    </xf>
    <xf numFmtId="0" fontId="0" fillId="17" borderId="19" xfId="0" applyFill="1" applyBorder="1" applyAlignment="1">
      <alignment horizontal="center"/>
    </xf>
    <xf numFmtId="0" fontId="0" fillId="10" borderId="12" xfId="0" applyFill="1" applyBorder="1" applyAlignment="1">
      <alignment horizontal="center"/>
    </xf>
    <xf numFmtId="0" fontId="0" fillId="10" borderId="13" xfId="0" applyFill="1" applyBorder="1" applyAlignment="1">
      <alignment horizontal="center"/>
    </xf>
    <xf numFmtId="0" fontId="0" fillId="10" borderId="14" xfId="0" applyFill="1" applyBorder="1" applyAlignment="1">
      <alignment horizontal="center"/>
    </xf>
    <xf numFmtId="0" fontId="0" fillId="10" borderId="15" xfId="0" applyFill="1" applyBorder="1" applyAlignment="1">
      <alignment horizontal="center"/>
    </xf>
    <xf numFmtId="0" fontId="0" fillId="10" borderId="16" xfId="0" applyFill="1" applyBorder="1" applyAlignment="1">
      <alignment horizontal="center"/>
    </xf>
    <xf numFmtId="0" fontId="2" fillId="16" borderId="15" xfId="0" applyFont="1" applyFill="1" applyBorder="1" applyAlignment="1">
      <alignment horizontal="center"/>
    </xf>
    <xf numFmtId="0" fontId="2" fillId="16" borderId="0" xfId="0" applyFont="1" applyFill="1" applyBorder="1" applyAlignment="1">
      <alignment horizontal="center"/>
    </xf>
    <xf numFmtId="0" fontId="2" fillId="16" borderId="16" xfId="0" applyFont="1" applyFill="1" applyBorder="1" applyAlignment="1">
      <alignment horizontal="center"/>
    </xf>
    <xf numFmtId="0" fontId="0" fillId="10" borderId="17" xfId="0" applyFill="1" applyBorder="1" applyAlignment="1">
      <alignment horizontal="center"/>
    </xf>
    <xf numFmtId="0" fontId="0" fillId="10" borderId="19" xfId="0" applyFill="1" applyBorder="1" applyAlignment="1">
      <alignment horizontal="center"/>
    </xf>
    <xf numFmtId="0" fontId="0" fillId="0" borderId="20" xfId="0" applyBorder="1" applyAlignment="1">
      <alignment horizontal="center"/>
    </xf>
    <xf numFmtId="0" fontId="0" fillId="15" borderId="20" xfId="0" applyFill="1" applyBorder="1" applyAlignment="1">
      <alignment horizontal="center"/>
    </xf>
    <xf numFmtId="0" fontId="8" fillId="0" borderId="20" xfId="0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2" xfId="0" applyFill="1" applyBorder="1" applyAlignment="1">
      <alignment horizontal="center"/>
    </xf>
    <xf numFmtId="0" fontId="0" fillId="10" borderId="9" xfId="0" applyFill="1" applyBorder="1" applyAlignment="1"/>
    <xf numFmtId="0" fontId="0" fillId="10" borderId="10" xfId="0" applyFill="1" applyBorder="1" applyAlignment="1"/>
    <xf numFmtId="0" fontId="0" fillId="10" borderId="11" xfId="0" applyFill="1" applyBorder="1" applyAlignment="1"/>
    <xf numFmtId="0" fontId="0" fillId="8" borderId="22" xfId="0" applyFill="1" applyBorder="1" applyAlignment="1">
      <alignment horizontal="center"/>
    </xf>
    <xf numFmtId="0" fontId="0" fillId="18" borderId="4" xfId="0" applyFill="1" applyBorder="1" applyAlignment="1">
      <alignment horizontal="center"/>
    </xf>
    <xf numFmtId="0" fontId="0" fillId="19" borderId="4" xfId="0" applyFill="1" applyBorder="1" applyAlignment="1">
      <alignment horizontal="center"/>
    </xf>
    <xf numFmtId="0" fontId="0" fillId="20" borderId="4" xfId="0" applyFill="1" applyBorder="1" applyAlignment="1">
      <alignment horizontal="center"/>
    </xf>
    <xf numFmtId="0" fontId="0" fillId="21" borderId="4" xfId="0" applyFill="1" applyBorder="1" applyAlignment="1">
      <alignment horizontal="center"/>
    </xf>
    <xf numFmtId="0" fontId="0" fillId="22" borderId="4" xfId="0" applyFill="1" applyBorder="1" applyAlignment="1">
      <alignment horizontal="center"/>
    </xf>
    <xf numFmtId="0" fontId="0" fillId="23" borderId="4" xfId="0" applyFill="1" applyBorder="1" applyAlignment="1">
      <alignment horizontal="center"/>
    </xf>
    <xf numFmtId="0" fontId="0" fillId="24" borderId="4" xfId="0" applyFill="1" applyBorder="1" applyAlignment="1">
      <alignment horizontal="center"/>
    </xf>
    <xf numFmtId="0" fontId="0" fillId="25" borderId="4" xfId="0" applyFill="1" applyBorder="1" applyAlignment="1">
      <alignment horizontal="center"/>
    </xf>
    <xf numFmtId="0" fontId="0" fillId="26" borderId="4" xfId="0" applyFill="1" applyBorder="1" applyAlignment="1">
      <alignment horizontal="center"/>
    </xf>
    <xf numFmtId="0" fontId="0" fillId="27" borderId="4" xfId="0" applyFill="1" applyBorder="1" applyAlignment="1">
      <alignment horizontal="center"/>
    </xf>
    <xf numFmtId="0" fontId="0" fillId="28" borderId="4" xfId="0" applyFill="1" applyBorder="1" applyAlignment="1">
      <alignment horizontal="center"/>
    </xf>
    <xf numFmtId="0" fontId="0" fillId="29" borderId="4" xfId="0" applyFill="1" applyBorder="1" applyAlignment="1">
      <alignment horizontal="center"/>
    </xf>
    <xf numFmtId="0" fontId="0" fillId="30" borderId="4" xfId="0" applyFill="1" applyBorder="1" applyAlignment="1">
      <alignment horizontal="center"/>
    </xf>
    <xf numFmtId="0" fontId="0" fillId="31" borderId="4" xfId="0" applyFill="1" applyBorder="1" applyAlignment="1">
      <alignment horizontal="center"/>
    </xf>
    <xf numFmtId="0" fontId="0" fillId="32" borderId="4" xfId="0" applyFill="1" applyBorder="1" applyAlignment="1">
      <alignment horizontal="center"/>
    </xf>
    <xf numFmtId="0" fontId="0" fillId="33" borderId="4" xfId="0" applyFill="1" applyBorder="1" applyAlignment="1">
      <alignment horizontal="center"/>
    </xf>
    <xf numFmtId="0" fontId="0" fillId="34" borderId="4" xfId="0" applyFill="1" applyBorder="1" applyAlignment="1">
      <alignment horizontal="center"/>
    </xf>
    <xf numFmtId="0" fontId="0" fillId="35" borderId="4" xfId="0" applyFill="1" applyBorder="1" applyAlignment="1">
      <alignment horizontal="center"/>
    </xf>
    <xf numFmtId="0" fontId="0" fillId="36" borderId="4" xfId="0" applyFill="1" applyBorder="1" applyAlignment="1">
      <alignment horizontal="center"/>
    </xf>
    <xf numFmtId="0" fontId="0" fillId="37" borderId="4" xfId="0" applyFill="1" applyBorder="1" applyAlignment="1">
      <alignment horizontal="center"/>
    </xf>
    <xf numFmtId="0" fontId="0" fillId="38" borderId="4" xfId="0" applyFill="1" applyBorder="1" applyAlignment="1">
      <alignment horizontal="center"/>
    </xf>
    <xf numFmtId="0" fontId="0" fillId="39" borderId="4" xfId="0" applyFill="1" applyBorder="1" applyAlignment="1">
      <alignment horizontal="center"/>
    </xf>
    <xf numFmtId="0" fontId="0" fillId="40" borderId="4" xfId="0" applyFill="1" applyBorder="1" applyAlignment="1">
      <alignment horizontal="center"/>
    </xf>
    <xf numFmtId="0" fontId="0" fillId="41" borderId="4" xfId="0" applyFill="1" applyBorder="1" applyAlignment="1">
      <alignment horizontal="center"/>
    </xf>
    <xf numFmtId="0" fontId="0" fillId="42" borderId="4" xfId="0" applyFill="1" applyBorder="1" applyAlignment="1">
      <alignment horizontal="center"/>
    </xf>
    <xf numFmtId="0" fontId="0" fillId="43" borderId="4" xfId="0" applyFill="1" applyBorder="1" applyAlignment="1">
      <alignment horizontal="center"/>
    </xf>
    <xf numFmtId="0" fontId="0" fillId="44" borderId="4" xfId="0" applyFill="1" applyBorder="1" applyAlignment="1">
      <alignment horizontal="center"/>
    </xf>
    <xf numFmtId="0" fontId="0" fillId="45" borderId="4" xfId="0" applyFill="1" applyBorder="1" applyAlignment="1">
      <alignment horizontal="center"/>
    </xf>
    <xf numFmtId="0" fontId="0" fillId="19" borderId="22" xfId="0" applyFill="1" applyBorder="1" applyAlignment="1">
      <alignment horizontal="center"/>
    </xf>
    <xf numFmtId="0" fontId="0" fillId="20" borderId="22" xfId="0" applyFill="1" applyBorder="1" applyAlignment="1">
      <alignment horizontal="center"/>
    </xf>
    <xf numFmtId="0" fontId="0" fillId="21" borderId="22" xfId="0" applyFill="1" applyBorder="1" applyAlignment="1">
      <alignment horizontal="center"/>
    </xf>
    <xf numFmtId="0" fontId="0" fillId="22" borderId="22" xfId="0" applyFill="1" applyBorder="1" applyAlignment="1">
      <alignment horizontal="center"/>
    </xf>
    <xf numFmtId="0" fontId="0" fillId="23" borderId="22" xfId="0" applyFill="1" applyBorder="1" applyAlignment="1">
      <alignment horizontal="center"/>
    </xf>
    <xf numFmtId="0" fontId="0" fillId="24" borderId="22" xfId="0" applyFill="1" applyBorder="1" applyAlignment="1">
      <alignment horizontal="center"/>
    </xf>
    <xf numFmtId="0" fontId="0" fillId="30" borderId="22" xfId="0" applyFill="1" applyBorder="1" applyAlignment="1">
      <alignment horizontal="center"/>
    </xf>
    <xf numFmtId="0" fontId="0" fillId="32" borderId="22" xfId="0" applyFill="1" applyBorder="1" applyAlignment="1">
      <alignment horizontal="center"/>
    </xf>
    <xf numFmtId="0" fontId="2" fillId="16" borderId="26" xfId="0" applyFont="1" applyFill="1" applyBorder="1" applyAlignment="1">
      <alignment horizontal="center"/>
    </xf>
    <xf numFmtId="164" fontId="7" fillId="0" borderId="20" xfId="0" applyNumberFormat="1" applyFont="1" applyBorder="1" applyAlignment="1"/>
    <xf numFmtId="164" fontId="0" fillId="0" borderId="20" xfId="0" applyNumberFormat="1" applyFont="1" applyBorder="1" applyAlignment="1"/>
    <xf numFmtId="164" fontId="0" fillId="0" borderId="20" xfId="0" applyNumberFormat="1" applyBorder="1" applyAlignment="1"/>
    <xf numFmtId="0" fontId="0" fillId="11" borderId="0" xfId="0" applyFill="1"/>
    <xf numFmtId="0" fontId="10" fillId="16" borderId="0" xfId="0" applyFont="1" applyFill="1" applyAlignment="1">
      <alignment horizontal="center"/>
    </xf>
    <xf numFmtId="0" fontId="2" fillId="47" borderId="0" xfId="0" applyFont="1" applyFill="1" applyBorder="1" applyAlignment="1">
      <alignment horizontal="center"/>
    </xf>
    <xf numFmtId="0" fontId="7" fillId="10" borderId="0" xfId="0" applyFont="1" applyFill="1" applyBorder="1" applyAlignment="1">
      <alignment horizontal="right" vertical="center"/>
    </xf>
    <xf numFmtId="0" fontId="0" fillId="10" borderId="8" xfId="0" applyFill="1" applyBorder="1" applyAlignment="1">
      <alignment horizontal="right" vertical="center"/>
    </xf>
    <xf numFmtId="0" fontId="0" fillId="10" borderId="7" xfId="0" applyFill="1" applyBorder="1" applyAlignment="1">
      <alignment horizontal="right" vertical="center"/>
    </xf>
    <xf numFmtId="0" fontId="2" fillId="16" borderId="0" xfId="0" applyFont="1" applyFill="1" applyAlignment="1">
      <alignment horizontal="right" vertical="center"/>
    </xf>
    <xf numFmtId="0" fontId="0" fillId="10" borderId="0" xfId="0" applyFill="1" applyBorder="1" applyAlignment="1">
      <alignment horizontal="right" vertical="center"/>
    </xf>
    <xf numFmtId="0" fontId="2" fillId="16" borderId="0" xfId="0" applyFont="1" applyFill="1" applyBorder="1" applyAlignment="1">
      <alignment horizontal="right" vertical="center"/>
    </xf>
    <xf numFmtId="0" fontId="0" fillId="14" borderId="0" xfId="0" applyFont="1" applyFill="1" applyBorder="1" applyAlignment="1">
      <alignment horizontal="center"/>
    </xf>
    <xf numFmtId="0" fontId="2" fillId="48" borderId="23" xfId="0" applyFont="1" applyFill="1" applyBorder="1" applyAlignment="1">
      <alignment horizontal="center"/>
    </xf>
    <xf numFmtId="0" fontId="2" fillId="48" borderId="24" xfId="0" applyFont="1" applyFill="1" applyBorder="1" applyAlignment="1">
      <alignment horizontal="center"/>
    </xf>
    <xf numFmtId="0" fontId="10" fillId="48" borderId="24" xfId="0" applyFont="1" applyFill="1" applyBorder="1" applyAlignment="1">
      <alignment horizontal="center" vertical="center"/>
    </xf>
    <xf numFmtId="0" fontId="2" fillId="48" borderId="24" xfId="0" applyFont="1" applyFill="1" applyBorder="1" applyAlignment="1">
      <alignment horizontal="center" vertical="center"/>
    </xf>
    <xf numFmtId="0" fontId="1" fillId="49" borderId="23" xfId="0" applyFont="1" applyFill="1" applyBorder="1" applyAlignment="1">
      <alignment horizontal="center"/>
    </xf>
    <xf numFmtId="0" fontId="11" fillId="16" borderId="23" xfId="0" applyFont="1" applyFill="1" applyBorder="1" applyAlignment="1">
      <alignment horizontal="center"/>
    </xf>
    <xf numFmtId="0" fontId="11" fillId="50" borderId="23" xfId="0" applyFont="1" applyFill="1" applyBorder="1" applyAlignment="1">
      <alignment horizontal="center"/>
    </xf>
    <xf numFmtId="0" fontId="11" fillId="51" borderId="23" xfId="0" applyFont="1" applyFill="1" applyBorder="1" applyAlignment="1">
      <alignment horizontal="center"/>
    </xf>
    <xf numFmtId="0" fontId="11" fillId="52" borderId="23" xfId="0" applyFont="1" applyFill="1" applyBorder="1" applyAlignment="1">
      <alignment horizontal="center"/>
    </xf>
    <xf numFmtId="0" fontId="11" fillId="53" borderId="23" xfId="0" applyFont="1" applyFill="1" applyBorder="1" applyAlignment="1">
      <alignment horizontal="center"/>
    </xf>
    <xf numFmtId="0" fontId="11" fillId="54" borderId="23" xfId="0" applyFont="1" applyFill="1" applyBorder="1" applyAlignment="1">
      <alignment horizontal="center"/>
    </xf>
    <xf numFmtId="0" fontId="11" fillId="55" borderId="23" xfId="0" applyFont="1" applyFill="1" applyBorder="1" applyAlignment="1">
      <alignment horizontal="center"/>
    </xf>
    <xf numFmtId="0" fontId="0" fillId="14" borderId="1" xfId="0" applyFont="1" applyFill="1" applyBorder="1" applyAlignment="1">
      <alignment horizontal="center"/>
    </xf>
    <xf numFmtId="0" fontId="0" fillId="14" borderId="2" xfId="0" applyFont="1" applyFill="1" applyBorder="1" applyAlignment="1">
      <alignment horizontal="center"/>
    </xf>
    <xf numFmtId="0" fontId="0" fillId="14" borderId="3" xfId="0" applyFont="1" applyFill="1" applyBorder="1" applyAlignment="1">
      <alignment horizontal="center"/>
    </xf>
    <xf numFmtId="0" fontId="2" fillId="46" borderId="25" xfId="0" applyFont="1" applyFill="1" applyBorder="1" applyAlignment="1">
      <alignment horizontal="center"/>
    </xf>
    <xf numFmtId="0" fontId="2" fillId="56" borderId="0" xfId="0" applyFont="1" applyFill="1" applyAlignment="1">
      <alignment horizontal="center"/>
    </xf>
    <xf numFmtId="0" fontId="2" fillId="0" borderId="0" xfId="0" applyFont="1"/>
    <xf numFmtId="14" fontId="2" fillId="0" borderId="0" xfId="0" applyNumberFormat="1" applyFont="1"/>
    <xf numFmtId="0" fontId="2" fillId="0" borderId="0" xfId="0" applyNumberFormat="1" applyFont="1"/>
    <xf numFmtId="0" fontId="2" fillId="57" borderId="0" xfId="0" applyFont="1" applyFill="1"/>
    <xf numFmtId="21" fontId="2" fillId="0" borderId="0" xfId="0" applyNumberFormat="1" applyFont="1"/>
    <xf numFmtId="0" fontId="1" fillId="58" borderId="0" xfId="0" applyFont="1" applyFill="1"/>
    <xf numFmtId="0" fontId="1" fillId="49" borderId="27" xfId="0" applyFont="1" applyFill="1" applyBorder="1" applyAlignment="1">
      <alignment horizontal="center"/>
    </xf>
    <xf numFmtId="0" fontId="2" fillId="46" borderId="28" xfId="0" applyFont="1" applyFill="1" applyBorder="1" applyAlignment="1">
      <alignment horizontal="center"/>
    </xf>
    <xf numFmtId="0" fontId="2" fillId="46" borderId="29" xfId="0" applyFont="1" applyFill="1" applyBorder="1" applyAlignment="1">
      <alignment horizontal="center"/>
    </xf>
    <xf numFmtId="0" fontId="2" fillId="59" borderId="31" xfId="0" applyFont="1" applyFill="1" applyBorder="1" applyAlignment="1">
      <alignment horizontal="center"/>
    </xf>
    <xf numFmtId="0" fontId="0" fillId="33" borderId="22" xfId="0" applyFill="1" applyBorder="1" applyAlignment="1">
      <alignment horizontal="center"/>
    </xf>
    <xf numFmtId="0" fontId="0" fillId="34" borderId="22" xfId="0" applyFill="1" applyBorder="1" applyAlignment="1">
      <alignment horizontal="center"/>
    </xf>
    <xf numFmtId="0" fontId="0" fillId="35" borderId="22" xfId="0" applyFill="1" applyBorder="1" applyAlignment="1">
      <alignment horizontal="center"/>
    </xf>
    <xf numFmtId="0" fontId="0" fillId="36" borderId="22" xfId="0" applyFill="1" applyBorder="1" applyAlignment="1">
      <alignment horizontal="center"/>
    </xf>
    <xf numFmtId="0" fontId="2" fillId="60" borderId="0" xfId="0" applyFont="1" applyFill="1" applyAlignment="1">
      <alignment horizontal="center"/>
    </xf>
    <xf numFmtId="0" fontId="0" fillId="14" borderId="6" xfId="0" applyFill="1" applyBorder="1" applyAlignment="1">
      <alignment horizontal="center"/>
    </xf>
    <xf numFmtId="0" fontId="0" fillId="25" borderId="22" xfId="0" applyFill="1" applyBorder="1" applyAlignment="1">
      <alignment horizontal="center"/>
    </xf>
    <xf numFmtId="0" fontId="2" fillId="61" borderId="30" xfId="0" applyFont="1" applyFill="1" applyBorder="1" applyAlignment="1">
      <alignment horizontal="center"/>
    </xf>
    <xf numFmtId="0" fontId="0" fillId="37" borderId="22" xfId="0" applyFill="1" applyBorder="1" applyAlignment="1">
      <alignment horizontal="center"/>
    </xf>
    <xf numFmtId="0" fontId="0" fillId="31" borderId="22" xfId="0" applyFill="1" applyBorder="1" applyAlignment="1">
      <alignment horizontal="center"/>
    </xf>
    <xf numFmtId="0" fontId="2" fillId="61" borderId="31" xfId="0" applyFont="1" applyFill="1" applyBorder="1" applyAlignment="1">
      <alignment horizontal="center"/>
    </xf>
    <xf numFmtId="20" fontId="0" fillId="13" borderId="0" xfId="0" applyNumberFormat="1" applyFill="1" applyBorder="1" applyAlignment="1">
      <alignment horizontal="center"/>
    </xf>
    <xf numFmtId="0" fontId="2" fillId="62" borderId="31" xfId="0" applyFont="1" applyFill="1" applyBorder="1" applyAlignment="1">
      <alignment horizontal="center"/>
    </xf>
    <xf numFmtId="0" fontId="0" fillId="29" borderId="22" xfId="0" applyFill="1" applyBorder="1" applyAlignment="1">
      <alignment horizontal="center"/>
    </xf>
    <xf numFmtId="0" fontId="2" fillId="59" borderId="30" xfId="0" applyFont="1" applyFill="1" applyBorder="1" applyAlignment="1">
      <alignment horizontal="center"/>
    </xf>
    <xf numFmtId="0" fontId="0" fillId="38" borderId="22" xfId="0" applyFill="1" applyBorder="1" applyAlignment="1">
      <alignment horizontal="center"/>
    </xf>
    <xf numFmtId="0" fontId="2" fillId="62" borderId="30" xfId="0" applyFont="1" applyFill="1" applyBorder="1" applyAlignment="1">
      <alignment horizontal="center"/>
    </xf>
    <xf numFmtId="0" fontId="0" fillId="0" borderId="0" xfId="0"/>
    <xf numFmtId="0" fontId="1" fillId="9" borderId="0" xfId="0" applyFont="1" applyFill="1"/>
    <xf numFmtId="0" fontId="0" fillId="0" borderId="0" xfId="0"/>
    <xf numFmtId="0" fontId="1" fillId="9" borderId="0" xfId="0" applyFont="1" applyFill="1"/>
  </cellXfs>
  <cellStyles count="300"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Followed Hyperlink" xfId="51" builtinId="9" hidden="1"/>
    <cellStyle name="Followed Hyperlink" xfId="53" builtinId="9" hidden="1"/>
    <cellStyle name="Followed Hyperlink" xfId="55" builtinId="9" hidden="1"/>
    <cellStyle name="Followed Hyperlink" xfId="57" builtinId="9" hidden="1"/>
    <cellStyle name="Followed Hyperlink" xfId="59" builtinId="9" hidden="1"/>
    <cellStyle name="Followed Hyperlink" xfId="61" builtinId="9" hidden="1"/>
    <cellStyle name="Followed Hyperlink" xfId="63" builtinId="9" hidden="1"/>
    <cellStyle name="Followed Hyperlink" xfId="65" builtinId="9" hidden="1"/>
    <cellStyle name="Followed Hyperlink" xfId="67" builtinId="9" hidden="1"/>
    <cellStyle name="Followed Hyperlink" xfId="69" builtinId="9" hidden="1"/>
    <cellStyle name="Followed Hyperlink" xfId="71" builtinId="9" hidden="1"/>
    <cellStyle name="Followed Hyperlink" xfId="73" builtinId="9" hidden="1"/>
    <cellStyle name="Followed Hyperlink" xfId="75" builtinId="9" hidden="1"/>
    <cellStyle name="Followed Hyperlink" xfId="77" builtinId="9" hidden="1"/>
    <cellStyle name="Followed Hyperlink" xfId="79" builtinId="9" hidden="1"/>
    <cellStyle name="Followed Hyperlink" xfId="81" builtinId="9" hidden="1"/>
    <cellStyle name="Followed Hyperlink" xfId="83" builtinId="9" hidden="1"/>
    <cellStyle name="Followed Hyperlink" xfId="85" builtinId="9" hidden="1"/>
    <cellStyle name="Followed Hyperlink" xfId="87" builtinId="9" hidden="1"/>
    <cellStyle name="Followed Hyperlink" xfId="89" builtinId="9" hidden="1"/>
    <cellStyle name="Followed Hyperlink" xfId="91" builtinId="9" hidden="1"/>
    <cellStyle name="Followed Hyperlink" xfId="93" builtinId="9" hidden="1"/>
    <cellStyle name="Followed Hyperlink" xfId="95" builtinId="9" hidden="1"/>
    <cellStyle name="Followed Hyperlink" xfId="97" builtinId="9" hidden="1"/>
    <cellStyle name="Followed Hyperlink" xfId="99" builtinId="9" hidden="1"/>
    <cellStyle name="Followed Hyperlink" xfId="101" builtinId="9" hidden="1"/>
    <cellStyle name="Followed Hyperlink" xfId="103" builtinId="9" hidden="1"/>
    <cellStyle name="Followed Hyperlink" xfId="105" builtinId="9" hidden="1"/>
    <cellStyle name="Followed Hyperlink" xfId="107" builtinId="9" hidden="1"/>
    <cellStyle name="Followed Hyperlink" xfId="109" builtinId="9" hidden="1"/>
    <cellStyle name="Followed Hyperlink" xfId="111" builtinId="9" hidden="1"/>
    <cellStyle name="Followed Hyperlink" xfId="113" builtinId="9" hidden="1"/>
    <cellStyle name="Followed Hyperlink" xfId="115" builtinId="9" hidden="1"/>
    <cellStyle name="Followed Hyperlink" xfId="117" builtinId="9" hidden="1"/>
    <cellStyle name="Followed Hyperlink" xfId="119" builtinId="9" hidden="1"/>
    <cellStyle name="Followed Hyperlink" xfId="121" builtinId="9" hidden="1"/>
    <cellStyle name="Followed Hyperlink" xfId="123" builtinId="9" hidden="1"/>
    <cellStyle name="Followed Hyperlink" xfId="125" builtinId="9" hidden="1"/>
    <cellStyle name="Followed Hyperlink" xfId="127" builtinId="9" hidden="1"/>
    <cellStyle name="Followed Hyperlink" xfId="129" builtinId="9" hidden="1"/>
    <cellStyle name="Followed Hyperlink" xfId="131" builtinId="9" hidden="1"/>
    <cellStyle name="Followed Hyperlink" xfId="133" builtinId="9" hidden="1"/>
    <cellStyle name="Followed Hyperlink" xfId="135" builtinId="9" hidden="1"/>
    <cellStyle name="Followed Hyperlink" xfId="137" builtinId="9" hidden="1"/>
    <cellStyle name="Followed Hyperlink" xfId="139" builtinId="9" hidden="1"/>
    <cellStyle name="Followed Hyperlink" xfId="141" builtinId="9" hidden="1"/>
    <cellStyle name="Followed Hyperlink" xfId="143" builtinId="9" hidden="1"/>
    <cellStyle name="Followed Hyperlink" xfId="145" builtinId="9" hidden="1"/>
    <cellStyle name="Followed Hyperlink" xfId="147" builtinId="9" hidden="1"/>
    <cellStyle name="Followed Hyperlink" xfId="149" builtinId="9" hidden="1"/>
    <cellStyle name="Followed Hyperlink" xfId="151" builtinId="9" hidden="1"/>
    <cellStyle name="Followed Hyperlink" xfId="153" builtinId="9" hidden="1"/>
    <cellStyle name="Followed Hyperlink" xfId="155" builtinId="9" hidden="1"/>
    <cellStyle name="Followed Hyperlink" xfId="157" builtinId="9" hidden="1"/>
    <cellStyle name="Followed Hyperlink" xfId="159" builtinId="9" hidden="1"/>
    <cellStyle name="Followed Hyperlink" xfId="161" builtinId="9" hidden="1"/>
    <cellStyle name="Followed Hyperlink" xfId="163" builtinId="9" hidden="1"/>
    <cellStyle name="Followed Hyperlink" xfId="165" builtinId="9" hidden="1"/>
    <cellStyle name="Followed Hyperlink" xfId="167" builtinId="9" hidden="1"/>
    <cellStyle name="Followed Hyperlink" xfId="169" builtinId="9" hidden="1"/>
    <cellStyle name="Followed Hyperlink" xfId="171" builtinId="9" hidden="1"/>
    <cellStyle name="Followed Hyperlink" xfId="173" builtinId="9" hidden="1"/>
    <cellStyle name="Followed Hyperlink" xfId="175" builtinId="9" hidden="1"/>
    <cellStyle name="Followed Hyperlink" xfId="177" builtinId="9" hidden="1"/>
    <cellStyle name="Followed Hyperlink" xfId="179" builtinId="9" hidden="1"/>
    <cellStyle name="Followed Hyperlink" xfId="181" builtinId="9" hidden="1"/>
    <cellStyle name="Followed Hyperlink" xfId="183" builtinId="9" hidden="1"/>
    <cellStyle name="Followed Hyperlink" xfId="185" builtinId="9" hidden="1"/>
    <cellStyle name="Followed Hyperlink" xfId="187" builtinId="9" hidden="1"/>
    <cellStyle name="Followed Hyperlink" xfId="189" builtinId="9" hidden="1"/>
    <cellStyle name="Followed Hyperlink" xfId="191" builtinId="9" hidden="1"/>
    <cellStyle name="Followed Hyperlink" xfId="193" builtinId="9" hidden="1"/>
    <cellStyle name="Followed Hyperlink" xfId="195" builtinId="9" hidden="1"/>
    <cellStyle name="Followed Hyperlink" xfId="197" builtinId="9" hidden="1"/>
    <cellStyle name="Followed Hyperlink" xfId="199" builtinId="9" hidden="1"/>
    <cellStyle name="Followed Hyperlink" xfId="201" builtinId="9" hidden="1"/>
    <cellStyle name="Followed Hyperlink" xfId="203" builtinId="9" hidden="1"/>
    <cellStyle name="Followed Hyperlink" xfId="205" builtinId="9" hidden="1"/>
    <cellStyle name="Followed Hyperlink" xfId="207" builtinId="9" hidden="1"/>
    <cellStyle name="Followed Hyperlink" xfId="209" builtinId="9" hidden="1"/>
    <cellStyle name="Followed Hyperlink" xfId="211" builtinId="9" hidden="1"/>
    <cellStyle name="Followed Hyperlink" xfId="213" builtinId="9" hidden="1"/>
    <cellStyle name="Followed Hyperlink" xfId="215" builtinId="9" hidden="1"/>
    <cellStyle name="Followed Hyperlink" xfId="217" builtinId="9" hidden="1"/>
    <cellStyle name="Followed Hyperlink" xfId="219" builtinId="9" hidden="1"/>
    <cellStyle name="Followed Hyperlink" xfId="221" builtinId="9" hidden="1"/>
    <cellStyle name="Followed Hyperlink" xfId="223" builtinId="9" hidden="1"/>
    <cellStyle name="Followed Hyperlink" xfId="225" builtinId="9" hidden="1"/>
    <cellStyle name="Followed Hyperlink" xfId="227" builtinId="9" hidden="1"/>
    <cellStyle name="Followed Hyperlink" xfId="229" builtinId="9" hidden="1"/>
    <cellStyle name="Followed Hyperlink" xfId="231" builtinId="9" hidden="1"/>
    <cellStyle name="Followed Hyperlink" xfId="233" builtinId="9" hidden="1"/>
    <cellStyle name="Followed Hyperlink" xfId="235" builtinId="9" hidden="1"/>
    <cellStyle name="Followed Hyperlink" xfId="237" builtinId="9" hidden="1"/>
    <cellStyle name="Followed Hyperlink" xfId="239" builtinId="9" hidden="1"/>
    <cellStyle name="Followed Hyperlink" xfId="241" builtinId="9" hidden="1"/>
    <cellStyle name="Followed Hyperlink" xfId="243" builtinId="9" hidden="1"/>
    <cellStyle name="Followed Hyperlink" xfId="245" builtinId="9" hidden="1"/>
    <cellStyle name="Followed Hyperlink" xfId="247" builtinId="9" hidden="1"/>
    <cellStyle name="Followed Hyperlink" xfId="249" builtinId="9" hidden="1"/>
    <cellStyle name="Followed Hyperlink" xfId="251" builtinId="9" hidden="1"/>
    <cellStyle name="Followed Hyperlink" xfId="253" builtinId="9" hidden="1"/>
    <cellStyle name="Followed Hyperlink" xfId="255" builtinId="9" hidden="1"/>
    <cellStyle name="Followed Hyperlink" xfId="257" builtinId="9" hidden="1"/>
    <cellStyle name="Followed Hyperlink" xfId="259" builtinId="9" hidden="1"/>
    <cellStyle name="Followed Hyperlink" xfId="261" builtinId="9" hidden="1"/>
    <cellStyle name="Followed Hyperlink" xfId="263" builtinId="9" hidden="1"/>
    <cellStyle name="Followed Hyperlink" xfId="265" builtinId="9" hidden="1"/>
    <cellStyle name="Followed Hyperlink" xfId="267" builtinId="9" hidden="1"/>
    <cellStyle name="Followed Hyperlink" xfId="269" builtinId="9" hidden="1"/>
    <cellStyle name="Followed Hyperlink" xfId="271" builtinId="9" hidden="1"/>
    <cellStyle name="Followed Hyperlink" xfId="273" builtinId="9" hidden="1"/>
    <cellStyle name="Followed Hyperlink" xfId="275" builtinId="9" hidden="1"/>
    <cellStyle name="Followed Hyperlink" xfId="277" builtinId="9" hidden="1"/>
    <cellStyle name="Followed Hyperlink" xfId="279" builtinId="9" hidden="1"/>
    <cellStyle name="Followed Hyperlink" xfId="281" builtinId="9" hidden="1"/>
    <cellStyle name="Followed Hyperlink" xfId="283" builtinId="9" hidden="1"/>
    <cellStyle name="Followed Hyperlink" xfId="285" builtinId="9" hidden="1"/>
    <cellStyle name="Followed Hyperlink" xfId="287" builtinId="9" hidden="1"/>
    <cellStyle name="Followed Hyperlink" xfId="289" builtinId="9" hidden="1"/>
    <cellStyle name="Followed Hyperlink" xfId="291" builtinId="9" hidden="1"/>
    <cellStyle name="Followed Hyperlink" xfId="293" builtinId="9" hidden="1"/>
    <cellStyle name="Followed Hyperlink" xfId="295" builtinId="9" hidden="1"/>
    <cellStyle name="Followed Hyperlink" xfId="297" builtinId="9" hidden="1"/>
    <cellStyle name="Followed Hyperlink" xfId="299" builtinId="9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Hyperlink" xfId="50" builtinId="8" hidden="1"/>
    <cellStyle name="Hyperlink" xfId="52" builtinId="8" hidden="1"/>
    <cellStyle name="Hyperlink" xfId="54" builtinId="8" hidden="1"/>
    <cellStyle name="Hyperlink" xfId="56" builtinId="8" hidden="1"/>
    <cellStyle name="Hyperlink" xfId="58" builtinId="8" hidden="1"/>
    <cellStyle name="Hyperlink" xfId="60" builtinId="8" hidden="1"/>
    <cellStyle name="Hyperlink" xfId="62" builtinId="8" hidden="1"/>
    <cellStyle name="Hyperlink" xfId="64" builtinId="8" hidden="1"/>
    <cellStyle name="Hyperlink" xfId="66" builtinId="8" hidden="1"/>
    <cellStyle name="Hyperlink" xfId="68" builtinId="8" hidden="1"/>
    <cellStyle name="Hyperlink" xfId="70" builtinId="8" hidden="1"/>
    <cellStyle name="Hyperlink" xfId="72" builtinId="8" hidden="1"/>
    <cellStyle name="Hyperlink" xfId="74" builtinId="8" hidden="1"/>
    <cellStyle name="Hyperlink" xfId="76" builtinId="8" hidden="1"/>
    <cellStyle name="Hyperlink" xfId="78" builtinId="8" hidden="1"/>
    <cellStyle name="Hyperlink" xfId="80" builtinId="8" hidden="1"/>
    <cellStyle name="Hyperlink" xfId="82" builtinId="8" hidden="1"/>
    <cellStyle name="Hyperlink" xfId="84" builtinId="8" hidden="1"/>
    <cellStyle name="Hyperlink" xfId="86" builtinId="8" hidden="1"/>
    <cellStyle name="Hyperlink" xfId="88" builtinId="8" hidden="1"/>
    <cellStyle name="Hyperlink" xfId="90" builtinId="8" hidden="1"/>
    <cellStyle name="Hyperlink" xfId="92" builtinId="8" hidden="1"/>
    <cellStyle name="Hyperlink" xfId="94" builtinId="8" hidden="1"/>
    <cellStyle name="Hyperlink" xfId="96" builtinId="8" hidden="1"/>
    <cellStyle name="Hyperlink" xfId="98" builtinId="8" hidden="1"/>
    <cellStyle name="Hyperlink" xfId="100" builtinId="8" hidden="1"/>
    <cellStyle name="Hyperlink" xfId="102" builtinId="8" hidden="1"/>
    <cellStyle name="Hyperlink" xfId="104" builtinId="8" hidden="1"/>
    <cellStyle name="Hyperlink" xfId="106" builtinId="8" hidden="1"/>
    <cellStyle name="Hyperlink" xfId="108" builtinId="8" hidden="1"/>
    <cellStyle name="Hyperlink" xfId="110" builtinId="8" hidden="1"/>
    <cellStyle name="Hyperlink" xfId="112" builtinId="8" hidden="1"/>
    <cellStyle name="Hyperlink" xfId="114" builtinId="8" hidden="1"/>
    <cellStyle name="Hyperlink" xfId="116" builtinId="8" hidden="1"/>
    <cellStyle name="Hyperlink" xfId="118" builtinId="8" hidden="1"/>
    <cellStyle name="Hyperlink" xfId="120" builtinId="8" hidden="1"/>
    <cellStyle name="Hyperlink" xfId="122" builtinId="8" hidden="1"/>
    <cellStyle name="Hyperlink" xfId="124" builtinId="8" hidden="1"/>
    <cellStyle name="Hyperlink" xfId="126" builtinId="8" hidden="1"/>
    <cellStyle name="Hyperlink" xfId="128" builtinId="8" hidden="1"/>
    <cellStyle name="Hyperlink" xfId="130" builtinId="8" hidden="1"/>
    <cellStyle name="Hyperlink" xfId="132" builtinId="8" hidden="1"/>
    <cellStyle name="Hyperlink" xfId="134" builtinId="8" hidden="1"/>
    <cellStyle name="Hyperlink" xfId="136" builtinId="8" hidden="1"/>
    <cellStyle name="Hyperlink" xfId="138" builtinId="8" hidden="1"/>
    <cellStyle name="Hyperlink" xfId="140" builtinId="8" hidden="1"/>
    <cellStyle name="Hyperlink" xfId="142" builtinId="8" hidden="1"/>
    <cellStyle name="Hyperlink" xfId="144" builtinId="8" hidden="1"/>
    <cellStyle name="Hyperlink" xfId="146" builtinId="8" hidden="1"/>
    <cellStyle name="Hyperlink" xfId="148" builtinId="8" hidden="1"/>
    <cellStyle name="Hyperlink" xfId="150" builtinId="8" hidden="1"/>
    <cellStyle name="Hyperlink" xfId="152" builtinId="8" hidden="1"/>
    <cellStyle name="Hyperlink" xfId="154" builtinId="8" hidden="1"/>
    <cellStyle name="Hyperlink" xfId="156" builtinId="8" hidden="1"/>
    <cellStyle name="Hyperlink" xfId="158" builtinId="8" hidden="1"/>
    <cellStyle name="Hyperlink" xfId="160" builtinId="8" hidden="1"/>
    <cellStyle name="Hyperlink" xfId="162" builtinId="8" hidden="1"/>
    <cellStyle name="Hyperlink" xfId="164" builtinId="8" hidden="1"/>
    <cellStyle name="Hyperlink" xfId="166" builtinId="8" hidden="1"/>
    <cellStyle name="Hyperlink" xfId="168" builtinId="8" hidden="1"/>
    <cellStyle name="Hyperlink" xfId="170" builtinId="8" hidden="1"/>
    <cellStyle name="Hyperlink" xfId="172" builtinId="8" hidden="1"/>
    <cellStyle name="Hyperlink" xfId="174" builtinId="8" hidden="1"/>
    <cellStyle name="Hyperlink" xfId="176" builtinId="8" hidden="1"/>
    <cellStyle name="Hyperlink" xfId="178" builtinId="8" hidden="1"/>
    <cellStyle name="Hyperlink" xfId="180" builtinId="8" hidden="1"/>
    <cellStyle name="Hyperlink" xfId="182" builtinId="8" hidden="1"/>
    <cellStyle name="Hyperlink" xfId="184" builtinId="8" hidden="1"/>
    <cellStyle name="Hyperlink" xfId="186" builtinId="8" hidden="1"/>
    <cellStyle name="Hyperlink" xfId="188" builtinId="8" hidden="1"/>
    <cellStyle name="Hyperlink" xfId="190" builtinId="8" hidden="1"/>
    <cellStyle name="Hyperlink" xfId="192" builtinId="8" hidden="1"/>
    <cellStyle name="Hyperlink" xfId="194" builtinId="8" hidden="1"/>
    <cellStyle name="Hyperlink" xfId="196" builtinId="8" hidden="1"/>
    <cellStyle name="Hyperlink" xfId="198" builtinId="8" hidden="1"/>
    <cellStyle name="Hyperlink" xfId="200" builtinId="8" hidden="1"/>
    <cellStyle name="Hyperlink" xfId="202" builtinId="8" hidden="1"/>
    <cellStyle name="Hyperlink" xfId="204" builtinId="8" hidden="1"/>
    <cellStyle name="Hyperlink" xfId="206" builtinId="8" hidden="1"/>
    <cellStyle name="Hyperlink" xfId="208" builtinId="8" hidden="1"/>
    <cellStyle name="Hyperlink" xfId="210" builtinId="8" hidden="1"/>
    <cellStyle name="Hyperlink" xfId="212" builtinId="8" hidden="1"/>
    <cellStyle name="Hyperlink" xfId="214" builtinId="8" hidden="1"/>
    <cellStyle name="Hyperlink" xfId="216" builtinId="8" hidden="1"/>
    <cellStyle name="Hyperlink" xfId="218" builtinId="8" hidden="1"/>
    <cellStyle name="Hyperlink" xfId="220" builtinId="8" hidden="1"/>
    <cellStyle name="Hyperlink" xfId="222" builtinId="8" hidden="1"/>
    <cellStyle name="Hyperlink" xfId="224" builtinId="8" hidden="1"/>
    <cellStyle name="Hyperlink" xfId="226" builtinId="8" hidden="1"/>
    <cellStyle name="Hyperlink" xfId="228" builtinId="8" hidden="1"/>
    <cellStyle name="Hyperlink" xfId="230" builtinId="8" hidden="1"/>
    <cellStyle name="Hyperlink" xfId="232" builtinId="8" hidden="1"/>
    <cellStyle name="Hyperlink" xfId="234" builtinId="8" hidden="1"/>
    <cellStyle name="Hyperlink" xfId="236" builtinId="8" hidden="1"/>
    <cellStyle name="Hyperlink" xfId="238" builtinId="8" hidden="1"/>
    <cellStyle name="Hyperlink" xfId="240" builtinId="8" hidden="1"/>
    <cellStyle name="Hyperlink" xfId="242" builtinId="8" hidden="1"/>
    <cellStyle name="Hyperlink" xfId="244" builtinId="8" hidden="1"/>
    <cellStyle name="Hyperlink" xfId="246" builtinId="8" hidden="1"/>
    <cellStyle name="Hyperlink" xfId="248" builtinId="8" hidden="1"/>
    <cellStyle name="Hyperlink" xfId="250" builtinId="8" hidden="1"/>
    <cellStyle name="Hyperlink" xfId="252" builtinId="8" hidden="1"/>
    <cellStyle name="Hyperlink" xfId="254" builtinId="8" hidden="1"/>
    <cellStyle name="Hyperlink" xfId="256" builtinId="8" hidden="1"/>
    <cellStyle name="Hyperlink" xfId="258" builtinId="8" hidden="1"/>
    <cellStyle name="Hyperlink" xfId="260" builtinId="8" hidden="1"/>
    <cellStyle name="Hyperlink" xfId="262" builtinId="8" hidden="1"/>
    <cellStyle name="Hyperlink" xfId="264" builtinId="8" hidden="1"/>
    <cellStyle name="Hyperlink" xfId="266" builtinId="8" hidden="1"/>
    <cellStyle name="Hyperlink" xfId="268" builtinId="8" hidden="1"/>
    <cellStyle name="Hyperlink" xfId="270" builtinId="8" hidden="1"/>
    <cellStyle name="Hyperlink" xfId="272" builtinId="8" hidden="1"/>
    <cellStyle name="Hyperlink" xfId="274" builtinId="8" hidden="1"/>
    <cellStyle name="Hyperlink" xfId="276" builtinId="8" hidden="1"/>
    <cellStyle name="Hyperlink" xfId="278" builtinId="8" hidden="1"/>
    <cellStyle name="Hyperlink" xfId="280" builtinId="8" hidden="1"/>
    <cellStyle name="Hyperlink" xfId="282" builtinId="8" hidden="1"/>
    <cellStyle name="Hyperlink" xfId="284" builtinId="8" hidden="1"/>
    <cellStyle name="Hyperlink" xfId="286" builtinId="8" hidden="1"/>
    <cellStyle name="Hyperlink" xfId="288" builtinId="8" hidden="1"/>
    <cellStyle name="Hyperlink" xfId="290" builtinId="8" hidden="1"/>
    <cellStyle name="Hyperlink" xfId="292" builtinId="8" hidden="1"/>
    <cellStyle name="Hyperlink" xfId="294" builtinId="8" hidden="1"/>
    <cellStyle name="Hyperlink" xfId="296" builtinId="8" hidden="1"/>
    <cellStyle name="Hyperlink" xfId="298" builtinId="8" hidden="1"/>
    <cellStyle name="Normal" xfId="0" builtinId="0"/>
    <cellStyle name="Tecan.At.Excel.Attenuation" xfId="6" xr:uid="{00000000-0005-0000-0000-000025010000}"/>
    <cellStyle name="Tecan.At.Excel.AutoGain_0" xfId="7" xr:uid="{00000000-0005-0000-0000-000026010000}"/>
    <cellStyle name="Tecan.At.Excel.Error" xfId="1" xr:uid="{00000000-0005-0000-0000-000027010000}"/>
    <cellStyle name="Tecan.At.Excel.GFactorAndMeasurementBlank" xfId="5" xr:uid="{00000000-0005-0000-0000-000028010000}"/>
    <cellStyle name="Tecan.At.Excel.GFactorBlank" xfId="3" xr:uid="{00000000-0005-0000-0000-000029010000}"/>
    <cellStyle name="Tecan.At.Excel.GFactorReference" xfId="4" xr:uid="{00000000-0005-0000-0000-00002A010000}"/>
    <cellStyle name="Tecan.At.Excel.MeasurementBlank" xfId="2" xr:uid="{00000000-0005-0000-0000-00002B010000}"/>
  </cellStyles>
  <dxfs count="21">
    <dxf>
      <font>
        <color theme="0"/>
      </font>
      <fill>
        <patternFill patternType="solid">
          <fgColor indexed="64"/>
          <bgColor theme="3" tint="0.599993896298104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 patternType="solid">
          <fgColor indexed="64"/>
          <bgColor theme="3" tint="0.59999389629810485"/>
        </patternFill>
      </fill>
    </dxf>
    <dxf>
      <font>
        <color auto="1"/>
      </font>
      <fill>
        <patternFill patternType="solid">
          <fgColor indexed="64"/>
          <bgColor theme="9" tint="0.59999389629810485"/>
        </patternFill>
      </fill>
    </dxf>
    <dxf>
      <font>
        <color auto="1"/>
      </font>
      <fill>
        <patternFill patternType="solid">
          <fgColor indexed="64"/>
          <bgColor theme="7" tint="0.59999389629810485"/>
        </patternFill>
      </fill>
    </dxf>
    <dxf>
      <font>
        <color auto="1"/>
      </font>
      <fill>
        <patternFill patternType="solid">
          <fgColor indexed="64"/>
          <bgColor theme="0" tint="-0.14999847407452621"/>
        </patternFill>
      </fill>
    </dxf>
    <dxf>
      <font>
        <color theme="0"/>
      </font>
      <fill>
        <patternFill patternType="solid">
          <fgColor indexed="64"/>
          <bgColor theme="3" tint="0.59999389629810485"/>
        </patternFill>
      </fill>
    </dxf>
    <dxf>
      <font>
        <color auto="1"/>
      </font>
      <fill>
        <patternFill patternType="solid">
          <fgColor indexed="64"/>
          <bgColor theme="9" tint="0.59999389629810485"/>
        </patternFill>
      </fill>
    </dxf>
    <dxf>
      <font>
        <color auto="1"/>
      </font>
      <fill>
        <patternFill patternType="solid">
          <fgColor indexed="64"/>
          <bgColor theme="7" tint="0.59999389629810485"/>
        </patternFill>
      </fill>
    </dxf>
    <dxf>
      <font>
        <color auto="1"/>
      </font>
      <fill>
        <patternFill patternType="solid">
          <fgColor indexed="64"/>
          <bgColor theme="0" tint="-0.14999847407452621"/>
        </patternFill>
      </fill>
    </dxf>
    <dxf>
      <font>
        <color theme="0"/>
      </font>
      <fill>
        <patternFill patternType="solid">
          <fgColor indexed="64"/>
          <bgColor theme="3" tint="0.59999389629810485"/>
        </patternFill>
      </fill>
    </dxf>
    <dxf>
      <font>
        <color auto="1"/>
      </font>
      <fill>
        <patternFill patternType="solid">
          <fgColor indexed="64"/>
          <bgColor theme="9" tint="0.59999389629810485"/>
        </patternFill>
      </fill>
    </dxf>
    <dxf>
      <font>
        <color auto="1"/>
      </font>
      <fill>
        <patternFill patternType="solid">
          <fgColor indexed="64"/>
          <bgColor theme="7" tint="0.59999389629810485"/>
        </patternFill>
      </fill>
    </dxf>
    <dxf>
      <font>
        <color auto="1"/>
      </font>
      <fill>
        <patternFill patternType="solid">
          <fgColor indexed="64"/>
          <bgColor theme="0" tint="-0.14999847407452621"/>
        </patternFill>
      </fill>
    </dxf>
    <dxf>
      <font>
        <color auto="1"/>
      </font>
      <fill>
        <patternFill patternType="solid">
          <fgColor indexed="64"/>
          <bgColor theme="9" tint="0.59999389629810485"/>
        </patternFill>
      </fill>
    </dxf>
    <dxf>
      <font>
        <color auto="1"/>
      </font>
      <fill>
        <patternFill patternType="solid">
          <fgColor indexed="64"/>
          <bgColor theme="7" tint="0.59999389629810485"/>
        </patternFill>
      </fill>
    </dxf>
    <dxf>
      <font>
        <color auto="1"/>
      </font>
      <fill>
        <patternFill patternType="solid">
          <fgColor indexed="64"/>
          <bgColor theme="0" tint="-0.14999847407452621"/>
        </patternFill>
      </fill>
    </dxf>
    <dxf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D795E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139700</xdr:colOff>
          <xdr:row>34</xdr:row>
          <xdr:rowOff>12700</xdr:rowOff>
        </xdr:from>
        <xdr:to>
          <xdr:col>24</xdr:col>
          <xdr:colOff>749300</xdr:colOff>
          <xdr:row>36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Lucida Grande" pitchFamily="2" charset="0"/>
                  <a:cs typeface="Lucida Grande" pitchFamily="2" charset="0"/>
                </a:rPr>
                <a:t>Compute one 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139700</xdr:colOff>
          <xdr:row>37</xdr:row>
          <xdr:rowOff>12700</xdr:rowOff>
        </xdr:from>
        <xdr:to>
          <xdr:col>24</xdr:col>
          <xdr:colOff>749300</xdr:colOff>
          <xdr:row>39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Lucida Grande" pitchFamily="2" charset="0"/>
                  <a:cs typeface="Lucida Grande" pitchFamily="2" charset="0"/>
                </a:rPr>
                <a:t>Compute all 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63500</xdr:colOff>
          <xdr:row>3</xdr:row>
          <xdr:rowOff>114300</xdr:rowOff>
        </xdr:from>
        <xdr:to>
          <xdr:col>22</xdr:col>
          <xdr:colOff>0</xdr:colOff>
          <xdr:row>4</xdr:row>
          <xdr:rowOff>152400</xdr:rowOff>
        </xdr:to>
        <xdr:sp macro="" textlink="">
          <xdr:nvSpPr>
            <xdr:cNvPr id="5129" name="Button 9" descr="calc.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0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calc.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DG222"/>
  <sheetViews>
    <sheetView tabSelected="1" zoomScale="125" zoomScaleNormal="125" zoomScalePageLayoutView="125" workbookViewId="0">
      <selection activeCell="I35" sqref="I35"/>
    </sheetView>
  </sheetViews>
  <sheetFormatPr baseColWidth="10" defaultColWidth="7" defaultRowHeight="15" customHeight="1" x14ac:dyDescent="0.2"/>
  <cols>
    <col min="1" max="1" width="3.33203125" style="4" customWidth="1"/>
    <col min="2" max="2" width="3" style="4" customWidth="1"/>
    <col min="3" max="3" width="20.1640625" style="4" bestFit="1" customWidth="1"/>
    <col min="4" max="4" width="7.6640625" style="4" bestFit="1" customWidth="1"/>
    <col min="5" max="5" width="3" style="4" customWidth="1"/>
    <col min="6" max="6" width="3.5" style="4" customWidth="1"/>
    <col min="7" max="7" width="3.1640625" style="2" customWidth="1"/>
    <col min="8" max="10" width="7" style="2"/>
    <col min="11" max="11" width="7.6640625" style="2" bestFit="1" customWidth="1"/>
    <col min="12" max="20" width="7" style="2"/>
    <col min="21" max="21" width="3.1640625" style="2" customWidth="1"/>
    <col min="22" max="22" width="5.6640625" style="2" customWidth="1"/>
    <col min="23" max="23" width="7.6640625" style="2" customWidth="1"/>
    <col min="24" max="24" width="5.1640625" style="2" customWidth="1"/>
    <col min="25" max="28" width="11.83203125" style="2" customWidth="1"/>
    <col min="29" max="29" width="2.83203125" style="2" customWidth="1"/>
    <col min="30" max="30" width="11.83203125" style="4" customWidth="1"/>
    <col min="31" max="111" width="7" style="4"/>
    <col min="112" max="16384" width="7" style="2"/>
  </cols>
  <sheetData>
    <row r="1" spans="2:30" s="3" customFormat="1" ht="15" customHeight="1" thickBot="1" x14ac:dyDescent="0.25"/>
    <row r="2" spans="2:30" ht="15" customHeight="1" thickBot="1" x14ac:dyDescent="0.25">
      <c r="B2" s="59"/>
      <c r="C2" s="60" t="s">
        <v>173</v>
      </c>
      <c r="D2" s="60"/>
      <c r="E2" s="61"/>
      <c r="G2" s="11"/>
      <c r="H2" s="12" t="s">
        <v>155</v>
      </c>
      <c r="I2" s="12"/>
      <c r="J2" s="12"/>
      <c r="K2" s="12"/>
      <c r="L2" s="12"/>
      <c r="M2" s="12"/>
      <c r="N2" s="12"/>
      <c r="O2" s="12"/>
      <c r="P2" s="12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  <c r="AB2" s="12"/>
      <c r="AC2" s="13"/>
    </row>
    <row r="3" spans="2:30" s="4" customFormat="1" ht="15" customHeight="1" thickBot="1" x14ac:dyDescent="0.25"/>
    <row r="4" spans="2:30" ht="15" customHeight="1" x14ac:dyDescent="0.2">
      <c r="B4" s="44"/>
      <c r="C4" s="45"/>
      <c r="D4" s="45"/>
      <c r="E4" s="46"/>
      <c r="G4" s="14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6"/>
      <c r="AD4" s="103"/>
    </row>
    <row r="5" spans="2:30" ht="15" customHeight="1" x14ac:dyDescent="0.2">
      <c r="B5" s="47"/>
      <c r="C5" s="106" t="s">
        <v>157</v>
      </c>
      <c r="D5" s="9" t="s">
        <v>159</v>
      </c>
      <c r="E5" s="48"/>
      <c r="G5" s="17"/>
      <c r="H5" s="5"/>
      <c r="I5" s="5">
        <v>1</v>
      </c>
      <c r="J5" s="5">
        <v>2</v>
      </c>
      <c r="K5" s="5">
        <v>3</v>
      </c>
      <c r="L5" s="5">
        <v>4</v>
      </c>
      <c r="M5" s="5">
        <v>5</v>
      </c>
      <c r="N5" s="5">
        <v>6</v>
      </c>
      <c r="O5" s="5">
        <v>7</v>
      </c>
      <c r="P5" s="5">
        <v>8</v>
      </c>
      <c r="Q5" s="5">
        <v>9</v>
      </c>
      <c r="R5" s="5">
        <v>10</v>
      </c>
      <c r="S5" s="5">
        <v>11</v>
      </c>
      <c r="T5" s="5">
        <v>12</v>
      </c>
      <c r="U5" s="5"/>
      <c r="V5" s="5"/>
      <c r="W5" s="113" t="s">
        <v>160</v>
      </c>
      <c r="X5" s="114" t="s">
        <v>161</v>
      </c>
      <c r="Y5" s="115" t="s">
        <v>162</v>
      </c>
      <c r="Z5" s="116" t="s">
        <v>163</v>
      </c>
      <c r="AA5" s="116" t="s">
        <v>164</v>
      </c>
      <c r="AB5" s="116" t="s">
        <v>166</v>
      </c>
      <c r="AC5" s="18"/>
      <c r="AD5" s="103"/>
    </row>
    <row r="6" spans="2:30" ht="15" customHeight="1" x14ac:dyDescent="0.2">
      <c r="B6" s="47"/>
      <c r="C6" s="107" t="s">
        <v>187</v>
      </c>
      <c r="D6" s="145">
        <v>37</v>
      </c>
      <c r="E6" s="48"/>
      <c r="G6" s="17"/>
      <c r="H6" s="5" t="s">
        <v>139</v>
      </c>
      <c r="I6" s="117" t="s">
        <v>149</v>
      </c>
      <c r="J6" s="54" t="s">
        <v>149</v>
      </c>
      <c r="K6" s="54" t="s">
        <v>149</v>
      </c>
      <c r="L6" s="54" t="s">
        <v>149</v>
      </c>
      <c r="M6" s="54" t="s">
        <v>149</v>
      </c>
      <c r="N6" s="54" t="s">
        <v>149</v>
      </c>
      <c r="O6" s="54" t="s">
        <v>149</v>
      </c>
      <c r="P6" s="54" t="s">
        <v>149</v>
      </c>
      <c r="Q6" s="54" t="s">
        <v>149</v>
      </c>
      <c r="R6" s="54" t="s">
        <v>149</v>
      </c>
      <c r="S6" s="54" t="s">
        <v>149</v>
      </c>
      <c r="T6" s="54" t="s">
        <v>149</v>
      </c>
      <c r="U6" s="5"/>
      <c r="V6" s="117" t="s">
        <v>149</v>
      </c>
      <c r="W6" s="55" t="s">
        <v>147</v>
      </c>
      <c r="X6" s="56">
        <f t="shared" ref="X6:X13" si="0">COUNTIF(white_border_definition,V6)</f>
        <v>36</v>
      </c>
      <c r="Y6" s="100">
        <f t="shared" ref="Y6:Y13" ca="1" si="1">compute_white_average($V6, white_border_definition)</f>
        <v>0.10589807346049283</v>
      </c>
      <c r="Z6" s="101">
        <f t="shared" ref="Z6:Z13" ca="1" si="2">compute_white_min($V6, white_border_definition)</f>
        <v>0.10289999842643738</v>
      </c>
      <c r="AA6" s="102">
        <f t="shared" ref="AA6:AA13" ca="1" si="3">compute_white_max($V6, white_border_definition)</f>
        <v>0.10999999940395355</v>
      </c>
      <c r="AB6" s="102">
        <f t="shared" ref="AB6:AB13" ca="1" si="4">compute_white_std($V6, white_border_definition,$Y6)</f>
        <v>1.0754425933734619E-3</v>
      </c>
      <c r="AC6" s="18"/>
      <c r="AD6" s="103"/>
    </row>
    <row r="7" spans="2:30" ht="15" customHeight="1" x14ac:dyDescent="0.2">
      <c r="B7" s="47"/>
      <c r="C7" s="108" t="s">
        <v>165</v>
      </c>
      <c r="D7" s="10">
        <f>D6+96+2-1</f>
        <v>134</v>
      </c>
      <c r="E7" s="48"/>
      <c r="G7" s="17"/>
      <c r="H7" s="5" t="s">
        <v>140</v>
      </c>
      <c r="I7" s="54" t="s">
        <v>149</v>
      </c>
      <c r="J7" s="54"/>
      <c r="K7" s="54"/>
      <c r="L7" s="54"/>
      <c r="M7" s="54"/>
      <c r="N7" s="54"/>
      <c r="O7" s="54"/>
      <c r="P7" s="54"/>
      <c r="Q7" s="54"/>
      <c r="R7" s="54"/>
      <c r="S7" s="54"/>
      <c r="T7" s="54" t="s">
        <v>149</v>
      </c>
      <c r="U7" s="5"/>
      <c r="V7" s="118" t="s">
        <v>150</v>
      </c>
      <c r="W7" s="55" t="s">
        <v>148</v>
      </c>
      <c r="X7" s="56">
        <f t="shared" si="0"/>
        <v>0</v>
      </c>
      <c r="Y7" s="100">
        <f t="shared" si="1"/>
        <v>0</v>
      </c>
      <c r="Z7" s="101">
        <f t="shared" si="2"/>
        <v>0</v>
      </c>
      <c r="AA7" s="102">
        <f t="shared" si="3"/>
        <v>0</v>
      </c>
      <c r="AB7" s="102">
        <f t="shared" si="4"/>
        <v>0</v>
      </c>
      <c r="AC7" s="18"/>
      <c r="AD7" s="103"/>
    </row>
    <row r="8" spans="2:30" ht="15" customHeight="1" x14ac:dyDescent="0.2">
      <c r="B8" s="47"/>
      <c r="C8" s="109" t="s">
        <v>158</v>
      </c>
      <c r="D8" s="104">
        <f ca="1">COUNTA(INDIRECT(data_sheet_name&amp;"!A"&amp;$D$6&amp;":ZZ"&amp;$D$6))-1</f>
        <v>31</v>
      </c>
      <c r="E8" s="48"/>
      <c r="G8" s="17"/>
      <c r="H8" s="5" t="s">
        <v>141</v>
      </c>
      <c r="I8" s="54" t="s">
        <v>149</v>
      </c>
      <c r="J8" s="54"/>
      <c r="K8" s="54"/>
      <c r="L8" s="54"/>
      <c r="M8" s="54"/>
      <c r="N8" s="54"/>
      <c r="O8" s="54"/>
      <c r="P8" s="54"/>
      <c r="Q8" s="54"/>
      <c r="R8" s="54"/>
      <c r="S8" s="54"/>
      <c r="T8" s="54" t="s">
        <v>149</v>
      </c>
      <c r="U8" s="5"/>
      <c r="V8" s="119" t="s">
        <v>151</v>
      </c>
      <c r="W8" s="55" t="s">
        <v>152</v>
      </c>
      <c r="X8" s="56">
        <f t="shared" si="0"/>
        <v>0</v>
      </c>
      <c r="Y8" s="100">
        <f t="shared" si="1"/>
        <v>0</v>
      </c>
      <c r="Z8" s="101">
        <f t="shared" si="2"/>
        <v>0</v>
      </c>
      <c r="AA8" s="102">
        <f t="shared" si="3"/>
        <v>0</v>
      </c>
      <c r="AB8" s="102">
        <f t="shared" si="4"/>
        <v>0</v>
      </c>
      <c r="AC8" s="18"/>
    </row>
    <row r="9" spans="2:30" ht="15" customHeight="1" x14ac:dyDescent="0.2">
      <c r="B9" s="47"/>
      <c r="C9" s="110" t="s">
        <v>196</v>
      </c>
      <c r="D9" s="112">
        <v>36.4</v>
      </c>
      <c r="E9" s="48"/>
      <c r="G9" s="17"/>
      <c r="H9" s="5" t="s">
        <v>142</v>
      </c>
      <c r="I9" s="54" t="s">
        <v>149</v>
      </c>
      <c r="J9" s="54"/>
      <c r="K9" s="54"/>
      <c r="L9" s="54"/>
      <c r="M9" s="54"/>
      <c r="N9" s="54"/>
      <c r="O9" s="54"/>
      <c r="P9" s="54"/>
      <c r="Q9" s="54"/>
      <c r="R9" s="54"/>
      <c r="S9" s="54"/>
      <c r="T9" s="54" t="s">
        <v>149</v>
      </c>
      <c r="U9" s="5"/>
      <c r="V9" s="120" t="s">
        <v>153</v>
      </c>
      <c r="W9" s="55" t="s">
        <v>154</v>
      </c>
      <c r="X9" s="56">
        <f t="shared" si="0"/>
        <v>0</v>
      </c>
      <c r="Y9" s="100">
        <f t="shared" si="1"/>
        <v>0</v>
      </c>
      <c r="Z9" s="101">
        <f t="shared" si="2"/>
        <v>0</v>
      </c>
      <c r="AA9" s="102">
        <f t="shared" si="3"/>
        <v>0</v>
      </c>
      <c r="AB9" s="102">
        <f t="shared" si="4"/>
        <v>0</v>
      </c>
      <c r="AC9" s="18"/>
    </row>
    <row r="10" spans="2:30" ht="15" customHeight="1" x14ac:dyDescent="0.2">
      <c r="B10" s="47"/>
      <c r="C10" s="111" t="s">
        <v>197</v>
      </c>
      <c r="D10" s="105">
        <v>37.6</v>
      </c>
      <c r="E10" s="48"/>
      <c r="G10" s="17"/>
      <c r="H10" s="5" t="s">
        <v>143</v>
      </c>
      <c r="I10" s="54" t="s">
        <v>149</v>
      </c>
      <c r="J10" s="54"/>
      <c r="K10" s="54"/>
      <c r="L10" s="54"/>
      <c r="M10" s="54"/>
      <c r="N10" s="54"/>
      <c r="O10" s="54"/>
      <c r="P10" s="54"/>
      <c r="Q10" s="54"/>
      <c r="R10" s="54"/>
      <c r="S10" s="54"/>
      <c r="T10" s="54" t="s">
        <v>149</v>
      </c>
      <c r="U10" s="5"/>
      <c r="V10" s="121" t="s">
        <v>188</v>
      </c>
      <c r="W10" s="55" t="s">
        <v>190</v>
      </c>
      <c r="X10" s="56">
        <f t="shared" si="0"/>
        <v>0</v>
      </c>
      <c r="Y10" s="100">
        <f t="shared" si="1"/>
        <v>0</v>
      </c>
      <c r="Z10" s="101">
        <f t="shared" si="2"/>
        <v>0</v>
      </c>
      <c r="AA10" s="102">
        <f t="shared" si="3"/>
        <v>0</v>
      </c>
      <c r="AB10" s="102">
        <f t="shared" si="4"/>
        <v>0</v>
      </c>
      <c r="AC10" s="18"/>
    </row>
    <row r="11" spans="2:30" ht="15" customHeight="1" x14ac:dyDescent="0.2">
      <c r="B11" s="49"/>
      <c r="C11" s="110" t="s">
        <v>198</v>
      </c>
      <c r="D11" s="7" t="str">
        <f ca="1">IF(COUNTIFS(Data!B38:BK38,"&lt;="&amp;$D$10,Data!B38:BK38,"&gt;="&amp;$D$9) =number_of_cycles, "OK", "T° PB !")</f>
        <v>OK</v>
      </c>
      <c r="E11" s="51"/>
      <c r="G11" s="17"/>
      <c r="H11" s="5" t="s">
        <v>144</v>
      </c>
      <c r="I11" s="54" t="s">
        <v>149</v>
      </c>
      <c r="J11" s="54"/>
      <c r="K11" s="54"/>
      <c r="L11" s="54"/>
      <c r="M11" s="54"/>
      <c r="N11" s="54"/>
      <c r="O11" s="54"/>
      <c r="P11" s="54"/>
      <c r="Q11" s="54"/>
      <c r="R11" s="54"/>
      <c r="S11" s="54"/>
      <c r="T11" s="54" t="s">
        <v>149</v>
      </c>
      <c r="U11" s="5"/>
      <c r="V11" s="122" t="s">
        <v>189</v>
      </c>
      <c r="W11" s="55" t="s">
        <v>192</v>
      </c>
      <c r="X11" s="56">
        <f t="shared" si="0"/>
        <v>0</v>
      </c>
      <c r="Y11" s="100">
        <f t="shared" si="1"/>
        <v>0</v>
      </c>
      <c r="Z11" s="101">
        <f t="shared" si="2"/>
        <v>0</v>
      </c>
      <c r="AA11" s="102">
        <f t="shared" si="3"/>
        <v>0</v>
      </c>
      <c r="AB11" s="102">
        <f t="shared" si="4"/>
        <v>0</v>
      </c>
      <c r="AC11" s="18"/>
    </row>
    <row r="12" spans="2:30" ht="15" customHeight="1" x14ac:dyDescent="0.2">
      <c r="B12" s="49"/>
      <c r="C12" s="50" t="s">
        <v>199</v>
      </c>
      <c r="D12" s="105">
        <v>5400</v>
      </c>
      <c r="E12" s="51"/>
      <c r="G12" s="17"/>
      <c r="H12" s="5" t="s">
        <v>145</v>
      </c>
      <c r="I12" s="54" t="s">
        <v>149</v>
      </c>
      <c r="J12" s="54"/>
      <c r="K12" s="54"/>
      <c r="L12" s="54"/>
      <c r="M12" s="54"/>
      <c r="N12" s="54"/>
      <c r="O12" s="54"/>
      <c r="P12" s="54"/>
      <c r="Q12" s="54"/>
      <c r="R12" s="54"/>
      <c r="S12" s="54"/>
      <c r="T12" s="54" t="s">
        <v>149</v>
      </c>
      <c r="U12" s="5"/>
      <c r="V12" s="123" t="s">
        <v>191</v>
      </c>
      <c r="W12" s="55" t="s">
        <v>194</v>
      </c>
      <c r="X12" s="56">
        <f t="shared" si="0"/>
        <v>0</v>
      </c>
      <c r="Y12" s="100">
        <f t="shared" si="1"/>
        <v>0</v>
      </c>
      <c r="Z12" s="101">
        <f t="shared" si="2"/>
        <v>0</v>
      </c>
      <c r="AA12" s="102">
        <f t="shared" si="3"/>
        <v>0</v>
      </c>
      <c r="AB12" s="102">
        <f t="shared" si="4"/>
        <v>0</v>
      </c>
      <c r="AC12" s="18"/>
    </row>
    <row r="13" spans="2:30" ht="15" customHeight="1" x14ac:dyDescent="0.2">
      <c r="B13" s="49"/>
      <c r="C13" s="7"/>
      <c r="D13" s="7"/>
      <c r="E13" s="51"/>
      <c r="G13" s="17"/>
      <c r="H13" s="5" t="s">
        <v>146</v>
      </c>
      <c r="I13" s="54" t="s">
        <v>149</v>
      </c>
      <c r="J13" s="54" t="s">
        <v>149</v>
      </c>
      <c r="K13" s="54" t="s">
        <v>149</v>
      </c>
      <c r="L13" s="54" t="s">
        <v>149</v>
      </c>
      <c r="M13" s="54" t="s">
        <v>149</v>
      </c>
      <c r="N13" s="54" t="s">
        <v>149</v>
      </c>
      <c r="O13" s="54" t="s">
        <v>149</v>
      </c>
      <c r="P13" s="54" t="s">
        <v>149</v>
      </c>
      <c r="Q13" s="54" t="s">
        <v>149</v>
      </c>
      <c r="R13" s="54" t="s">
        <v>149</v>
      </c>
      <c r="S13" s="54" t="s">
        <v>149</v>
      </c>
      <c r="T13" s="54" t="s">
        <v>149</v>
      </c>
      <c r="U13" s="5"/>
      <c r="V13" s="124" t="s">
        <v>193</v>
      </c>
      <c r="W13" s="55" t="s">
        <v>195</v>
      </c>
      <c r="X13" s="56">
        <f t="shared" si="0"/>
        <v>0</v>
      </c>
      <c r="Y13" s="100">
        <f t="shared" si="1"/>
        <v>0</v>
      </c>
      <c r="Z13" s="101">
        <f t="shared" si="2"/>
        <v>0</v>
      </c>
      <c r="AA13" s="102">
        <f t="shared" si="3"/>
        <v>0</v>
      </c>
      <c r="AB13" s="102">
        <f t="shared" si="4"/>
        <v>0</v>
      </c>
      <c r="AC13" s="18"/>
    </row>
    <row r="14" spans="2:30" ht="15" customHeight="1" x14ac:dyDescent="0.2">
      <c r="B14" s="49"/>
      <c r="C14" s="104" t="s">
        <v>168</v>
      </c>
      <c r="D14" s="104" t="s">
        <v>172</v>
      </c>
      <c r="E14" s="51"/>
      <c r="G14" s="17"/>
      <c r="H14" s="144"/>
      <c r="I14" s="144"/>
      <c r="J14" s="144"/>
      <c r="K14" s="144"/>
      <c r="L14" s="144"/>
      <c r="M14" s="144"/>
      <c r="N14" s="144"/>
      <c r="O14" s="144"/>
      <c r="P14" s="144"/>
      <c r="Q14" s="144"/>
      <c r="R14" s="144"/>
      <c r="S14" s="144"/>
      <c r="T14" s="144"/>
      <c r="U14" s="5"/>
      <c r="V14" s="5"/>
      <c r="W14" s="5"/>
      <c r="X14" s="5"/>
      <c r="Y14" s="5"/>
      <c r="Z14" s="5"/>
      <c r="AA14" s="5"/>
      <c r="AB14" s="5"/>
      <c r="AC14" s="18"/>
    </row>
    <row r="15" spans="2:30" ht="15" customHeight="1" thickBot="1" x14ac:dyDescent="0.25">
      <c r="B15" s="49"/>
      <c r="C15" s="125" t="s">
        <v>200</v>
      </c>
      <c r="D15" s="63" t="s">
        <v>66</v>
      </c>
      <c r="E15" s="51"/>
      <c r="G15" s="19"/>
      <c r="H15" s="20"/>
      <c r="I15" s="20"/>
      <c r="J15" s="20"/>
      <c r="K15" s="20"/>
      <c r="L15" s="20"/>
      <c r="M15" s="20"/>
      <c r="N15" s="20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/>
      <c r="AA15" s="20"/>
      <c r="AB15" s="20"/>
      <c r="AC15" s="21"/>
    </row>
    <row r="16" spans="2:30" s="4" customFormat="1" ht="15" customHeight="1" thickBot="1" x14ac:dyDescent="0.25">
      <c r="B16" s="49"/>
      <c r="C16" s="126" t="s">
        <v>201</v>
      </c>
      <c r="D16" s="64" t="s">
        <v>67</v>
      </c>
      <c r="E16" s="51"/>
    </row>
    <row r="17" spans="2:29" ht="15" customHeight="1" thickBot="1" x14ac:dyDescent="0.25">
      <c r="B17" s="49"/>
      <c r="C17" s="126" t="s">
        <v>202</v>
      </c>
      <c r="D17" s="65" t="s">
        <v>68</v>
      </c>
      <c r="E17" s="51"/>
      <c r="G17" s="30"/>
      <c r="H17" s="31" t="s">
        <v>156</v>
      </c>
      <c r="I17" s="31"/>
      <c r="J17" s="31"/>
      <c r="K17" s="31"/>
      <c r="L17" s="31"/>
      <c r="M17" s="31"/>
      <c r="N17" s="31"/>
      <c r="O17" s="31"/>
      <c r="P17" s="31"/>
      <c r="Q17" s="31"/>
      <c r="R17" s="31"/>
      <c r="S17" s="31"/>
      <c r="T17" s="31"/>
      <c r="U17" s="31"/>
      <c r="V17" s="31"/>
      <c r="W17" s="31"/>
      <c r="X17" s="31"/>
      <c r="Y17" s="31"/>
      <c r="Z17" s="31"/>
      <c r="AA17" s="31"/>
      <c r="AB17" s="31"/>
      <c r="AC17" s="32"/>
    </row>
    <row r="18" spans="2:29" s="4" customFormat="1" ht="15" customHeight="1" thickBot="1" x14ac:dyDescent="0.25">
      <c r="B18" s="49"/>
      <c r="C18" s="126" t="s">
        <v>203</v>
      </c>
      <c r="D18" s="66" t="s">
        <v>69</v>
      </c>
      <c r="E18" s="51"/>
    </row>
    <row r="19" spans="2:29" ht="15" customHeight="1" x14ac:dyDescent="0.2">
      <c r="B19" s="49"/>
      <c r="C19" s="126" t="s">
        <v>204</v>
      </c>
      <c r="D19" s="67" t="s">
        <v>70</v>
      </c>
      <c r="E19" s="51"/>
      <c r="G19" s="22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4"/>
    </row>
    <row r="20" spans="2:29" ht="15" customHeight="1" x14ac:dyDescent="0.2">
      <c r="B20" s="49"/>
      <c r="C20" s="126" t="s">
        <v>205</v>
      </c>
      <c r="D20" s="68" t="s">
        <v>71</v>
      </c>
      <c r="E20" s="51"/>
      <c r="G20" s="25"/>
      <c r="H20" s="6"/>
      <c r="I20" s="6">
        <v>1</v>
      </c>
      <c r="J20" s="6">
        <v>2</v>
      </c>
      <c r="K20" s="6">
        <v>3</v>
      </c>
      <c r="L20" s="6">
        <v>4</v>
      </c>
      <c r="M20" s="6">
        <v>5</v>
      </c>
      <c r="N20" s="6">
        <v>6</v>
      </c>
      <c r="O20" s="6">
        <v>7</v>
      </c>
      <c r="P20" s="6">
        <v>8</v>
      </c>
      <c r="Q20" s="6">
        <v>9</v>
      </c>
      <c r="R20" s="6">
        <v>10</v>
      </c>
      <c r="S20" s="6">
        <v>11</v>
      </c>
      <c r="T20" s="6">
        <v>12</v>
      </c>
      <c r="U20" s="6"/>
      <c r="V20" s="6"/>
      <c r="W20" s="6"/>
      <c r="X20" s="6"/>
      <c r="Y20" s="6"/>
      <c r="Z20" s="6"/>
      <c r="AA20" s="6"/>
      <c r="AB20" s="6"/>
      <c r="AC20" s="26"/>
    </row>
    <row r="21" spans="2:29" ht="15" customHeight="1" x14ac:dyDescent="0.2">
      <c r="B21" s="49"/>
      <c r="C21" s="126" t="s">
        <v>206</v>
      </c>
      <c r="D21" s="69" t="s">
        <v>72</v>
      </c>
      <c r="E21" s="51"/>
      <c r="G21" s="25"/>
      <c r="H21" s="6" t="s">
        <v>139</v>
      </c>
      <c r="I21" s="57"/>
      <c r="J21" s="57"/>
      <c r="K21" s="57"/>
      <c r="L21" s="57"/>
      <c r="M21" s="57"/>
      <c r="N21" s="57"/>
      <c r="O21" s="57"/>
      <c r="P21" s="57"/>
      <c r="Q21" s="57"/>
      <c r="R21" s="57"/>
      <c r="S21" s="57"/>
      <c r="T21" s="57"/>
      <c r="U21" s="6"/>
      <c r="V21" s="6"/>
      <c r="W21" s="6"/>
      <c r="X21" s="6"/>
      <c r="Y21" s="6"/>
      <c r="Z21" s="6"/>
      <c r="AA21" s="6"/>
      <c r="AB21" s="6"/>
      <c r="AC21" s="26"/>
    </row>
    <row r="22" spans="2:29" ht="15" customHeight="1" x14ac:dyDescent="0.2">
      <c r="B22" s="49"/>
      <c r="C22" s="126" t="s">
        <v>207</v>
      </c>
      <c r="D22" s="70" t="s">
        <v>73</v>
      </c>
      <c r="E22" s="51"/>
      <c r="G22" s="25"/>
      <c r="H22" s="6" t="s">
        <v>140</v>
      </c>
      <c r="I22" s="57"/>
      <c r="J22" s="136" t="s">
        <v>149</v>
      </c>
      <c r="K22" s="57" t="s">
        <v>149</v>
      </c>
      <c r="L22" s="57" t="s">
        <v>149</v>
      </c>
      <c r="M22" s="57" t="s">
        <v>149</v>
      </c>
      <c r="N22" s="57" t="s">
        <v>149</v>
      </c>
      <c r="O22" s="57" t="s">
        <v>149</v>
      </c>
      <c r="P22" s="57" t="s">
        <v>149</v>
      </c>
      <c r="Q22" s="57" t="s">
        <v>149</v>
      </c>
      <c r="R22" s="57" t="s">
        <v>149</v>
      </c>
      <c r="S22" s="57" t="s">
        <v>149</v>
      </c>
      <c r="T22" s="57"/>
      <c r="U22" s="6"/>
      <c r="V22" s="6"/>
      <c r="W22" s="6"/>
      <c r="X22" s="6"/>
      <c r="Y22" s="6"/>
      <c r="Z22" s="6"/>
      <c r="AA22" s="6"/>
      <c r="AB22" s="6"/>
      <c r="AC22" s="26"/>
    </row>
    <row r="23" spans="2:29" ht="15" customHeight="1" x14ac:dyDescent="0.2">
      <c r="B23" s="49"/>
      <c r="C23" s="126" t="s">
        <v>208</v>
      </c>
      <c r="D23" s="71" t="s">
        <v>74</v>
      </c>
      <c r="E23" s="51"/>
      <c r="G23" s="25"/>
      <c r="H23" s="6" t="s">
        <v>141</v>
      </c>
      <c r="I23" s="57"/>
      <c r="J23" s="57" t="s">
        <v>149</v>
      </c>
      <c r="K23" s="57" t="s">
        <v>149</v>
      </c>
      <c r="L23" s="57" t="s">
        <v>149</v>
      </c>
      <c r="M23" s="57" t="s">
        <v>149</v>
      </c>
      <c r="N23" s="57" t="s">
        <v>149</v>
      </c>
      <c r="O23" s="57" t="s">
        <v>149</v>
      </c>
      <c r="P23" s="57" t="s">
        <v>149</v>
      </c>
      <c r="Q23" s="57" t="s">
        <v>149</v>
      </c>
      <c r="R23" s="57" t="s">
        <v>149</v>
      </c>
      <c r="S23" s="57" t="s">
        <v>149</v>
      </c>
      <c r="T23" s="57"/>
      <c r="U23" s="6"/>
      <c r="V23" s="6"/>
      <c r="W23" s="6"/>
      <c r="X23" s="6"/>
      <c r="Y23" s="6"/>
      <c r="Z23" s="6"/>
      <c r="AA23" s="6"/>
      <c r="AB23" s="6"/>
      <c r="AC23" s="26"/>
    </row>
    <row r="24" spans="2:29" ht="15" customHeight="1" x14ac:dyDescent="0.2">
      <c r="B24" s="49"/>
      <c r="C24" s="126" t="s">
        <v>209</v>
      </c>
      <c r="D24" s="72" t="s">
        <v>75</v>
      </c>
      <c r="E24" s="51"/>
      <c r="G24" s="25"/>
      <c r="H24" s="6" t="s">
        <v>142</v>
      </c>
      <c r="I24" s="57"/>
      <c r="J24" s="57" t="s">
        <v>149</v>
      </c>
      <c r="K24" s="57" t="s">
        <v>149</v>
      </c>
      <c r="L24" s="57" t="s">
        <v>149</v>
      </c>
      <c r="M24" s="57" t="s">
        <v>149</v>
      </c>
      <c r="N24" s="57" t="s">
        <v>149</v>
      </c>
      <c r="O24" s="57" t="s">
        <v>149</v>
      </c>
      <c r="P24" s="57" t="s">
        <v>149</v>
      </c>
      <c r="Q24" s="57" t="s">
        <v>149</v>
      </c>
      <c r="R24" s="57" t="s">
        <v>149</v>
      </c>
      <c r="S24" s="57" t="s">
        <v>149</v>
      </c>
      <c r="T24" s="57"/>
      <c r="U24" s="6"/>
      <c r="V24" s="6"/>
      <c r="W24" s="6"/>
      <c r="X24" s="6"/>
      <c r="Y24" s="6"/>
      <c r="Z24" s="6"/>
      <c r="AA24" s="6"/>
      <c r="AB24" s="6"/>
      <c r="AC24" s="26"/>
    </row>
    <row r="25" spans="2:29" ht="15" customHeight="1" x14ac:dyDescent="0.2">
      <c r="B25" s="49"/>
      <c r="C25" s="126" t="s">
        <v>210</v>
      </c>
      <c r="D25" s="73" t="s">
        <v>76</v>
      </c>
      <c r="E25" s="51"/>
      <c r="G25" s="25"/>
      <c r="H25" s="6" t="s">
        <v>143</v>
      </c>
      <c r="I25" s="57"/>
      <c r="J25" s="57" t="s">
        <v>149</v>
      </c>
      <c r="K25" s="57" t="s">
        <v>149</v>
      </c>
      <c r="L25" s="57" t="s">
        <v>149</v>
      </c>
      <c r="M25" s="57" t="s">
        <v>149</v>
      </c>
      <c r="N25" s="57" t="s">
        <v>149</v>
      </c>
      <c r="O25" s="57" t="s">
        <v>149</v>
      </c>
      <c r="P25" s="57" t="s">
        <v>149</v>
      </c>
      <c r="Q25" s="57" t="s">
        <v>149</v>
      </c>
      <c r="R25" s="57" t="s">
        <v>149</v>
      </c>
      <c r="S25" s="57" t="s">
        <v>149</v>
      </c>
      <c r="T25" s="57"/>
      <c r="U25" s="6"/>
      <c r="V25" s="6"/>
      <c r="W25" s="6"/>
      <c r="X25" s="6"/>
      <c r="Y25" s="6"/>
      <c r="Z25" s="6"/>
      <c r="AA25" s="6"/>
      <c r="AB25" s="6"/>
      <c r="AC25" s="26"/>
    </row>
    <row r="26" spans="2:29" ht="15" customHeight="1" x14ac:dyDescent="0.2">
      <c r="B26" s="49"/>
      <c r="C26" s="126" t="s">
        <v>211</v>
      </c>
      <c r="D26" s="74" t="s">
        <v>77</v>
      </c>
      <c r="E26" s="51"/>
      <c r="G26" s="25"/>
      <c r="H26" s="6" t="s">
        <v>144</v>
      </c>
      <c r="I26" s="57"/>
      <c r="J26" s="57" t="s">
        <v>149</v>
      </c>
      <c r="K26" s="57" t="s">
        <v>149</v>
      </c>
      <c r="L26" s="57" t="s">
        <v>149</v>
      </c>
      <c r="M26" s="57" t="s">
        <v>149</v>
      </c>
      <c r="N26" s="57" t="s">
        <v>149</v>
      </c>
      <c r="O26" s="57" t="s">
        <v>149</v>
      </c>
      <c r="P26" s="57" t="s">
        <v>149</v>
      </c>
      <c r="Q26" s="57" t="s">
        <v>149</v>
      </c>
      <c r="R26" s="57" t="s">
        <v>149</v>
      </c>
      <c r="S26" s="57" t="s">
        <v>149</v>
      </c>
      <c r="T26" s="57"/>
      <c r="U26" s="6"/>
      <c r="V26" s="6"/>
      <c r="W26" s="151"/>
      <c r="X26" s="6"/>
      <c r="Y26" s="6"/>
      <c r="Z26" s="6"/>
      <c r="AA26" s="6"/>
      <c r="AB26" s="6"/>
      <c r="AC26" s="26"/>
    </row>
    <row r="27" spans="2:29" ht="15" customHeight="1" x14ac:dyDescent="0.2">
      <c r="B27" s="49"/>
      <c r="C27" s="126" t="s">
        <v>212</v>
      </c>
      <c r="D27" s="75" t="s">
        <v>169</v>
      </c>
      <c r="E27" s="51"/>
      <c r="G27" s="25"/>
      <c r="H27" s="6" t="s">
        <v>145</v>
      </c>
      <c r="I27" s="57"/>
      <c r="J27" s="57" t="s">
        <v>149</v>
      </c>
      <c r="K27" s="57" t="s">
        <v>149</v>
      </c>
      <c r="L27" s="57" t="s">
        <v>149</v>
      </c>
      <c r="M27" s="57" t="s">
        <v>149</v>
      </c>
      <c r="N27" s="57" t="s">
        <v>149</v>
      </c>
      <c r="O27" s="57" t="s">
        <v>149</v>
      </c>
      <c r="P27" s="57" t="s">
        <v>149</v>
      </c>
      <c r="Q27" s="57" t="s">
        <v>149</v>
      </c>
      <c r="R27" s="57" t="s">
        <v>149</v>
      </c>
      <c r="S27" s="57" t="s">
        <v>149</v>
      </c>
      <c r="T27" s="57"/>
      <c r="U27" s="6"/>
      <c r="V27" s="6"/>
      <c r="W27" s="6"/>
      <c r="X27" s="6"/>
      <c r="Y27" s="6"/>
      <c r="Z27" s="6"/>
      <c r="AA27" s="6"/>
      <c r="AB27" s="6"/>
      <c r="AC27" s="26"/>
    </row>
    <row r="28" spans="2:29" ht="15" customHeight="1" x14ac:dyDescent="0.2">
      <c r="B28" s="49"/>
      <c r="C28" s="126" t="s">
        <v>213</v>
      </c>
      <c r="D28" s="76" t="s">
        <v>170</v>
      </c>
      <c r="E28" s="51"/>
      <c r="G28" s="25"/>
      <c r="H28" s="6" t="s">
        <v>146</v>
      </c>
      <c r="I28" s="57"/>
      <c r="J28" s="57"/>
      <c r="K28" s="57"/>
      <c r="L28" s="57"/>
      <c r="M28" s="57"/>
      <c r="N28" s="57"/>
      <c r="O28" s="57"/>
      <c r="P28" s="57"/>
      <c r="Q28" s="57"/>
      <c r="R28" s="57"/>
      <c r="S28" s="57"/>
      <c r="T28" s="57"/>
      <c r="U28" s="6"/>
      <c r="V28" s="6"/>
      <c r="W28" s="6"/>
      <c r="X28" s="6"/>
      <c r="Y28" s="6"/>
      <c r="Z28" s="6"/>
      <c r="AA28" s="6"/>
      <c r="AB28" s="6"/>
      <c r="AC28" s="26"/>
    </row>
    <row r="29" spans="2:29" ht="15" customHeight="1" thickBot="1" x14ac:dyDescent="0.25">
      <c r="B29" s="49"/>
      <c r="C29" s="126" t="s">
        <v>214</v>
      </c>
      <c r="D29" s="77" t="s">
        <v>171</v>
      </c>
      <c r="E29" s="51"/>
      <c r="G29" s="27"/>
      <c r="H29" s="28"/>
      <c r="I29" s="28"/>
      <c r="J29" s="28"/>
      <c r="K29" s="28"/>
      <c r="L29" s="28"/>
      <c r="M29" s="28"/>
      <c r="N29" s="28"/>
      <c r="O29" s="28"/>
      <c r="P29" s="28"/>
      <c r="Q29" s="28"/>
      <c r="R29" s="28"/>
      <c r="S29" s="28"/>
      <c r="T29" s="28"/>
      <c r="U29" s="28"/>
      <c r="V29" s="28"/>
      <c r="W29" s="28"/>
      <c r="X29" s="28"/>
      <c r="Y29" s="28"/>
      <c r="Z29" s="28"/>
      <c r="AA29" s="28"/>
      <c r="AB29" s="28"/>
      <c r="AC29" s="29"/>
    </row>
    <row r="30" spans="2:29" s="4" customFormat="1" ht="15" customHeight="1" thickBot="1" x14ac:dyDescent="0.25">
      <c r="B30" s="49"/>
      <c r="C30" s="126" t="s">
        <v>215</v>
      </c>
      <c r="D30" s="78" t="s">
        <v>174</v>
      </c>
      <c r="E30" s="51"/>
    </row>
    <row r="31" spans="2:29" ht="15" customHeight="1" thickBot="1" x14ac:dyDescent="0.25">
      <c r="B31" s="49"/>
      <c r="C31" s="126" t="s">
        <v>216</v>
      </c>
      <c r="D31" s="79" t="s">
        <v>175</v>
      </c>
      <c r="E31" s="51"/>
      <c r="G31" s="33"/>
      <c r="H31" s="34" t="s">
        <v>167</v>
      </c>
      <c r="I31" s="34"/>
      <c r="J31" s="34"/>
      <c r="K31" s="34"/>
      <c r="L31" s="34"/>
      <c r="M31" s="34"/>
      <c r="N31" s="34"/>
      <c r="O31" s="34"/>
      <c r="P31" s="34"/>
      <c r="Q31" s="34"/>
      <c r="R31" s="34"/>
      <c r="S31" s="34"/>
      <c r="T31" s="34"/>
      <c r="U31" s="34"/>
      <c r="V31" s="34"/>
      <c r="W31" s="34"/>
      <c r="X31" s="34"/>
      <c r="Y31" s="34"/>
      <c r="Z31" s="34"/>
      <c r="AA31" s="34"/>
      <c r="AB31" s="34"/>
      <c r="AC31" s="35"/>
    </row>
    <row r="32" spans="2:29" s="4" customFormat="1" ht="15" customHeight="1" thickBot="1" x14ac:dyDescent="0.25">
      <c r="B32" s="49"/>
      <c r="C32" s="126" t="s">
        <v>217</v>
      </c>
      <c r="D32" s="80" t="s">
        <v>176</v>
      </c>
      <c r="E32" s="51"/>
    </row>
    <row r="33" spans="2:29" ht="15" customHeight="1" x14ac:dyDescent="0.2">
      <c r="B33" s="49"/>
      <c r="C33" s="137" t="s">
        <v>218</v>
      </c>
      <c r="D33" s="81" t="s">
        <v>180</v>
      </c>
      <c r="E33" s="51"/>
      <c r="G33" s="36"/>
      <c r="H33" s="37"/>
      <c r="I33" s="37"/>
      <c r="J33" s="37"/>
      <c r="K33" s="37"/>
      <c r="L33" s="37"/>
      <c r="M33" s="37"/>
      <c r="N33" s="37"/>
      <c r="O33" s="37"/>
      <c r="P33" s="37"/>
      <c r="Q33" s="37"/>
      <c r="R33" s="37"/>
      <c r="S33" s="37"/>
      <c r="T33" s="37"/>
      <c r="U33" s="37"/>
      <c r="V33" s="37"/>
      <c r="W33" s="37"/>
      <c r="X33" s="37"/>
      <c r="Y33" s="37"/>
      <c r="Z33" s="37"/>
      <c r="AA33" s="37"/>
      <c r="AB33" s="37"/>
      <c r="AC33" s="38"/>
    </row>
    <row r="34" spans="2:29" ht="15" customHeight="1" x14ac:dyDescent="0.2">
      <c r="B34" s="49"/>
      <c r="C34" s="138" t="s">
        <v>219</v>
      </c>
      <c r="D34" s="82" t="s">
        <v>181</v>
      </c>
      <c r="E34" s="51"/>
      <c r="G34" s="39"/>
      <c r="H34" s="8"/>
      <c r="I34" s="8">
        <v>1</v>
      </c>
      <c r="J34" s="8">
        <v>2</v>
      </c>
      <c r="K34" s="8">
        <v>3</v>
      </c>
      <c r="L34" s="8">
        <v>4</v>
      </c>
      <c r="M34" s="8">
        <v>5</v>
      </c>
      <c r="N34" s="8">
        <v>6</v>
      </c>
      <c r="O34" s="8">
        <v>7</v>
      </c>
      <c r="P34" s="8">
        <v>8</v>
      </c>
      <c r="Q34" s="8">
        <v>9</v>
      </c>
      <c r="R34" s="8">
        <v>10</v>
      </c>
      <c r="S34" s="8">
        <v>11</v>
      </c>
      <c r="T34" s="8">
        <v>12</v>
      </c>
      <c r="U34" s="8"/>
      <c r="V34" s="8"/>
      <c r="W34" s="8"/>
      <c r="X34" s="8"/>
      <c r="Y34" s="8"/>
      <c r="Z34" s="8"/>
      <c r="AA34" s="8"/>
      <c r="AB34" s="8"/>
      <c r="AC34" s="40"/>
    </row>
    <row r="35" spans="2:29" ht="15" customHeight="1" x14ac:dyDescent="0.2">
      <c r="B35" s="49"/>
      <c r="C35" s="138" t="s">
        <v>220</v>
      </c>
      <c r="D35" s="83" t="s">
        <v>182</v>
      </c>
      <c r="E35" s="51"/>
      <c r="G35" s="39"/>
      <c r="H35" s="8" t="s">
        <v>139</v>
      </c>
      <c r="I35" s="62"/>
      <c r="J35" s="62"/>
      <c r="K35" s="62"/>
      <c r="L35" s="58"/>
      <c r="M35" s="58"/>
      <c r="N35" s="58"/>
      <c r="O35" s="58"/>
      <c r="P35" s="58"/>
      <c r="Q35" s="58"/>
      <c r="R35" s="58"/>
      <c r="S35" s="58"/>
      <c r="T35" s="58"/>
      <c r="U35" s="8"/>
      <c r="V35" s="8"/>
      <c r="W35" s="8"/>
      <c r="X35" s="8"/>
      <c r="Y35" s="8"/>
      <c r="Z35" s="8"/>
      <c r="AA35" s="8"/>
      <c r="AB35" s="8"/>
      <c r="AC35" s="40"/>
    </row>
    <row r="36" spans="2:29" ht="15" customHeight="1" x14ac:dyDescent="0.2">
      <c r="B36" s="49"/>
      <c r="C36" s="126"/>
      <c r="D36" s="84" t="s">
        <v>183</v>
      </c>
      <c r="E36" s="51"/>
      <c r="G36" s="39"/>
      <c r="H36" s="8" t="s">
        <v>140</v>
      </c>
      <c r="I36" s="58"/>
      <c r="J36" s="63" t="s">
        <v>66</v>
      </c>
      <c r="K36" s="63" t="s">
        <v>66</v>
      </c>
      <c r="L36" s="64" t="s">
        <v>67</v>
      </c>
      <c r="M36" s="91" t="s">
        <v>67</v>
      </c>
      <c r="N36" s="91" t="s">
        <v>67</v>
      </c>
      <c r="O36" s="92" t="s">
        <v>68</v>
      </c>
      <c r="P36" s="92" t="s">
        <v>68</v>
      </c>
      <c r="Q36" s="92" t="s">
        <v>68</v>
      </c>
      <c r="R36" s="146" t="s">
        <v>73</v>
      </c>
      <c r="S36" s="146" t="s">
        <v>73</v>
      </c>
      <c r="T36" s="62"/>
      <c r="U36" s="8"/>
      <c r="V36" s="8"/>
      <c r="W36" s="8"/>
      <c r="X36" s="8"/>
      <c r="Y36" s="8"/>
      <c r="Z36" s="129"/>
      <c r="AA36" s="8"/>
      <c r="AB36" s="8"/>
      <c r="AC36" s="40"/>
    </row>
    <row r="37" spans="2:29" ht="15" customHeight="1" x14ac:dyDescent="0.2">
      <c r="B37" s="49"/>
      <c r="C37" s="126"/>
      <c r="D37" s="85" t="s">
        <v>184</v>
      </c>
      <c r="E37" s="51"/>
      <c r="G37" s="39"/>
      <c r="H37" s="8" t="s">
        <v>141</v>
      </c>
      <c r="I37" s="62"/>
      <c r="J37" s="93" t="s">
        <v>69</v>
      </c>
      <c r="K37" s="93" t="s">
        <v>69</v>
      </c>
      <c r="L37" s="93" t="s">
        <v>69</v>
      </c>
      <c r="M37" s="94" t="s">
        <v>70</v>
      </c>
      <c r="N37" s="94" t="s">
        <v>70</v>
      </c>
      <c r="O37" s="94" t="s">
        <v>70</v>
      </c>
      <c r="P37" s="95" t="s">
        <v>71</v>
      </c>
      <c r="Q37" s="95" t="s">
        <v>71</v>
      </c>
      <c r="R37" s="95" t="s">
        <v>71</v>
      </c>
      <c r="S37" s="98" t="s">
        <v>171</v>
      </c>
      <c r="T37" s="58"/>
      <c r="U37" s="8"/>
      <c r="V37" s="8"/>
      <c r="W37" s="8"/>
      <c r="X37" s="8"/>
      <c r="Y37" s="8"/>
      <c r="Z37" s="8"/>
      <c r="AA37" s="8"/>
      <c r="AB37" s="8"/>
      <c r="AC37" s="40"/>
    </row>
    <row r="38" spans="2:29" ht="15" customHeight="1" x14ac:dyDescent="0.2">
      <c r="B38" s="49"/>
      <c r="C38" s="126"/>
      <c r="D38" s="86" t="s">
        <v>177</v>
      </c>
      <c r="E38" s="51"/>
      <c r="G38" s="39"/>
      <c r="H38" s="8" t="s">
        <v>142</v>
      </c>
      <c r="I38" s="62"/>
      <c r="J38" s="96" t="s">
        <v>72</v>
      </c>
      <c r="K38" s="96" t="s">
        <v>72</v>
      </c>
      <c r="L38" s="96" t="s">
        <v>72</v>
      </c>
      <c r="M38" s="156" t="s">
        <v>74</v>
      </c>
      <c r="N38" s="152" t="s">
        <v>74</v>
      </c>
      <c r="O38" s="152" t="s">
        <v>74</v>
      </c>
      <c r="P38" s="147" t="s">
        <v>75</v>
      </c>
      <c r="Q38" s="150" t="s">
        <v>75</v>
      </c>
      <c r="R38" s="150" t="s">
        <v>75</v>
      </c>
      <c r="S38" s="98" t="s">
        <v>171</v>
      </c>
      <c r="T38" s="58"/>
      <c r="U38" s="8"/>
      <c r="V38" s="8"/>
      <c r="W38" s="8"/>
      <c r="X38" s="8"/>
      <c r="Y38" s="8"/>
      <c r="Z38" s="8"/>
      <c r="AA38" s="8"/>
      <c r="AB38" s="8"/>
      <c r="AC38" s="40"/>
    </row>
    <row r="39" spans="2:29" ht="15" customHeight="1" x14ac:dyDescent="0.2">
      <c r="B39" s="49"/>
      <c r="C39" s="126"/>
      <c r="D39" s="87" t="s">
        <v>179</v>
      </c>
      <c r="E39" s="51"/>
      <c r="G39" s="39"/>
      <c r="H39" s="8" t="s">
        <v>143</v>
      </c>
      <c r="I39" s="62"/>
      <c r="J39" s="154" t="s">
        <v>76</v>
      </c>
      <c r="K39" s="139" t="s">
        <v>76</v>
      </c>
      <c r="L39" s="139" t="s">
        <v>76</v>
      </c>
      <c r="M39" s="153" t="s">
        <v>77</v>
      </c>
      <c r="N39" s="153" t="s">
        <v>77</v>
      </c>
      <c r="O39" s="153" t="s">
        <v>77</v>
      </c>
      <c r="P39" s="97" t="s">
        <v>169</v>
      </c>
      <c r="Q39" s="97" t="s">
        <v>169</v>
      </c>
      <c r="R39" s="97" t="s">
        <v>169</v>
      </c>
      <c r="S39" s="155" t="s">
        <v>182</v>
      </c>
      <c r="T39" s="58"/>
      <c r="U39" s="8"/>
      <c r="V39" s="8"/>
      <c r="W39" s="8"/>
      <c r="X39" s="8"/>
      <c r="Y39" s="8"/>
      <c r="Z39" s="8"/>
      <c r="AA39" s="8"/>
      <c r="AB39" s="8"/>
      <c r="AC39" s="40"/>
    </row>
    <row r="40" spans="2:29" ht="15" customHeight="1" x14ac:dyDescent="0.2">
      <c r="B40" s="49"/>
      <c r="C40" s="126"/>
      <c r="D40" s="88" t="s">
        <v>178</v>
      </c>
      <c r="E40" s="51"/>
      <c r="G40" s="39"/>
      <c r="H40" s="8" t="s">
        <v>144</v>
      </c>
      <c r="I40" s="62"/>
      <c r="J40" s="149" t="s">
        <v>170</v>
      </c>
      <c r="K40" s="149" t="s">
        <v>170</v>
      </c>
      <c r="L40" s="149" t="s">
        <v>170</v>
      </c>
      <c r="M40" s="140" t="s">
        <v>174</v>
      </c>
      <c r="N40" s="140" t="s">
        <v>174</v>
      </c>
      <c r="O40" s="140" t="s">
        <v>174</v>
      </c>
      <c r="P40" s="141" t="s">
        <v>175</v>
      </c>
      <c r="Q40" s="141" t="s">
        <v>175</v>
      </c>
      <c r="R40" s="141" t="s">
        <v>175</v>
      </c>
      <c r="S40" s="155" t="s">
        <v>182</v>
      </c>
      <c r="T40" s="58"/>
      <c r="U40" s="8"/>
      <c r="V40" s="8"/>
      <c r="W40" s="8"/>
      <c r="X40" s="8"/>
      <c r="Y40" s="8"/>
      <c r="Z40" s="8"/>
      <c r="AA40" s="8"/>
      <c r="AB40" s="8"/>
      <c r="AC40" s="40"/>
    </row>
    <row r="41" spans="2:29" ht="15" customHeight="1" x14ac:dyDescent="0.2">
      <c r="B41" s="49"/>
      <c r="C41" s="127"/>
      <c r="D41" s="89" t="s">
        <v>185</v>
      </c>
      <c r="E41" s="51"/>
      <c r="G41" s="39"/>
      <c r="H41" s="8" t="s">
        <v>145</v>
      </c>
      <c r="I41" s="62"/>
      <c r="J41" s="142" t="s">
        <v>176</v>
      </c>
      <c r="K41" s="142" t="s">
        <v>176</v>
      </c>
      <c r="L41" s="142" t="s">
        <v>176</v>
      </c>
      <c r="M41" s="143" t="s">
        <v>180</v>
      </c>
      <c r="N41" s="143" t="s">
        <v>180</v>
      </c>
      <c r="O41" s="143" t="s">
        <v>180</v>
      </c>
      <c r="P41" s="148" t="s">
        <v>181</v>
      </c>
      <c r="Q41" s="148" t="s">
        <v>181</v>
      </c>
      <c r="R41" s="148" t="s">
        <v>181</v>
      </c>
      <c r="S41" s="155" t="s">
        <v>182</v>
      </c>
      <c r="T41" s="58"/>
      <c r="U41" s="8"/>
      <c r="V41" s="8"/>
      <c r="W41" s="8"/>
      <c r="X41" s="8"/>
      <c r="Y41" s="8"/>
      <c r="Z41" s="8"/>
      <c r="AA41" s="8"/>
      <c r="AB41" s="8"/>
      <c r="AC41" s="40"/>
    </row>
    <row r="42" spans="2:29" ht="15" customHeight="1" x14ac:dyDescent="0.2">
      <c r="B42" s="49"/>
      <c r="C42" s="128"/>
      <c r="D42" s="90" t="s">
        <v>186</v>
      </c>
      <c r="E42" s="51"/>
      <c r="G42" s="39"/>
      <c r="H42" s="8" t="s">
        <v>146</v>
      </c>
      <c r="I42" s="58"/>
      <c r="J42" s="58"/>
      <c r="K42" s="58"/>
      <c r="L42" s="58"/>
      <c r="M42" s="58"/>
      <c r="N42" s="58"/>
      <c r="O42" s="58"/>
      <c r="P42" s="58"/>
      <c r="Q42" s="58"/>
      <c r="R42" s="58"/>
      <c r="S42" s="58"/>
      <c r="T42" s="58"/>
      <c r="U42" s="8"/>
      <c r="V42" s="8"/>
      <c r="W42" s="8"/>
      <c r="X42" s="8"/>
      <c r="Y42" s="8"/>
      <c r="Z42" s="8"/>
      <c r="AA42" s="8"/>
      <c r="AB42" s="8"/>
      <c r="AC42" s="40"/>
    </row>
    <row r="43" spans="2:29" ht="15" customHeight="1" thickBot="1" x14ac:dyDescent="0.25">
      <c r="B43" s="52"/>
      <c r="C43" s="99"/>
      <c r="D43" s="99"/>
      <c r="E43" s="53"/>
      <c r="G43" s="41"/>
      <c r="H43" s="42"/>
      <c r="I43" s="42"/>
      <c r="J43" s="42"/>
      <c r="K43" s="42"/>
      <c r="L43" s="42"/>
      <c r="M43" s="42"/>
      <c r="N43" s="42"/>
      <c r="O43" s="42"/>
      <c r="P43" s="42"/>
      <c r="Q43" s="42"/>
      <c r="R43" s="42"/>
      <c r="S43" s="42"/>
      <c r="T43" s="42"/>
      <c r="U43" s="42"/>
      <c r="V43" s="42"/>
      <c r="W43" s="42"/>
      <c r="X43" s="42"/>
      <c r="Y43" s="42"/>
      <c r="Z43" s="42"/>
      <c r="AA43" s="42"/>
      <c r="AB43" s="42"/>
      <c r="AC43" s="43"/>
    </row>
    <row r="44" spans="2:29" s="4" customFormat="1" ht="15" customHeight="1" x14ac:dyDescent="0.2"/>
    <row r="45" spans="2:29" s="4" customFormat="1" ht="15" customHeight="1" x14ac:dyDescent="0.2"/>
    <row r="46" spans="2:29" s="4" customFormat="1" ht="15" customHeight="1" x14ac:dyDescent="0.2"/>
    <row r="47" spans="2:29" s="4" customFormat="1" ht="15" customHeight="1" x14ac:dyDescent="0.2"/>
    <row r="48" spans="2:29" s="4" customFormat="1" ht="15" customHeight="1" x14ac:dyDescent="0.2"/>
    <row r="49" s="4" customFormat="1" ht="15" customHeight="1" x14ac:dyDescent="0.2"/>
    <row r="50" s="4" customFormat="1" ht="15" customHeight="1" x14ac:dyDescent="0.2"/>
    <row r="51" s="4" customFormat="1" ht="15" customHeight="1" x14ac:dyDescent="0.2"/>
    <row r="52" s="4" customFormat="1" ht="15" customHeight="1" x14ac:dyDescent="0.2"/>
    <row r="53" s="4" customFormat="1" ht="15" customHeight="1" x14ac:dyDescent="0.2"/>
    <row r="54" s="4" customFormat="1" ht="15" customHeight="1" x14ac:dyDescent="0.2"/>
    <row r="55" s="4" customFormat="1" ht="15" customHeight="1" x14ac:dyDescent="0.2"/>
    <row r="56" s="4" customFormat="1" ht="15" customHeight="1" x14ac:dyDescent="0.2"/>
    <row r="57" s="4" customFormat="1" ht="15" customHeight="1" x14ac:dyDescent="0.2"/>
    <row r="58" s="4" customFormat="1" ht="15" customHeight="1" x14ac:dyDescent="0.2"/>
    <row r="59" s="4" customFormat="1" ht="15" customHeight="1" x14ac:dyDescent="0.2"/>
    <row r="60" s="4" customFormat="1" ht="15" customHeight="1" x14ac:dyDescent="0.2"/>
    <row r="61" s="4" customFormat="1" ht="15" customHeight="1" x14ac:dyDescent="0.2"/>
    <row r="62" s="4" customFormat="1" ht="15" customHeight="1" x14ac:dyDescent="0.2"/>
    <row r="63" s="4" customFormat="1" ht="15" customHeight="1" x14ac:dyDescent="0.2"/>
    <row r="64" s="4" customFormat="1" ht="15" customHeight="1" x14ac:dyDescent="0.2"/>
    <row r="65" s="4" customFormat="1" ht="15" customHeight="1" x14ac:dyDescent="0.2"/>
    <row r="66" s="4" customFormat="1" ht="15" customHeight="1" x14ac:dyDescent="0.2"/>
    <row r="67" s="4" customFormat="1" ht="15" customHeight="1" x14ac:dyDescent="0.2"/>
    <row r="68" s="4" customFormat="1" ht="15" customHeight="1" x14ac:dyDescent="0.2"/>
    <row r="69" s="4" customFormat="1" ht="15" customHeight="1" x14ac:dyDescent="0.2"/>
    <row r="70" s="4" customFormat="1" ht="15" customHeight="1" x14ac:dyDescent="0.2"/>
    <row r="71" s="4" customFormat="1" ht="15" customHeight="1" x14ac:dyDescent="0.2"/>
    <row r="72" s="4" customFormat="1" ht="15" customHeight="1" x14ac:dyDescent="0.2"/>
    <row r="73" s="4" customFormat="1" ht="15" customHeight="1" x14ac:dyDescent="0.2"/>
    <row r="74" s="4" customFormat="1" ht="15" customHeight="1" x14ac:dyDescent="0.2"/>
    <row r="75" s="4" customFormat="1" ht="15" customHeight="1" x14ac:dyDescent="0.2"/>
    <row r="76" s="4" customFormat="1" ht="15" customHeight="1" x14ac:dyDescent="0.2"/>
    <row r="77" s="4" customFormat="1" ht="15" customHeight="1" x14ac:dyDescent="0.2"/>
    <row r="78" s="4" customFormat="1" ht="15" customHeight="1" x14ac:dyDescent="0.2"/>
    <row r="79" s="4" customFormat="1" ht="15" customHeight="1" x14ac:dyDescent="0.2"/>
    <row r="80" s="4" customFormat="1" ht="15" customHeight="1" x14ac:dyDescent="0.2"/>
    <row r="81" s="4" customFormat="1" ht="15" customHeight="1" x14ac:dyDescent="0.2"/>
    <row r="82" s="4" customFormat="1" ht="15" customHeight="1" x14ac:dyDescent="0.2"/>
    <row r="83" s="4" customFormat="1" ht="15" customHeight="1" x14ac:dyDescent="0.2"/>
    <row r="84" s="4" customFormat="1" ht="15" customHeight="1" x14ac:dyDescent="0.2"/>
    <row r="85" s="4" customFormat="1" ht="15" customHeight="1" x14ac:dyDescent="0.2"/>
    <row r="86" s="4" customFormat="1" ht="15" customHeight="1" x14ac:dyDescent="0.2"/>
    <row r="87" s="4" customFormat="1" ht="15" customHeight="1" x14ac:dyDescent="0.2"/>
    <row r="88" s="4" customFormat="1" ht="15" customHeight="1" x14ac:dyDescent="0.2"/>
    <row r="89" s="4" customFormat="1" ht="15" customHeight="1" x14ac:dyDescent="0.2"/>
    <row r="90" s="4" customFormat="1" ht="15" customHeight="1" x14ac:dyDescent="0.2"/>
    <row r="91" s="4" customFormat="1" ht="15" customHeight="1" x14ac:dyDescent="0.2"/>
    <row r="92" s="4" customFormat="1" ht="15" customHeight="1" x14ac:dyDescent="0.2"/>
    <row r="93" s="4" customFormat="1" ht="15" customHeight="1" x14ac:dyDescent="0.2"/>
    <row r="94" s="4" customFormat="1" ht="15" customHeight="1" x14ac:dyDescent="0.2"/>
    <row r="95" s="4" customFormat="1" ht="15" customHeight="1" x14ac:dyDescent="0.2"/>
    <row r="96" s="4" customFormat="1" ht="15" customHeight="1" x14ac:dyDescent="0.2"/>
    <row r="97" s="4" customFormat="1" ht="15" customHeight="1" x14ac:dyDescent="0.2"/>
    <row r="98" s="4" customFormat="1" ht="15" customHeight="1" x14ac:dyDescent="0.2"/>
    <row r="99" s="4" customFormat="1" ht="15" customHeight="1" x14ac:dyDescent="0.2"/>
    <row r="100" s="4" customFormat="1" ht="15" customHeight="1" x14ac:dyDescent="0.2"/>
    <row r="101" s="4" customFormat="1" ht="15" customHeight="1" x14ac:dyDescent="0.2"/>
    <row r="102" s="4" customFormat="1" ht="15" customHeight="1" x14ac:dyDescent="0.2"/>
    <row r="103" s="4" customFormat="1" ht="15" customHeight="1" x14ac:dyDescent="0.2"/>
    <row r="104" s="4" customFormat="1" ht="15" customHeight="1" x14ac:dyDescent="0.2"/>
    <row r="105" s="4" customFormat="1" ht="15" customHeight="1" x14ac:dyDescent="0.2"/>
    <row r="106" s="4" customFormat="1" ht="15" customHeight="1" x14ac:dyDescent="0.2"/>
    <row r="107" s="4" customFormat="1" ht="15" customHeight="1" x14ac:dyDescent="0.2"/>
    <row r="108" s="4" customFormat="1" ht="15" customHeight="1" x14ac:dyDescent="0.2"/>
    <row r="109" s="4" customFormat="1" ht="15" customHeight="1" x14ac:dyDescent="0.2"/>
    <row r="110" s="4" customFormat="1" ht="15" customHeight="1" x14ac:dyDescent="0.2"/>
    <row r="111" s="4" customFormat="1" ht="15" customHeight="1" x14ac:dyDescent="0.2"/>
    <row r="112" s="4" customFormat="1" ht="15" customHeight="1" x14ac:dyDescent="0.2"/>
    <row r="113" s="4" customFormat="1" ht="15" customHeight="1" x14ac:dyDescent="0.2"/>
    <row r="114" s="4" customFormat="1" ht="15" customHeight="1" x14ac:dyDescent="0.2"/>
    <row r="115" s="4" customFormat="1" ht="15" customHeight="1" x14ac:dyDescent="0.2"/>
    <row r="116" s="4" customFormat="1" ht="15" customHeight="1" x14ac:dyDescent="0.2"/>
    <row r="117" s="4" customFormat="1" ht="15" customHeight="1" x14ac:dyDescent="0.2"/>
    <row r="118" s="4" customFormat="1" ht="15" customHeight="1" x14ac:dyDescent="0.2"/>
    <row r="119" s="4" customFormat="1" ht="15" customHeight="1" x14ac:dyDescent="0.2"/>
    <row r="120" s="4" customFormat="1" ht="15" customHeight="1" x14ac:dyDescent="0.2"/>
    <row r="121" s="4" customFormat="1" ht="15" customHeight="1" x14ac:dyDescent="0.2"/>
    <row r="122" s="4" customFormat="1" ht="15" customHeight="1" x14ac:dyDescent="0.2"/>
    <row r="123" s="4" customFormat="1" ht="15" customHeight="1" x14ac:dyDescent="0.2"/>
    <row r="124" s="4" customFormat="1" ht="15" customHeight="1" x14ac:dyDescent="0.2"/>
    <row r="125" s="4" customFormat="1" ht="15" customHeight="1" x14ac:dyDescent="0.2"/>
    <row r="126" s="4" customFormat="1" ht="15" customHeight="1" x14ac:dyDescent="0.2"/>
    <row r="127" s="4" customFormat="1" ht="15" customHeight="1" x14ac:dyDescent="0.2"/>
    <row r="128" s="4" customFormat="1" ht="15" customHeight="1" x14ac:dyDescent="0.2"/>
    <row r="129" s="4" customFormat="1" ht="15" customHeight="1" x14ac:dyDescent="0.2"/>
    <row r="130" s="4" customFormat="1" ht="15" customHeight="1" x14ac:dyDescent="0.2"/>
    <row r="131" s="4" customFormat="1" ht="15" customHeight="1" x14ac:dyDescent="0.2"/>
    <row r="132" s="4" customFormat="1" ht="15" customHeight="1" x14ac:dyDescent="0.2"/>
    <row r="133" s="4" customFormat="1" ht="15" customHeight="1" x14ac:dyDescent="0.2"/>
    <row r="134" s="4" customFormat="1" ht="15" customHeight="1" x14ac:dyDescent="0.2"/>
    <row r="135" s="4" customFormat="1" ht="15" customHeight="1" x14ac:dyDescent="0.2"/>
    <row r="136" s="4" customFormat="1" ht="15" customHeight="1" x14ac:dyDescent="0.2"/>
    <row r="137" s="4" customFormat="1" ht="15" customHeight="1" x14ac:dyDescent="0.2"/>
    <row r="138" s="4" customFormat="1" ht="15" customHeight="1" x14ac:dyDescent="0.2"/>
    <row r="139" s="4" customFormat="1" ht="15" customHeight="1" x14ac:dyDescent="0.2"/>
    <row r="140" s="4" customFormat="1" ht="15" customHeight="1" x14ac:dyDescent="0.2"/>
    <row r="141" s="4" customFormat="1" ht="15" customHeight="1" x14ac:dyDescent="0.2"/>
    <row r="142" s="4" customFormat="1" ht="15" customHeight="1" x14ac:dyDescent="0.2"/>
    <row r="143" s="4" customFormat="1" ht="15" customHeight="1" x14ac:dyDescent="0.2"/>
    <row r="144" s="4" customFormat="1" ht="15" customHeight="1" x14ac:dyDescent="0.2"/>
    <row r="145" s="4" customFormat="1" ht="15" customHeight="1" x14ac:dyDescent="0.2"/>
    <row r="146" s="4" customFormat="1" ht="15" customHeight="1" x14ac:dyDescent="0.2"/>
    <row r="147" s="4" customFormat="1" ht="15" customHeight="1" x14ac:dyDescent="0.2"/>
    <row r="148" s="4" customFormat="1" ht="15" customHeight="1" x14ac:dyDescent="0.2"/>
    <row r="149" s="4" customFormat="1" ht="15" customHeight="1" x14ac:dyDescent="0.2"/>
    <row r="150" s="4" customFormat="1" ht="15" customHeight="1" x14ac:dyDescent="0.2"/>
    <row r="151" s="4" customFormat="1" ht="15" customHeight="1" x14ac:dyDescent="0.2"/>
    <row r="152" s="4" customFormat="1" ht="15" customHeight="1" x14ac:dyDescent="0.2"/>
    <row r="153" s="4" customFormat="1" ht="15" customHeight="1" x14ac:dyDescent="0.2"/>
    <row r="154" s="4" customFormat="1" ht="15" customHeight="1" x14ac:dyDescent="0.2"/>
    <row r="155" s="4" customFormat="1" ht="15" customHeight="1" x14ac:dyDescent="0.2"/>
    <row r="156" s="4" customFormat="1" ht="15" customHeight="1" x14ac:dyDescent="0.2"/>
    <row r="157" s="4" customFormat="1" ht="15" customHeight="1" x14ac:dyDescent="0.2"/>
    <row r="158" s="4" customFormat="1" ht="15" customHeight="1" x14ac:dyDescent="0.2"/>
    <row r="159" s="4" customFormat="1" ht="15" customHeight="1" x14ac:dyDescent="0.2"/>
    <row r="160" s="4" customFormat="1" ht="15" customHeight="1" x14ac:dyDescent="0.2"/>
    <row r="161" s="4" customFormat="1" ht="15" customHeight="1" x14ac:dyDescent="0.2"/>
    <row r="162" s="4" customFormat="1" ht="15" customHeight="1" x14ac:dyDescent="0.2"/>
    <row r="163" s="4" customFormat="1" ht="15" customHeight="1" x14ac:dyDescent="0.2"/>
    <row r="164" s="4" customFormat="1" ht="15" customHeight="1" x14ac:dyDescent="0.2"/>
    <row r="165" s="4" customFormat="1" ht="15" customHeight="1" x14ac:dyDescent="0.2"/>
    <row r="166" s="4" customFormat="1" ht="15" customHeight="1" x14ac:dyDescent="0.2"/>
    <row r="167" s="4" customFormat="1" ht="15" customHeight="1" x14ac:dyDescent="0.2"/>
    <row r="168" s="4" customFormat="1" ht="15" customHeight="1" x14ac:dyDescent="0.2"/>
    <row r="169" s="4" customFormat="1" ht="15" customHeight="1" x14ac:dyDescent="0.2"/>
    <row r="170" s="4" customFormat="1" ht="15" customHeight="1" x14ac:dyDescent="0.2"/>
    <row r="171" s="4" customFormat="1" ht="15" customHeight="1" x14ac:dyDescent="0.2"/>
    <row r="172" s="4" customFormat="1" ht="15" customHeight="1" x14ac:dyDescent="0.2"/>
    <row r="173" s="4" customFormat="1" ht="15" customHeight="1" x14ac:dyDescent="0.2"/>
    <row r="174" s="4" customFormat="1" ht="15" customHeight="1" x14ac:dyDescent="0.2"/>
    <row r="175" s="4" customFormat="1" ht="15" customHeight="1" x14ac:dyDescent="0.2"/>
    <row r="176" s="4" customFormat="1" ht="15" customHeight="1" x14ac:dyDescent="0.2"/>
    <row r="177" s="4" customFormat="1" ht="15" customHeight="1" x14ac:dyDescent="0.2"/>
    <row r="178" s="4" customFormat="1" ht="15" customHeight="1" x14ac:dyDescent="0.2"/>
    <row r="179" s="4" customFormat="1" ht="15" customHeight="1" x14ac:dyDescent="0.2"/>
    <row r="180" s="4" customFormat="1" ht="15" customHeight="1" x14ac:dyDescent="0.2"/>
    <row r="181" s="4" customFormat="1" ht="15" customHeight="1" x14ac:dyDescent="0.2"/>
    <row r="182" s="4" customFormat="1" ht="15" customHeight="1" x14ac:dyDescent="0.2"/>
    <row r="183" s="4" customFormat="1" ht="15" customHeight="1" x14ac:dyDescent="0.2"/>
    <row r="184" s="4" customFormat="1" ht="15" customHeight="1" x14ac:dyDescent="0.2"/>
    <row r="185" s="4" customFormat="1" ht="15" customHeight="1" x14ac:dyDescent="0.2"/>
    <row r="186" s="4" customFormat="1" ht="15" customHeight="1" x14ac:dyDescent="0.2"/>
    <row r="187" s="4" customFormat="1" ht="15" customHeight="1" x14ac:dyDescent="0.2"/>
    <row r="188" s="4" customFormat="1" ht="15" customHeight="1" x14ac:dyDescent="0.2"/>
    <row r="189" s="4" customFormat="1" ht="15" customHeight="1" x14ac:dyDescent="0.2"/>
    <row r="190" s="4" customFormat="1" ht="15" customHeight="1" x14ac:dyDescent="0.2"/>
    <row r="191" s="4" customFormat="1" ht="15" customHeight="1" x14ac:dyDescent="0.2"/>
    <row r="192" s="4" customFormat="1" ht="15" customHeight="1" x14ac:dyDescent="0.2"/>
    <row r="193" s="4" customFormat="1" ht="15" customHeight="1" x14ac:dyDescent="0.2"/>
    <row r="194" s="4" customFormat="1" ht="15" customHeight="1" x14ac:dyDescent="0.2"/>
    <row r="195" s="4" customFormat="1" ht="15" customHeight="1" x14ac:dyDescent="0.2"/>
    <row r="196" s="4" customFormat="1" ht="15" customHeight="1" x14ac:dyDescent="0.2"/>
    <row r="197" s="4" customFormat="1" ht="15" customHeight="1" x14ac:dyDescent="0.2"/>
    <row r="198" s="4" customFormat="1" ht="15" customHeight="1" x14ac:dyDescent="0.2"/>
    <row r="199" s="4" customFormat="1" ht="15" customHeight="1" x14ac:dyDescent="0.2"/>
    <row r="200" s="4" customFormat="1" ht="15" customHeight="1" x14ac:dyDescent="0.2"/>
    <row r="201" s="4" customFormat="1" ht="15" customHeight="1" x14ac:dyDescent="0.2"/>
    <row r="202" s="4" customFormat="1" ht="15" customHeight="1" x14ac:dyDescent="0.2"/>
    <row r="203" s="4" customFormat="1" ht="15" customHeight="1" x14ac:dyDescent="0.2"/>
    <row r="204" s="4" customFormat="1" ht="15" customHeight="1" x14ac:dyDescent="0.2"/>
    <row r="205" s="4" customFormat="1" ht="15" customHeight="1" x14ac:dyDescent="0.2"/>
    <row r="206" s="4" customFormat="1" ht="15" customHeight="1" x14ac:dyDescent="0.2"/>
    <row r="207" s="4" customFormat="1" ht="15" customHeight="1" x14ac:dyDescent="0.2"/>
    <row r="208" s="4" customFormat="1" ht="15" customHeight="1" x14ac:dyDescent="0.2"/>
    <row r="209" s="4" customFormat="1" ht="15" customHeight="1" x14ac:dyDescent="0.2"/>
    <row r="210" s="4" customFormat="1" ht="15" customHeight="1" x14ac:dyDescent="0.2"/>
    <row r="211" s="4" customFormat="1" ht="15" customHeight="1" x14ac:dyDescent="0.2"/>
    <row r="212" s="4" customFormat="1" ht="15" customHeight="1" x14ac:dyDescent="0.2"/>
    <row r="213" s="4" customFormat="1" ht="15" customHeight="1" x14ac:dyDescent="0.2"/>
    <row r="214" s="4" customFormat="1" ht="15" customHeight="1" x14ac:dyDescent="0.2"/>
    <row r="215" s="4" customFormat="1" ht="15" customHeight="1" x14ac:dyDescent="0.2"/>
    <row r="216" s="4" customFormat="1" ht="15" customHeight="1" x14ac:dyDescent="0.2"/>
    <row r="217" s="4" customFormat="1" ht="15" customHeight="1" x14ac:dyDescent="0.2"/>
    <row r="218" s="4" customFormat="1" ht="15" customHeight="1" x14ac:dyDescent="0.2"/>
    <row r="219" s="4" customFormat="1" ht="15" customHeight="1" x14ac:dyDescent="0.2"/>
    <row r="220" s="4" customFormat="1" ht="15" customHeight="1" x14ac:dyDescent="0.2"/>
    <row r="221" s="4" customFormat="1" ht="15" customHeight="1" x14ac:dyDescent="0.2"/>
    <row r="222" s="4" customFormat="1" ht="15" customHeight="1" x14ac:dyDescent="0.2"/>
  </sheetData>
  <phoneticPr fontId="6" type="noConversion"/>
  <conditionalFormatting sqref="I15:AB16 I29:AB29 I21:T21 I7:T13 M36:O36 S36:T39 I37:R37 I39 I38:L38 K6:T6 W6:W13 I22 K22:T22 I23:T28 P39:R40 M39:O39 Y6:Y13">
    <cfRule type="expression" dxfId="20" priority="1">
      <formula>I6="W8"</formula>
    </cfRule>
    <cfRule type="expression" dxfId="19" priority="2">
      <formula>I6="W7"</formula>
    </cfRule>
    <cfRule type="expression" dxfId="18" priority="3">
      <formula>I6="W6"</formula>
    </cfRule>
    <cfRule type="expression" dxfId="17" priority="4">
      <formula>I6="W5"</formula>
    </cfRule>
    <cfRule type="expression" dxfId="16" priority="122">
      <formula>I6="W4"</formula>
    </cfRule>
    <cfRule type="expression" dxfId="15" priority="123">
      <formula>I6="W3"</formula>
    </cfRule>
    <cfRule type="expression" dxfId="14" priority="124">
      <formula>I6="W2"</formula>
    </cfRule>
  </conditionalFormatting>
  <conditionalFormatting sqref="Z6:Z13">
    <cfRule type="expression" dxfId="13" priority="22">
      <formula>Z6="W4"</formula>
    </cfRule>
    <cfRule type="expression" dxfId="12" priority="23">
      <formula>Z6="W3"</formula>
    </cfRule>
    <cfRule type="expression" dxfId="11" priority="24">
      <formula>Z6="W2"</formula>
    </cfRule>
    <cfRule type="expression" dxfId="10" priority="25">
      <formula>Z6="W1"</formula>
    </cfRule>
  </conditionalFormatting>
  <conditionalFormatting sqref="I30:AB30 I43:AB43 I35:T35 I36 I41:T42 I40:O40 S40:T40">
    <cfRule type="expression" dxfId="9" priority="18">
      <formula>I30="W4"</formula>
    </cfRule>
    <cfRule type="expression" dxfId="8" priority="19">
      <formula>I30="W3"</formula>
    </cfRule>
    <cfRule type="expression" dxfId="7" priority="20">
      <formula>I30="W2"</formula>
    </cfRule>
    <cfRule type="expression" dxfId="6" priority="21">
      <formula>I30="W1"</formula>
    </cfRule>
  </conditionalFormatting>
  <conditionalFormatting sqref="P36:R36">
    <cfRule type="expression" dxfId="5" priority="14">
      <formula>P36="W4"</formula>
    </cfRule>
    <cfRule type="expression" dxfId="4" priority="15">
      <formula>P36="W3"</formula>
    </cfRule>
    <cfRule type="expression" dxfId="3" priority="16">
      <formula>P36="W2"</formula>
    </cfRule>
    <cfRule type="expression" dxfId="2" priority="17">
      <formula>P36="W1"</formula>
    </cfRule>
  </conditionalFormatting>
  <conditionalFormatting sqref="D11">
    <cfRule type="notContainsText" dxfId="1" priority="9" operator="notContains" text="OK">
      <formula>ISERROR(SEARCH("OK",D11))</formula>
    </cfRule>
  </conditionalFormatting>
  <conditionalFormatting sqref="I7:T13 I21:T21 I22 K22:T22 I23:T28 J6:T6">
    <cfRule type="expression" dxfId="0" priority="126">
      <formula>I6="W1"</formula>
    </cfRule>
  </conditionalFormatting>
  <dataValidations count="1">
    <dataValidation type="list" allowBlank="1" showInputMessage="1" showErrorMessage="1" sqref="K21:T28 I21:I28 J21 J23:J28 I7:I13 J6:T13" xr:uid="{00000000-0002-0000-0000-000000000000}">
      <formula1>"W1,W2,W3,W4,W5,W6,W7,W8"</formula1>
    </dataValidation>
  </dataValidations>
  <pageMargins left="0.75" right="0.75" top="1" bottom="1" header="0.5" footer="0.5"/>
  <pageSetup paperSize="9" scale="31" orientation="portrait" horizontalDpi="4294967292" verticalDpi="4294967292" r:id="rId1"/>
  <colBreaks count="2" manualBreakCount="2">
    <brk id="52" max="1048575" man="1"/>
    <brk id="88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refresh_workbook_one">
                <anchor moveWithCells="1">
                  <from>
                    <xdr:col>21</xdr:col>
                    <xdr:colOff>139700</xdr:colOff>
                    <xdr:row>34</xdr:row>
                    <xdr:rowOff>12700</xdr:rowOff>
                  </from>
                  <to>
                    <xdr:col>24</xdr:col>
                    <xdr:colOff>749300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refresh_workbook_all">
                <anchor moveWithCells="1">
                  <from>
                    <xdr:col>21</xdr:col>
                    <xdr:colOff>139700</xdr:colOff>
                    <xdr:row>37</xdr:row>
                    <xdr:rowOff>12700</xdr:rowOff>
                  </from>
                  <to>
                    <xdr:col>24</xdr:col>
                    <xdr:colOff>749300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6" name="Button 9">
              <controlPr defaultSize="0" print="0" autoFill="0" autoPict="0" macro="[0]!calc" altText="calc.">
                <anchor moveWithCells="1">
                  <from>
                    <xdr:col>20</xdr:col>
                    <xdr:colOff>63500</xdr:colOff>
                    <xdr:row>3</xdr:row>
                    <xdr:rowOff>114300</xdr:rowOff>
                  </from>
                  <to>
                    <xdr:col>22</xdr:col>
                    <xdr:colOff>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BM139"/>
  <sheetViews>
    <sheetView topLeftCell="A99" zoomScale="85" zoomScaleNormal="85" workbookViewId="0">
      <selection activeCell="O144" sqref="O144"/>
    </sheetView>
  </sheetViews>
  <sheetFormatPr baseColWidth="10" defaultRowHeight="15" x14ac:dyDescent="0.2"/>
  <cols>
    <col min="5" max="5" width="11.1640625" customWidth="1"/>
  </cols>
  <sheetData>
    <row r="1" spans="1:33" x14ac:dyDescent="0.2">
      <c r="A1" s="130" t="s">
        <v>0</v>
      </c>
      <c r="B1" s="130"/>
      <c r="C1" s="130"/>
      <c r="D1" s="130"/>
      <c r="E1" s="130" t="s">
        <v>1</v>
      </c>
      <c r="F1" s="130"/>
      <c r="G1" s="130"/>
      <c r="H1" s="130"/>
      <c r="I1" s="130"/>
      <c r="J1" s="130"/>
      <c r="K1" s="130"/>
      <c r="L1" s="130"/>
      <c r="M1" s="130"/>
      <c r="N1" s="130"/>
      <c r="O1" s="130"/>
      <c r="P1" s="130"/>
      <c r="Q1" s="130"/>
      <c r="R1" s="130"/>
      <c r="S1" s="130"/>
      <c r="T1" s="130"/>
      <c r="U1" s="130"/>
      <c r="V1" s="130"/>
      <c r="W1" s="130"/>
      <c r="X1" s="130"/>
      <c r="Y1" s="130"/>
      <c r="Z1" s="130"/>
      <c r="AA1" s="130"/>
      <c r="AB1" s="130"/>
      <c r="AC1" s="130"/>
      <c r="AD1" s="130"/>
      <c r="AE1" s="130"/>
      <c r="AF1" s="130"/>
      <c r="AG1" s="130"/>
    </row>
    <row r="2" spans="1:33" x14ac:dyDescent="0.2">
      <c r="A2" s="130" t="s">
        <v>2</v>
      </c>
      <c r="B2" s="130"/>
      <c r="C2" s="130"/>
      <c r="D2" s="130"/>
      <c r="E2" s="130" t="s">
        <v>3</v>
      </c>
      <c r="F2" s="130"/>
      <c r="G2" s="130"/>
      <c r="H2" s="130"/>
      <c r="I2" s="130" t="s">
        <v>4</v>
      </c>
      <c r="J2" s="130"/>
      <c r="K2" s="130"/>
      <c r="L2" s="130"/>
      <c r="M2" s="130"/>
      <c r="N2" s="130"/>
      <c r="O2" s="130"/>
      <c r="P2" s="130"/>
      <c r="Q2" s="130"/>
      <c r="R2" s="130"/>
      <c r="S2" s="130"/>
      <c r="T2" s="130"/>
      <c r="U2" s="130"/>
      <c r="V2" s="130"/>
      <c r="W2" s="130"/>
      <c r="X2" s="130"/>
      <c r="Y2" s="130"/>
      <c r="Z2" s="130"/>
      <c r="AA2" s="130"/>
      <c r="AB2" s="130"/>
      <c r="AC2" s="130"/>
      <c r="AD2" s="130"/>
      <c r="AE2" s="130"/>
      <c r="AF2" s="130"/>
      <c r="AG2" s="130"/>
    </row>
    <row r="3" spans="1:33" x14ac:dyDescent="0.2">
      <c r="A3" s="130" t="s">
        <v>5</v>
      </c>
      <c r="B3" s="130"/>
      <c r="C3" s="130"/>
      <c r="D3" s="130"/>
      <c r="E3" s="130" t="s">
        <v>6</v>
      </c>
      <c r="F3" s="130"/>
      <c r="G3" s="130"/>
      <c r="H3" s="130"/>
      <c r="I3" s="130"/>
      <c r="J3" s="130"/>
      <c r="K3" s="130"/>
      <c r="L3" s="130"/>
      <c r="M3" s="130"/>
      <c r="N3" s="130"/>
      <c r="O3" s="130"/>
      <c r="P3" s="130"/>
      <c r="Q3" s="130"/>
      <c r="R3" s="130"/>
      <c r="S3" s="130"/>
      <c r="T3" s="130"/>
      <c r="U3" s="130"/>
      <c r="V3" s="130"/>
      <c r="W3" s="130"/>
      <c r="X3" s="130"/>
      <c r="Y3" s="130"/>
      <c r="Z3" s="130"/>
      <c r="AA3" s="130"/>
      <c r="AB3" s="130"/>
      <c r="AC3" s="130"/>
      <c r="AD3" s="130"/>
      <c r="AE3" s="130"/>
      <c r="AF3" s="130"/>
      <c r="AG3" s="130"/>
    </row>
    <row r="4" spans="1:33" x14ac:dyDescent="0.2">
      <c r="A4" s="130"/>
      <c r="B4" s="130"/>
      <c r="C4" s="130"/>
      <c r="D4" s="130"/>
      <c r="E4" s="130"/>
      <c r="F4" s="130"/>
      <c r="G4" s="130"/>
      <c r="H4" s="130"/>
      <c r="I4" s="130"/>
      <c r="J4" s="130"/>
      <c r="K4" s="130"/>
      <c r="L4" s="130"/>
      <c r="M4" s="130"/>
      <c r="N4" s="130"/>
      <c r="O4" s="130"/>
      <c r="P4" s="130"/>
      <c r="Q4" s="130"/>
      <c r="R4" s="130"/>
      <c r="S4" s="130"/>
      <c r="T4" s="130"/>
      <c r="U4" s="130"/>
      <c r="V4" s="130"/>
      <c r="W4" s="130"/>
      <c r="X4" s="130"/>
      <c r="Y4" s="130"/>
      <c r="Z4" s="130"/>
      <c r="AA4" s="130"/>
      <c r="AB4" s="130"/>
      <c r="AC4" s="130"/>
      <c r="AD4" s="130"/>
      <c r="AE4" s="130"/>
      <c r="AF4" s="130"/>
      <c r="AG4" s="130"/>
    </row>
    <row r="5" spans="1:33" x14ac:dyDescent="0.2">
      <c r="A5" s="130" t="s">
        <v>7</v>
      </c>
      <c r="B5" s="131">
        <v>43438</v>
      </c>
      <c r="C5" s="130"/>
      <c r="D5" s="130"/>
      <c r="E5" s="130"/>
      <c r="F5" s="130"/>
      <c r="G5" s="130"/>
      <c r="H5" s="130"/>
      <c r="I5" s="130"/>
      <c r="J5" s="130"/>
      <c r="K5" s="130"/>
      <c r="L5" s="130"/>
      <c r="M5" s="130"/>
      <c r="N5" s="130"/>
      <c r="O5" s="130"/>
      <c r="P5" s="130"/>
      <c r="Q5" s="130"/>
      <c r="R5" s="130"/>
      <c r="S5" s="130"/>
      <c r="T5" s="130"/>
      <c r="U5" s="130"/>
      <c r="V5" s="130"/>
      <c r="W5" s="130"/>
      <c r="X5" s="130"/>
      <c r="Y5" s="130"/>
      <c r="Z5" s="130"/>
      <c r="AA5" s="130"/>
      <c r="AB5" s="130"/>
      <c r="AC5" s="130"/>
      <c r="AD5" s="130"/>
      <c r="AE5" s="130"/>
      <c r="AF5" s="130"/>
      <c r="AG5" s="130"/>
    </row>
    <row r="6" spans="1:33" x14ac:dyDescent="0.2">
      <c r="A6" s="130" t="s">
        <v>8</v>
      </c>
      <c r="B6" s="132">
        <v>0.38624999999999998</v>
      </c>
      <c r="C6" s="130"/>
      <c r="D6" s="130"/>
      <c r="E6" s="130"/>
      <c r="F6" s="130"/>
      <c r="G6" s="130"/>
      <c r="H6" s="130"/>
      <c r="I6" s="130"/>
      <c r="J6" s="130"/>
      <c r="K6" s="130"/>
      <c r="L6" s="130"/>
      <c r="M6" s="130"/>
      <c r="N6" s="130"/>
      <c r="O6" s="130"/>
      <c r="P6" s="130"/>
      <c r="Q6" s="130"/>
      <c r="R6" s="130"/>
      <c r="S6" s="130"/>
      <c r="T6" s="130"/>
      <c r="U6" s="130"/>
      <c r="V6" s="130"/>
      <c r="W6" s="130"/>
      <c r="X6" s="130"/>
      <c r="Y6" s="130"/>
      <c r="Z6" s="130"/>
      <c r="AA6" s="130"/>
      <c r="AB6" s="130"/>
      <c r="AC6" s="130"/>
      <c r="AD6" s="130"/>
      <c r="AE6" s="130"/>
      <c r="AF6" s="130"/>
      <c r="AG6" s="130"/>
    </row>
    <row r="7" spans="1:33" x14ac:dyDescent="0.2">
      <c r="A7" s="130"/>
      <c r="B7" s="130"/>
      <c r="C7" s="130"/>
      <c r="D7" s="130"/>
      <c r="E7" s="130"/>
      <c r="F7" s="130"/>
      <c r="G7" s="130"/>
      <c r="H7" s="130"/>
      <c r="I7" s="130"/>
      <c r="J7" s="130"/>
      <c r="K7" s="130"/>
      <c r="L7" s="130"/>
      <c r="M7" s="130"/>
      <c r="N7" s="130"/>
      <c r="O7" s="130"/>
      <c r="P7" s="130"/>
      <c r="Q7" s="130"/>
      <c r="R7" s="130"/>
      <c r="S7" s="130"/>
      <c r="T7" s="130"/>
      <c r="U7" s="130"/>
      <c r="V7" s="130"/>
      <c r="W7" s="130"/>
      <c r="X7" s="130"/>
      <c r="Y7" s="130"/>
      <c r="Z7" s="130"/>
      <c r="AA7" s="130"/>
      <c r="AB7" s="130"/>
      <c r="AC7" s="130"/>
      <c r="AD7" s="130"/>
      <c r="AE7" s="130"/>
      <c r="AF7" s="130"/>
      <c r="AG7" s="130"/>
    </row>
    <row r="8" spans="1:33" x14ac:dyDescent="0.2">
      <c r="A8" s="130"/>
      <c r="B8" s="130"/>
      <c r="C8" s="130"/>
      <c r="D8" s="130"/>
      <c r="E8" s="130"/>
      <c r="F8" s="130"/>
      <c r="G8" s="130"/>
      <c r="H8" s="130"/>
      <c r="I8" s="130"/>
      <c r="J8" s="130"/>
      <c r="K8" s="130"/>
      <c r="L8" s="130"/>
      <c r="M8" s="130"/>
      <c r="N8" s="130"/>
      <c r="O8" s="130"/>
      <c r="P8" s="130"/>
      <c r="Q8" s="130"/>
      <c r="R8" s="130"/>
      <c r="S8" s="130"/>
      <c r="T8" s="130"/>
      <c r="U8" s="130"/>
      <c r="V8" s="130"/>
      <c r="W8" s="130"/>
      <c r="X8" s="130"/>
      <c r="Y8" s="130"/>
      <c r="Z8" s="130"/>
      <c r="AA8" s="130"/>
      <c r="AB8" s="130"/>
      <c r="AC8" s="130"/>
      <c r="AD8" s="130"/>
      <c r="AE8" s="130"/>
      <c r="AF8" s="130"/>
      <c r="AG8" s="130"/>
    </row>
    <row r="9" spans="1:33" x14ac:dyDescent="0.2">
      <c r="A9" s="130" t="s">
        <v>9</v>
      </c>
      <c r="B9" s="130"/>
      <c r="C9" s="130"/>
      <c r="D9" s="130"/>
      <c r="E9" s="130" t="s">
        <v>10</v>
      </c>
      <c r="F9" s="130"/>
      <c r="G9" s="130"/>
      <c r="H9" s="130"/>
      <c r="I9" s="130"/>
      <c r="J9" s="130"/>
      <c r="K9" s="130"/>
      <c r="L9" s="130"/>
      <c r="M9" s="130"/>
      <c r="N9" s="130"/>
      <c r="O9" s="130"/>
      <c r="P9" s="130"/>
      <c r="Q9" s="130"/>
      <c r="R9" s="130"/>
      <c r="S9" s="130"/>
      <c r="T9" s="130"/>
      <c r="U9" s="130"/>
      <c r="V9" s="130"/>
      <c r="W9" s="130"/>
      <c r="X9" s="130"/>
      <c r="Y9" s="130"/>
      <c r="Z9" s="130"/>
      <c r="AA9" s="130"/>
      <c r="AB9" s="130"/>
      <c r="AC9" s="130"/>
      <c r="AD9" s="130"/>
      <c r="AE9" s="130"/>
      <c r="AF9" s="130"/>
      <c r="AG9" s="130"/>
    </row>
    <row r="10" spans="1:33" x14ac:dyDescent="0.2">
      <c r="A10" s="130" t="s">
        <v>11</v>
      </c>
      <c r="B10" s="130"/>
      <c r="C10" s="130"/>
      <c r="D10" s="130"/>
      <c r="E10" s="130" t="s">
        <v>12</v>
      </c>
      <c r="F10" s="130"/>
      <c r="G10" s="130"/>
      <c r="H10" s="130"/>
      <c r="I10" s="130"/>
      <c r="J10" s="130"/>
      <c r="K10" s="130"/>
      <c r="L10" s="130"/>
      <c r="M10" s="130"/>
      <c r="N10" s="130"/>
      <c r="O10" s="130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</row>
    <row r="11" spans="1:33" x14ac:dyDescent="0.2">
      <c r="A11" s="130" t="s">
        <v>13</v>
      </c>
      <c r="B11" s="130"/>
      <c r="C11" s="130"/>
      <c r="D11" s="130"/>
      <c r="E11" s="130" t="s">
        <v>14</v>
      </c>
      <c r="F11" s="130"/>
      <c r="G11" s="130"/>
      <c r="H11" s="130"/>
      <c r="I11" s="130"/>
      <c r="J11" s="130"/>
      <c r="K11" s="130"/>
      <c r="L11" s="130"/>
      <c r="M11" s="130"/>
      <c r="N11" s="130"/>
      <c r="O11" s="130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</row>
    <row r="12" spans="1:33" x14ac:dyDescent="0.2">
      <c r="A12" s="130" t="s">
        <v>15</v>
      </c>
      <c r="B12" s="130"/>
      <c r="C12" s="130"/>
      <c r="D12" s="130"/>
      <c r="E12" s="130"/>
      <c r="F12" s="130"/>
      <c r="G12" s="130"/>
      <c r="H12" s="130"/>
      <c r="I12" s="130"/>
      <c r="J12" s="130"/>
      <c r="K12" s="130"/>
      <c r="L12" s="130"/>
      <c r="M12" s="130"/>
      <c r="N12" s="130"/>
      <c r="O12" s="130"/>
      <c r="P12" s="130"/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30"/>
      <c r="AC12" s="130"/>
      <c r="AD12" s="130"/>
      <c r="AE12" s="130"/>
      <c r="AF12" s="130"/>
      <c r="AG12" s="130"/>
    </row>
    <row r="13" spans="1:33" x14ac:dyDescent="0.2">
      <c r="A13" s="130"/>
      <c r="B13" s="130"/>
      <c r="C13" s="130"/>
      <c r="D13" s="130"/>
      <c r="E13" s="130"/>
      <c r="F13" s="130"/>
      <c r="G13" s="130"/>
      <c r="H13" s="130"/>
      <c r="I13" s="130"/>
      <c r="J13" s="130"/>
      <c r="K13" s="130"/>
      <c r="L13" s="130"/>
      <c r="M13" s="130"/>
      <c r="N13" s="130"/>
      <c r="O13" s="130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</row>
    <row r="14" spans="1:33" x14ac:dyDescent="0.2">
      <c r="A14" s="133" t="s">
        <v>16</v>
      </c>
      <c r="B14" s="133"/>
      <c r="C14" s="133"/>
      <c r="D14" s="133"/>
      <c r="E14" s="133" t="s">
        <v>17</v>
      </c>
      <c r="F14" s="133" t="s">
        <v>18</v>
      </c>
      <c r="G14" s="133"/>
      <c r="H14" s="133"/>
      <c r="I14" s="133"/>
      <c r="J14" s="133"/>
      <c r="K14" s="133"/>
      <c r="L14" s="133"/>
      <c r="M14" s="130"/>
      <c r="N14" s="130"/>
      <c r="O14" s="130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</row>
    <row r="15" spans="1:33" x14ac:dyDescent="0.2">
      <c r="A15" s="130"/>
      <c r="B15" s="130"/>
      <c r="C15" s="130"/>
      <c r="D15" s="130"/>
      <c r="E15" s="130"/>
      <c r="F15" s="130"/>
      <c r="G15" s="130"/>
      <c r="H15" s="130"/>
      <c r="I15" s="130"/>
      <c r="J15" s="130"/>
      <c r="K15" s="130"/>
      <c r="L15" s="130"/>
      <c r="M15" s="130"/>
      <c r="N15" s="130"/>
      <c r="O15" s="130"/>
      <c r="P15" s="130"/>
      <c r="Q15" s="130"/>
      <c r="R15" s="130"/>
      <c r="S15" s="130"/>
      <c r="T15" s="130"/>
      <c r="U15" s="130"/>
      <c r="V15" s="130"/>
      <c r="W15" s="130"/>
      <c r="X15" s="130"/>
      <c r="Y15" s="130"/>
      <c r="Z15" s="130"/>
      <c r="AA15" s="130"/>
      <c r="AB15" s="130"/>
      <c r="AC15" s="130"/>
      <c r="AD15" s="130"/>
      <c r="AE15" s="130"/>
      <c r="AF15" s="130"/>
      <c r="AG15" s="130"/>
    </row>
    <row r="16" spans="1:33" x14ac:dyDescent="0.2">
      <c r="A16" s="133" t="s">
        <v>19</v>
      </c>
      <c r="B16" s="133"/>
      <c r="C16" s="133"/>
      <c r="D16" s="133"/>
      <c r="E16" s="133" t="s">
        <v>20</v>
      </c>
      <c r="F16" s="133"/>
      <c r="G16" s="133"/>
      <c r="H16" s="133"/>
      <c r="I16" s="133"/>
      <c r="J16" s="133"/>
      <c r="K16" s="133"/>
      <c r="L16" s="133"/>
      <c r="M16" s="130"/>
      <c r="N16" s="130"/>
      <c r="O16" s="130"/>
      <c r="P16" s="130"/>
      <c r="Q16" s="130"/>
      <c r="R16" s="130"/>
      <c r="S16" s="130"/>
      <c r="T16" s="130"/>
      <c r="U16" s="130"/>
      <c r="V16" s="130"/>
      <c r="W16" s="130"/>
      <c r="X16" s="130"/>
      <c r="Y16" s="130"/>
      <c r="Z16" s="130"/>
      <c r="AA16" s="130"/>
      <c r="AB16" s="130"/>
      <c r="AC16" s="130"/>
      <c r="AD16" s="130"/>
      <c r="AE16" s="130"/>
      <c r="AF16" s="130"/>
      <c r="AG16" s="130"/>
    </row>
    <row r="17" spans="1:33" x14ac:dyDescent="0.2">
      <c r="A17" s="130"/>
      <c r="B17" s="130"/>
      <c r="C17" s="130"/>
      <c r="D17" s="130"/>
      <c r="E17" s="130"/>
      <c r="F17" s="130"/>
      <c r="G17" s="130"/>
      <c r="H17" s="130"/>
      <c r="I17" s="130"/>
      <c r="J17" s="130"/>
      <c r="K17" s="130"/>
      <c r="L17" s="130"/>
      <c r="M17" s="130"/>
      <c r="N17" s="130"/>
      <c r="O17" s="130"/>
      <c r="P17" s="130"/>
      <c r="Q17" s="130"/>
      <c r="R17" s="130"/>
      <c r="S17" s="130"/>
      <c r="T17" s="130"/>
      <c r="U17" s="130"/>
      <c r="V17" s="130"/>
      <c r="W17" s="130"/>
      <c r="X17" s="130"/>
      <c r="Y17" s="130"/>
      <c r="Z17" s="130"/>
      <c r="AA17" s="130"/>
      <c r="AB17" s="130"/>
      <c r="AC17" s="130"/>
      <c r="AD17" s="130"/>
      <c r="AE17" s="130"/>
      <c r="AF17" s="130"/>
      <c r="AG17" s="130"/>
    </row>
    <row r="18" spans="1:33" x14ac:dyDescent="0.2">
      <c r="A18" s="133" t="s">
        <v>21</v>
      </c>
      <c r="B18" s="133"/>
      <c r="C18" s="133"/>
      <c r="D18" s="133"/>
      <c r="E18" s="133"/>
      <c r="F18" s="133"/>
      <c r="G18" s="133"/>
      <c r="H18" s="133"/>
      <c r="I18" s="133"/>
      <c r="J18" s="133"/>
      <c r="K18" s="133"/>
      <c r="L18" s="133"/>
      <c r="M18" s="130"/>
      <c r="N18" s="130"/>
      <c r="O18" s="130"/>
      <c r="P18" s="130"/>
      <c r="Q18" s="130"/>
      <c r="R18" s="130"/>
      <c r="S18" s="130"/>
      <c r="T18" s="130"/>
      <c r="U18" s="130"/>
      <c r="V18" s="130"/>
      <c r="W18" s="130"/>
      <c r="X18" s="130"/>
      <c r="Y18" s="130"/>
      <c r="Z18" s="130"/>
      <c r="AA18" s="130"/>
      <c r="AB18" s="130"/>
      <c r="AC18" s="130"/>
      <c r="AD18" s="130"/>
      <c r="AE18" s="130"/>
      <c r="AF18" s="130"/>
      <c r="AG18" s="130"/>
    </row>
    <row r="19" spans="1:33" x14ac:dyDescent="0.2">
      <c r="A19" s="133" t="s">
        <v>22</v>
      </c>
      <c r="B19" s="133"/>
      <c r="C19" s="133"/>
      <c r="D19" s="133"/>
      <c r="E19" s="133"/>
      <c r="F19" s="133"/>
      <c r="G19" s="133"/>
      <c r="H19" s="133"/>
      <c r="I19" s="133"/>
      <c r="J19" s="133"/>
      <c r="K19" s="133"/>
      <c r="L19" s="133"/>
      <c r="M19" s="130"/>
      <c r="N19" s="130"/>
      <c r="O19" s="130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</row>
    <row r="20" spans="1:33" x14ac:dyDescent="0.2">
      <c r="A20" s="133" t="s">
        <v>23</v>
      </c>
      <c r="B20" s="133"/>
      <c r="C20" s="133"/>
      <c r="D20" s="133"/>
      <c r="E20" s="133">
        <v>20</v>
      </c>
      <c r="F20" s="133" t="s">
        <v>24</v>
      </c>
      <c r="G20" s="133"/>
      <c r="H20" s="133"/>
      <c r="I20" s="133"/>
      <c r="J20" s="133"/>
      <c r="K20" s="133"/>
      <c r="L20" s="133"/>
      <c r="M20" s="130"/>
      <c r="N20" s="130"/>
      <c r="O20" s="130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</row>
    <row r="21" spans="1:33" x14ac:dyDescent="0.2">
      <c r="A21" s="133" t="s">
        <v>25</v>
      </c>
      <c r="B21" s="133"/>
      <c r="C21" s="133"/>
      <c r="D21" s="133"/>
      <c r="E21" s="133">
        <v>3</v>
      </c>
      <c r="F21" s="133" t="s">
        <v>26</v>
      </c>
      <c r="G21" s="133"/>
      <c r="H21" s="133"/>
      <c r="I21" s="133"/>
      <c r="J21" s="133"/>
      <c r="K21" s="133"/>
      <c r="L21" s="133"/>
      <c r="M21" s="130"/>
      <c r="N21" s="130"/>
      <c r="O21" s="130"/>
      <c r="P21" s="130"/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30"/>
      <c r="AC21" s="130"/>
      <c r="AD21" s="130"/>
      <c r="AE21" s="130"/>
      <c r="AF21" s="130"/>
      <c r="AG21" s="130"/>
    </row>
    <row r="22" spans="1:33" x14ac:dyDescent="0.2">
      <c r="A22" s="133" t="s">
        <v>27</v>
      </c>
      <c r="B22" s="133"/>
      <c r="C22" s="133"/>
      <c r="D22" s="133"/>
      <c r="E22" s="133"/>
      <c r="F22" s="133"/>
      <c r="G22" s="133"/>
      <c r="H22" s="133"/>
      <c r="I22" s="133"/>
      <c r="J22" s="133"/>
      <c r="K22" s="133"/>
      <c r="L22" s="133"/>
      <c r="M22" s="130"/>
      <c r="N22" s="130"/>
      <c r="O22" s="130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</row>
    <row r="23" spans="1:33" x14ac:dyDescent="0.2">
      <c r="A23" s="130"/>
      <c r="B23" s="130"/>
      <c r="C23" s="130"/>
      <c r="D23" s="130"/>
      <c r="E23" s="130"/>
      <c r="F23" s="130"/>
      <c r="G23" s="130"/>
      <c r="H23" s="130"/>
      <c r="I23" s="130"/>
      <c r="J23" s="130"/>
      <c r="K23" s="130"/>
      <c r="L23" s="130"/>
      <c r="M23" s="130"/>
      <c r="N23" s="130"/>
      <c r="O23" s="130"/>
      <c r="P23" s="130"/>
      <c r="Q23" s="130"/>
      <c r="R23" s="130"/>
      <c r="S23" s="130"/>
      <c r="T23" s="130"/>
      <c r="U23" s="130"/>
      <c r="V23" s="130"/>
      <c r="W23" s="130"/>
      <c r="X23" s="130"/>
      <c r="Y23" s="130"/>
      <c r="Z23" s="130"/>
      <c r="AA23" s="130"/>
      <c r="AB23" s="130"/>
      <c r="AC23" s="130"/>
      <c r="AD23" s="130"/>
      <c r="AE23" s="130"/>
      <c r="AF23" s="130"/>
      <c r="AG23" s="130"/>
    </row>
    <row r="24" spans="1:33" x14ac:dyDescent="0.2">
      <c r="A24" s="130"/>
      <c r="B24" s="130"/>
      <c r="C24" s="130"/>
      <c r="D24" s="130"/>
      <c r="E24" s="130"/>
      <c r="F24" s="130"/>
      <c r="G24" s="130"/>
      <c r="H24" s="130"/>
      <c r="I24" s="130"/>
      <c r="J24" s="130"/>
      <c r="K24" s="130"/>
      <c r="L24" s="130"/>
      <c r="M24" s="130"/>
      <c r="N24" s="130"/>
      <c r="O24" s="130"/>
      <c r="P24" s="130"/>
      <c r="Q24" s="130"/>
      <c r="R24" s="130"/>
      <c r="S24" s="130"/>
      <c r="T24" s="130"/>
      <c r="U24" s="130"/>
      <c r="V24" s="130"/>
      <c r="W24" s="130"/>
      <c r="X24" s="130"/>
      <c r="Y24" s="130"/>
      <c r="Z24" s="130"/>
      <c r="AA24" s="130"/>
      <c r="AB24" s="130"/>
      <c r="AC24" s="130"/>
      <c r="AD24" s="130"/>
      <c r="AE24" s="130"/>
      <c r="AF24" s="130"/>
      <c r="AG24" s="130"/>
    </row>
    <row r="25" spans="1:33" x14ac:dyDescent="0.2">
      <c r="A25" s="130" t="s">
        <v>28</v>
      </c>
      <c r="B25" s="130"/>
      <c r="C25" s="130"/>
      <c r="D25" s="130"/>
      <c r="E25" s="130"/>
      <c r="F25" s="130"/>
      <c r="G25" s="130"/>
      <c r="H25" s="130"/>
      <c r="I25" s="130"/>
      <c r="J25" s="130"/>
      <c r="K25" s="130"/>
      <c r="L25" s="130"/>
      <c r="M25" s="130"/>
      <c r="N25" s="130"/>
      <c r="O25" s="130"/>
      <c r="P25" s="130"/>
      <c r="Q25" s="130"/>
      <c r="R25" s="130"/>
      <c r="S25" s="130"/>
      <c r="T25" s="130"/>
      <c r="U25" s="130"/>
      <c r="V25" s="130"/>
      <c r="W25" s="130"/>
      <c r="X25" s="130"/>
      <c r="Y25" s="130"/>
      <c r="Z25" s="130"/>
      <c r="AA25" s="130"/>
      <c r="AB25" s="130"/>
      <c r="AC25" s="130"/>
      <c r="AD25" s="130"/>
      <c r="AE25" s="130"/>
      <c r="AF25" s="130"/>
      <c r="AG25" s="130"/>
    </row>
    <row r="26" spans="1:33" x14ac:dyDescent="0.2">
      <c r="A26" s="130" t="s">
        <v>29</v>
      </c>
      <c r="B26" s="130"/>
      <c r="C26" s="130"/>
      <c r="D26" s="130"/>
      <c r="E26" s="130"/>
      <c r="F26" s="130"/>
      <c r="G26" s="130"/>
      <c r="H26" s="130"/>
      <c r="I26" s="130"/>
      <c r="J26" s="130"/>
      <c r="K26" s="130"/>
      <c r="L26" s="130"/>
      <c r="M26" s="130"/>
      <c r="N26" s="130"/>
      <c r="O26" s="130"/>
      <c r="P26" s="130"/>
      <c r="Q26" s="130"/>
      <c r="R26" s="130"/>
      <c r="S26" s="130"/>
      <c r="T26" s="130"/>
      <c r="U26" s="130"/>
      <c r="V26" s="130"/>
      <c r="W26" s="130"/>
      <c r="X26" s="130"/>
      <c r="Y26" s="130"/>
      <c r="Z26" s="130"/>
      <c r="AA26" s="130"/>
      <c r="AB26" s="130"/>
      <c r="AC26" s="130"/>
      <c r="AD26" s="130"/>
      <c r="AE26" s="130"/>
      <c r="AF26" s="130"/>
      <c r="AG26" s="130"/>
    </row>
    <row r="27" spans="1:33" x14ac:dyDescent="0.2">
      <c r="A27" s="130" t="s">
        <v>30</v>
      </c>
      <c r="B27" s="130"/>
      <c r="C27" s="130"/>
      <c r="D27" s="130"/>
      <c r="E27" s="130">
        <v>32</v>
      </c>
      <c r="F27" s="130"/>
      <c r="G27" s="130"/>
      <c r="H27" s="130"/>
      <c r="I27" s="130"/>
      <c r="J27" s="130"/>
      <c r="K27" s="130"/>
      <c r="L27" s="130"/>
      <c r="M27" s="130"/>
      <c r="N27" s="130"/>
      <c r="O27" s="130"/>
      <c r="P27" s="130"/>
      <c r="Q27" s="130"/>
      <c r="R27" s="130"/>
      <c r="S27" s="130"/>
      <c r="T27" s="130"/>
      <c r="U27" s="130"/>
      <c r="V27" s="130"/>
      <c r="W27" s="130"/>
      <c r="X27" s="130"/>
      <c r="Y27" s="130"/>
      <c r="Z27" s="130"/>
      <c r="AA27" s="130"/>
      <c r="AB27" s="130"/>
      <c r="AC27" s="130"/>
      <c r="AD27" s="130"/>
      <c r="AE27" s="130"/>
      <c r="AF27" s="130"/>
      <c r="AG27" s="130"/>
    </row>
    <row r="28" spans="1:33" x14ac:dyDescent="0.2">
      <c r="A28" s="130" t="s">
        <v>31</v>
      </c>
      <c r="B28" s="130"/>
      <c r="C28" s="130"/>
      <c r="D28" s="130"/>
      <c r="E28" s="134">
        <v>1.0416666666666666E-2</v>
      </c>
      <c r="F28" s="130"/>
      <c r="G28" s="130"/>
      <c r="H28" s="130"/>
      <c r="I28" s="130"/>
      <c r="J28" s="130"/>
      <c r="K28" s="130"/>
      <c r="L28" s="130"/>
      <c r="M28" s="130"/>
      <c r="N28" s="130"/>
      <c r="O28" s="130"/>
      <c r="P28" s="130"/>
      <c r="Q28" s="130"/>
      <c r="R28" s="130"/>
      <c r="S28" s="130"/>
      <c r="T28" s="130"/>
      <c r="U28" s="130"/>
      <c r="V28" s="130"/>
      <c r="W28" s="130"/>
      <c r="X28" s="130"/>
      <c r="Y28" s="130"/>
      <c r="Z28" s="130"/>
      <c r="AA28" s="130"/>
      <c r="AB28" s="130"/>
      <c r="AC28" s="130"/>
      <c r="AD28" s="130"/>
      <c r="AE28" s="130"/>
      <c r="AF28" s="130"/>
      <c r="AG28" s="130"/>
    </row>
    <row r="29" spans="1:33" x14ac:dyDescent="0.2">
      <c r="A29" s="130" t="s">
        <v>32</v>
      </c>
      <c r="B29" s="130"/>
      <c r="C29" s="130"/>
      <c r="D29" s="130"/>
      <c r="E29" s="130">
        <v>600</v>
      </c>
      <c r="F29" s="130" t="s">
        <v>33</v>
      </c>
      <c r="G29" s="130"/>
      <c r="H29" s="130"/>
      <c r="I29" s="130"/>
      <c r="J29" s="130"/>
      <c r="K29" s="130"/>
      <c r="L29" s="130"/>
      <c r="M29" s="130"/>
      <c r="N29" s="130"/>
      <c r="O29" s="130"/>
      <c r="P29" s="130"/>
      <c r="Q29" s="130"/>
      <c r="R29" s="130"/>
      <c r="S29" s="130"/>
      <c r="T29" s="130"/>
      <c r="U29" s="130"/>
      <c r="V29" s="130"/>
      <c r="W29" s="130"/>
      <c r="X29" s="130"/>
      <c r="Y29" s="130"/>
      <c r="Z29" s="130"/>
      <c r="AA29" s="130"/>
      <c r="AB29" s="130"/>
      <c r="AC29" s="130"/>
      <c r="AD29" s="130"/>
      <c r="AE29" s="130"/>
      <c r="AF29" s="130"/>
      <c r="AG29" s="130"/>
    </row>
    <row r="30" spans="1:33" x14ac:dyDescent="0.2">
      <c r="A30" s="130" t="s">
        <v>34</v>
      </c>
      <c r="B30" s="130"/>
      <c r="C30" s="130"/>
      <c r="D30" s="130"/>
      <c r="E30" s="130">
        <v>9</v>
      </c>
      <c r="F30" s="130" t="s">
        <v>33</v>
      </c>
      <c r="G30" s="130"/>
      <c r="H30" s="130"/>
      <c r="I30" s="130"/>
      <c r="J30" s="130"/>
      <c r="K30" s="130"/>
      <c r="L30" s="130"/>
      <c r="M30" s="130"/>
      <c r="N30" s="130"/>
      <c r="O30" s="130"/>
      <c r="P30" s="130"/>
      <c r="Q30" s="130"/>
      <c r="R30" s="130"/>
      <c r="S30" s="130"/>
      <c r="T30" s="130"/>
      <c r="U30" s="130"/>
      <c r="V30" s="130"/>
      <c r="W30" s="130"/>
      <c r="X30" s="130"/>
      <c r="Y30" s="130"/>
      <c r="Z30" s="130"/>
      <c r="AA30" s="130"/>
      <c r="AB30" s="130"/>
      <c r="AC30" s="130"/>
      <c r="AD30" s="130"/>
      <c r="AE30" s="130"/>
      <c r="AF30" s="130"/>
      <c r="AG30" s="130"/>
    </row>
    <row r="31" spans="1:33" x14ac:dyDescent="0.2">
      <c r="A31" s="130" t="s">
        <v>35</v>
      </c>
      <c r="B31" s="130"/>
      <c r="C31" s="130"/>
      <c r="D31" s="130"/>
      <c r="E31" s="130">
        <v>25</v>
      </c>
      <c r="F31" s="130"/>
      <c r="G31" s="130"/>
      <c r="H31" s="130"/>
      <c r="I31" s="130"/>
      <c r="J31" s="130"/>
      <c r="K31" s="130"/>
      <c r="L31" s="130"/>
      <c r="M31" s="130"/>
      <c r="N31" s="130"/>
      <c r="O31" s="130"/>
      <c r="P31" s="130"/>
      <c r="Q31" s="130"/>
      <c r="R31" s="130"/>
      <c r="S31" s="130"/>
      <c r="T31" s="130"/>
      <c r="U31" s="130"/>
      <c r="V31" s="130"/>
      <c r="W31" s="130"/>
      <c r="X31" s="130"/>
      <c r="Y31" s="130"/>
      <c r="Z31" s="130"/>
      <c r="AA31" s="130"/>
      <c r="AB31" s="130"/>
      <c r="AC31" s="130"/>
      <c r="AD31" s="130"/>
      <c r="AE31" s="130"/>
      <c r="AF31" s="130"/>
      <c r="AG31" s="130"/>
    </row>
    <row r="32" spans="1:33" x14ac:dyDescent="0.2">
      <c r="A32" s="130" t="s">
        <v>36</v>
      </c>
      <c r="B32" s="130"/>
      <c r="C32" s="130"/>
      <c r="D32" s="130"/>
      <c r="E32" s="130">
        <v>100</v>
      </c>
      <c r="F32" s="130" t="s">
        <v>37</v>
      </c>
      <c r="G32" s="130"/>
      <c r="H32" s="130"/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30"/>
      <c r="W32" s="130"/>
      <c r="X32" s="130"/>
      <c r="Y32" s="130"/>
      <c r="Z32" s="130"/>
      <c r="AA32" s="130"/>
      <c r="AB32" s="130"/>
      <c r="AC32" s="130"/>
      <c r="AD32" s="130"/>
      <c r="AE32" s="130"/>
      <c r="AF32" s="130"/>
      <c r="AG32" s="130"/>
    </row>
    <row r="33" spans="1:65" x14ac:dyDescent="0.2">
      <c r="A33" s="130" t="s">
        <v>38</v>
      </c>
      <c r="B33" s="132">
        <v>43202.388194444444</v>
      </c>
      <c r="C33" s="130"/>
      <c r="D33" s="130"/>
      <c r="E33" s="130"/>
      <c r="F33" s="130"/>
      <c r="G33" s="130"/>
      <c r="H33" s="130"/>
      <c r="I33" s="130"/>
      <c r="J33" s="130"/>
      <c r="K33" s="130"/>
      <c r="L33" s="130"/>
      <c r="M33" s="130"/>
      <c r="N33" s="130"/>
      <c r="O33" s="130"/>
      <c r="P33" s="130"/>
      <c r="Q33" s="130"/>
      <c r="R33" s="130"/>
      <c r="S33" s="130"/>
      <c r="T33" s="130"/>
      <c r="U33" s="130"/>
      <c r="V33" s="130"/>
      <c r="W33" s="130"/>
      <c r="X33" s="130"/>
      <c r="Y33" s="130"/>
      <c r="Z33" s="130"/>
      <c r="AA33" s="130"/>
      <c r="AB33" s="130"/>
      <c r="AC33" s="130"/>
      <c r="AD33" s="130"/>
      <c r="AE33" s="130"/>
      <c r="AF33" s="130"/>
      <c r="AG33" s="130"/>
    </row>
    <row r="34" spans="1:65" x14ac:dyDescent="0.2">
      <c r="A34" s="130"/>
      <c r="B34" s="130"/>
      <c r="C34" s="130"/>
      <c r="D34" s="130"/>
      <c r="E34" s="130"/>
      <c r="F34" s="130"/>
      <c r="G34" s="130"/>
      <c r="H34" s="130"/>
      <c r="I34" s="130"/>
      <c r="J34" s="130"/>
      <c r="K34" s="130"/>
      <c r="L34" s="130"/>
      <c r="M34" s="130"/>
      <c r="N34" s="130"/>
      <c r="O34" s="130"/>
      <c r="P34" s="130"/>
      <c r="Q34" s="130"/>
      <c r="R34" s="130"/>
      <c r="S34" s="130"/>
      <c r="T34" s="130"/>
      <c r="U34" s="130"/>
      <c r="V34" s="130"/>
      <c r="W34" s="130"/>
      <c r="X34" s="130"/>
      <c r="Y34" s="130"/>
      <c r="Z34" s="130"/>
      <c r="AA34" s="130"/>
      <c r="AB34" s="130"/>
      <c r="AC34" s="130"/>
      <c r="AD34" s="130"/>
      <c r="AE34" s="130"/>
      <c r="AF34" s="130"/>
      <c r="AG34" s="130"/>
    </row>
    <row r="35" spans="1:65" x14ac:dyDescent="0.2">
      <c r="A35" s="130"/>
      <c r="B35" s="130"/>
      <c r="C35" s="130"/>
      <c r="D35" s="130"/>
      <c r="E35" s="130"/>
      <c r="F35" s="130"/>
      <c r="G35" s="130"/>
      <c r="H35" s="130"/>
      <c r="I35" s="130"/>
      <c r="J35" s="130"/>
      <c r="K35" s="130"/>
      <c r="L35" s="130"/>
      <c r="M35" s="130"/>
      <c r="N35" s="130"/>
      <c r="O35" s="130"/>
      <c r="P35" s="130"/>
      <c r="Q35" s="130"/>
      <c r="R35" s="130"/>
      <c r="S35" s="130"/>
      <c r="T35" s="130"/>
      <c r="U35" s="130"/>
      <c r="V35" s="130"/>
      <c r="W35" s="130"/>
      <c r="X35" s="130"/>
      <c r="Y35" s="130"/>
      <c r="Z35" s="130"/>
      <c r="AA35" s="130"/>
      <c r="AB35" s="130"/>
      <c r="AC35" s="130"/>
      <c r="AD35" s="130"/>
      <c r="AE35" s="130"/>
      <c r="AF35" s="130"/>
      <c r="AG35" s="130"/>
    </row>
    <row r="36" spans="1:65" x14ac:dyDescent="0.2">
      <c r="A36" s="135" t="s">
        <v>39</v>
      </c>
      <c r="B36" s="160">
        <v>1</v>
      </c>
      <c r="C36" s="160">
        <v>2</v>
      </c>
      <c r="D36" s="160">
        <v>3</v>
      </c>
      <c r="E36" s="160">
        <v>4</v>
      </c>
      <c r="F36" s="160">
        <v>5</v>
      </c>
      <c r="G36" s="160">
        <v>6</v>
      </c>
      <c r="H36" s="160">
        <v>7</v>
      </c>
      <c r="I36" s="160">
        <v>8</v>
      </c>
      <c r="J36" s="160">
        <v>9</v>
      </c>
      <c r="K36" s="160">
        <v>10</v>
      </c>
      <c r="L36" s="160">
        <v>11</v>
      </c>
      <c r="M36" s="160">
        <v>12</v>
      </c>
      <c r="N36" s="160">
        <v>13</v>
      </c>
      <c r="O36" s="160">
        <v>14</v>
      </c>
      <c r="P36" s="160">
        <v>15</v>
      </c>
      <c r="Q36" s="160">
        <v>16</v>
      </c>
      <c r="R36" s="160">
        <v>17</v>
      </c>
      <c r="S36" s="160">
        <v>18</v>
      </c>
      <c r="T36" s="160">
        <v>19</v>
      </c>
      <c r="U36" s="160">
        <v>20</v>
      </c>
      <c r="V36" s="160">
        <v>21</v>
      </c>
      <c r="W36" s="160">
        <v>22</v>
      </c>
      <c r="X36" s="160">
        <v>23</v>
      </c>
      <c r="Y36" s="160">
        <v>24</v>
      </c>
      <c r="Z36" s="160">
        <v>25</v>
      </c>
      <c r="AA36" s="160">
        <v>26</v>
      </c>
      <c r="AB36" s="160">
        <v>27</v>
      </c>
      <c r="AC36" s="160">
        <v>28</v>
      </c>
      <c r="AD36" s="160">
        <v>29</v>
      </c>
      <c r="AE36" s="160">
        <v>30</v>
      </c>
      <c r="AF36" s="160">
        <v>31</v>
      </c>
      <c r="AG36" s="158"/>
      <c r="AH36" s="158"/>
      <c r="AI36" s="158"/>
      <c r="AJ36" s="158"/>
      <c r="AK36" s="158"/>
      <c r="AL36" s="158"/>
      <c r="AM36" s="158"/>
      <c r="AN36" s="158"/>
      <c r="AO36" s="158"/>
      <c r="AP36" s="158"/>
      <c r="AQ36" s="158"/>
      <c r="AR36" s="158"/>
      <c r="AS36" s="158"/>
      <c r="AT36" s="158"/>
      <c r="AU36" s="158"/>
      <c r="AV36" s="158"/>
      <c r="AW36" s="158"/>
      <c r="AX36" s="158"/>
      <c r="AY36" s="158"/>
      <c r="AZ36" s="158"/>
      <c r="BA36" s="158"/>
      <c r="BB36" s="158"/>
      <c r="BC36" s="158"/>
      <c r="BD36" s="158"/>
      <c r="BE36" s="158"/>
      <c r="BF36" s="158"/>
      <c r="BG36" s="158"/>
      <c r="BH36" s="158"/>
      <c r="BI36" s="158"/>
      <c r="BJ36" s="158"/>
      <c r="BK36" s="158"/>
      <c r="BL36" s="1"/>
      <c r="BM36" s="1"/>
    </row>
    <row r="37" spans="1:65" x14ac:dyDescent="0.2">
      <c r="A37" s="135" t="s">
        <v>40</v>
      </c>
      <c r="B37" s="159">
        <v>0</v>
      </c>
      <c r="C37" s="159">
        <v>900.1</v>
      </c>
      <c r="D37" s="159">
        <v>1800.2</v>
      </c>
      <c r="E37" s="159">
        <v>2700.3</v>
      </c>
      <c r="F37" s="159">
        <v>3600.4</v>
      </c>
      <c r="G37" s="159">
        <v>4500.5</v>
      </c>
      <c r="H37" s="159">
        <v>5400.6</v>
      </c>
      <c r="I37" s="159">
        <v>6300.7</v>
      </c>
      <c r="J37" s="159">
        <v>7200.8</v>
      </c>
      <c r="K37" s="159">
        <v>8100.9</v>
      </c>
      <c r="L37" s="159">
        <v>9001</v>
      </c>
      <c r="M37" s="159">
        <v>9901.1</v>
      </c>
      <c r="N37" s="159">
        <v>10801.2</v>
      </c>
      <c r="O37" s="159">
        <v>11701.3</v>
      </c>
      <c r="P37" s="159">
        <v>12601.4</v>
      </c>
      <c r="Q37" s="159">
        <v>13501.5</v>
      </c>
      <c r="R37" s="159">
        <v>14401.6</v>
      </c>
      <c r="S37" s="159">
        <v>15301.7</v>
      </c>
      <c r="T37" s="159">
        <v>16201.8</v>
      </c>
      <c r="U37" s="159">
        <v>17101.900000000001</v>
      </c>
      <c r="V37" s="159">
        <v>18002</v>
      </c>
      <c r="W37" s="159">
        <v>18902.099999999999</v>
      </c>
      <c r="X37" s="159">
        <v>19802.2</v>
      </c>
      <c r="Y37" s="159">
        <v>20702.3</v>
      </c>
      <c r="Z37" s="159">
        <v>21602.400000000001</v>
      </c>
      <c r="AA37" s="159">
        <v>22502.5</v>
      </c>
      <c r="AB37" s="159">
        <v>23402.6</v>
      </c>
      <c r="AC37" s="159">
        <v>24302.7</v>
      </c>
      <c r="AD37" s="159">
        <v>25202.799999999999</v>
      </c>
      <c r="AE37" s="159">
        <v>26102.9</v>
      </c>
      <c r="AF37" s="159">
        <v>27003</v>
      </c>
      <c r="AG37" s="157"/>
      <c r="AH37" s="157"/>
      <c r="AI37" s="157"/>
      <c r="AJ37" s="157"/>
      <c r="AK37" s="157"/>
      <c r="AL37" s="157"/>
      <c r="AM37" s="157"/>
      <c r="AN37" s="157"/>
      <c r="AO37" s="157"/>
      <c r="AP37" s="157"/>
      <c r="AQ37" s="157"/>
      <c r="AR37" s="157"/>
      <c r="AS37" s="157"/>
      <c r="AT37" s="157"/>
      <c r="AU37" s="157"/>
      <c r="AV37" s="157"/>
      <c r="AW37" s="157"/>
      <c r="AX37" s="157"/>
      <c r="AY37" s="157"/>
      <c r="AZ37" s="157"/>
      <c r="BA37" s="157"/>
      <c r="BB37" s="157"/>
      <c r="BC37" s="157"/>
      <c r="BD37" s="157"/>
      <c r="BE37" s="157"/>
      <c r="BF37" s="157"/>
      <c r="BG37" s="157"/>
      <c r="BH37" s="157"/>
      <c r="BI37" s="157"/>
      <c r="BJ37" s="157"/>
      <c r="BK37" s="157"/>
    </row>
    <row r="38" spans="1:65" x14ac:dyDescent="0.2">
      <c r="A38" s="135" t="s">
        <v>41</v>
      </c>
      <c r="B38" s="159">
        <v>36.5</v>
      </c>
      <c r="C38" s="159">
        <v>37.299999999999997</v>
      </c>
      <c r="D38" s="159">
        <v>37.1</v>
      </c>
      <c r="E38" s="159">
        <v>37</v>
      </c>
      <c r="F38" s="159">
        <v>37.5</v>
      </c>
      <c r="G38" s="159">
        <v>37.200000000000003</v>
      </c>
      <c r="H38" s="159">
        <v>37</v>
      </c>
      <c r="I38" s="159">
        <v>36.9</v>
      </c>
      <c r="J38" s="159">
        <v>37.1</v>
      </c>
      <c r="K38" s="159">
        <v>37.200000000000003</v>
      </c>
      <c r="L38" s="159">
        <v>37.4</v>
      </c>
      <c r="M38" s="159">
        <v>37.5</v>
      </c>
      <c r="N38" s="159">
        <v>37.6</v>
      </c>
      <c r="O38" s="159">
        <v>37.6</v>
      </c>
      <c r="P38" s="159">
        <v>37.6</v>
      </c>
      <c r="Q38" s="159">
        <v>37.4</v>
      </c>
      <c r="R38" s="159">
        <v>37.299999999999997</v>
      </c>
      <c r="S38" s="159">
        <v>37.200000000000003</v>
      </c>
      <c r="T38" s="159">
        <v>37.200000000000003</v>
      </c>
      <c r="U38" s="159">
        <v>37.4</v>
      </c>
      <c r="V38" s="159">
        <v>37.4</v>
      </c>
      <c r="W38" s="159">
        <v>37.5</v>
      </c>
      <c r="X38" s="159">
        <v>37.6</v>
      </c>
      <c r="Y38" s="159">
        <v>37.4</v>
      </c>
      <c r="Z38" s="159">
        <v>37</v>
      </c>
      <c r="AA38" s="159">
        <v>36.9</v>
      </c>
      <c r="AB38" s="159">
        <v>37.1</v>
      </c>
      <c r="AC38" s="159">
        <v>37.5</v>
      </c>
      <c r="AD38" s="159">
        <v>37.6</v>
      </c>
      <c r="AE38" s="159">
        <v>37.4</v>
      </c>
      <c r="AF38" s="159">
        <v>37.1</v>
      </c>
      <c r="AG38" s="157"/>
      <c r="AH38" s="157"/>
      <c r="AI38" s="157"/>
      <c r="AJ38" s="157"/>
      <c r="AK38" s="157"/>
      <c r="AL38" s="157"/>
      <c r="AM38" s="157"/>
      <c r="AN38" s="157"/>
      <c r="AO38" s="157"/>
      <c r="AP38" s="157"/>
      <c r="AQ38" s="157"/>
      <c r="AR38" s="157"/>
      <c r="AS38" s="157"/>
      <c r="AT38" s="157"/>
      <c r="AU38" s="157"/>
      <c r="AV38" s="157"/>
      <c r="AW38" s="157"/>
      <c r="AX38" s="157"/>
      <c r="AY38" s="157"/>
      <c r="AZ38" s="157"/>
      <c r="BA38" s="157"/>
      <c r="BB38" s="157"/>
      <c r="BC38" s="157"/>
      <c r="BD38" s="157"/>
      <c r="BE38" s="157"/>
      <c r="BF38" s="157"/>
      <c r="BG38" s="157"/>
      <c r="BH38" s="157"/>
      <c r="BI38" s="157"/>
      <c r="BJ38" s="157"/>
      <c r="BK38" s="157"/>
    </row>
    <row r="39" spans="1:65" x14ac:dyDescent="0.2">
      <c r="A39" s="135" t="s">
        <v>42</v>
      </c>
      <c r="B39" s="159">
        <v>0.10480000078678131</v>
      </c>
      <c r="C39" s="159">
        <v>0.1046999990940094</v>
      </c>
      <c r="D39" s="159">
        <v>0.1046999990940094</v>
      </c>
      <c r="E39" s="159">
        <v>0.10480000078678131</v>
      </c>
      <c r="F39" s="159">
        <v>0.10459999740123749</v>
      </c>
      <c r="G39" s="159">
        <v>0.10450000315904617</v>
      </c>
      <c r="H39" s="159">
        <v>0.10440000146627426</v>
      </c>
      <c r="I39" s="159">
        <v>0.10429999977350235</v>
      </c>
      <c r="J39" s="159">
        <v>0.10419999808073044</v>
      </c>
      <c r="K39" s="159">
        <v>0.10419999808073044</v>
      </c>
      <c r="L39" s="159">
        <v>0.10419999808073044</v>
      </c>
      <c r="M39" s="159">
        <v>0.10409999638795853</v>
      </c>
      <c r="N39" s="159">
        <v>0.10400000214576721</v>
      </c>
      <c r="O39" s="159">
        <v>0.1039000004529953</v>
      </c>
      <c r="P39" s="159">
        <v>0.10379999876022339</v>
      </c>
      <c r="Q39" s="159">
        <v>0.10379999876022339</v>
      </c>
      <c r="R39" s="159">
        <v>0.1039000004529953</v>
      </c>
      <c r="S39" s="159">
        <v>0.10360000282526016</v>
      </c>
      <c r="T39" s="159">
        <v>0.10360000282526016</v>
      </c>
      <c r="U39" s="159">
        <v>0.10379999876022339</v>
      </c>
      <c r="V39" s="159">
        <f>AVERAGE(U39,W39)</f>
        <v>0.10359999909996986</v>
      </c>
      <c r="W39" s="159">
        <v>0.10339999943971634</v>
      </c>
      <c r="X39" s="159">
        <v>0.10329999774694443</v>
      </c>
      <c r="Y39" s="159">
        <v>0.10320000350475311</v>
      </c>
      <c r="Z39" s="159">
        <v>0.10320000350475311</v>
      </c>
      <c r="AA39" s="159">
        <v>0.1031000018119812</v>
      </c>
      <c r="AB39" s="159">
        <v>0.1031000018119812</v>
      </c>
      <c r="AC39" s="159">
        <v>0.10300000011920929</v>
      </c>
      <c r="AD39" s="159">
        <v>0.10300000011920929</v>
      </c>
      <c r="AE39" s="159">
        <v>0.10289999842643738</v>
      </c>
      <c r="AF39" s="159">
        <v>0.10289999842643738</v>
      </c>
      <c r="AG39" s="157"/>
      <c r="AH39" s="157"/>
      <c r="AI39" s="157"/>
      <c r="AJ39" s="157"/>
      <c r="AK39" s="157"/>
      <c r="AL39" s="157"/>
      <c r="AM39" s="157"/>
      <c r="AN39" s="157"/>
      <c r="AO39" s="157"/>
      <c r="AP39" s="157"/>
      <c r="AQ39" s="157"/>
      <c r="AR39" s="157"/>
      <c r="AS39" s="157"/>
      <c r="AT39" s="157"/>
      <c r="AU39" s="157"/>
      <c r="AV39" s="157"/>
      <c r="AW39" s="157"/>
      <c r="AX39" s="157"/>
      <c r="AY39" s="157"/>
      <c r="AZ39" s="157"/>
      <c r="BA39" s="157"/>
      <c r="BB39" s="157"/>
      <c r="BC39" s="157"/>
      <c r="BD39" s="157"/>
      <c r="BE39" s="157"/>
      <c r="BF39" s="157"/>
      <c r="BG39" s="157"/>
      <c r="BH39" s="157"/>
      <c r="BI39" s="157"/>
      <c r="BJ39" s="157"/>
      <c r="BK39" s="157"/>
    </row>
    <row r="40" spans="1:65" x14ac:dyDescent="0.2">
      <c r="A40" s="135" t="s">
        <v>43</v>
      </c>
      <c r="B40" s="159">
        <v>0.10660000145435333</v>
      </c>
      <c r="C40" s="159">
        <v>0.10649999976158142</v>
      </c>
      <c r="D40" s="159">
        <v>0.10649999976158142</v>
      </c>
      <c r="E40" s="159">
        <v>0.10649999976158142</v>
      </c>
      <c r="F40" s="159">
        <v>0.10639999806880951</v>
      </c>
      <c r="G40" s="159">
        <v>0.1062999963760376</v>
      </c>
      <c r="H40" s="159">
        <v>0.1062999963760376</v>
      </c>
      <c r="I40" s="159">
        <v>0.10610000044107437</v>
      </c>
      <c r="J40" s="159">
        <v>0.10610000044107437</v>
      </c>
      <c r="K40" s="159">
        <v>0.10610000044107437</v>
      </c>
      <c r="L40" s="159">
        <v>0.10610000044107437</v>
      </c>
      <c r="M40" s="159">
        <v>0.10599999874830246</v>
      </c>
      <c r="N40" s="159">
        <v>0.10589999705553055</v>
      </c>
      <c r="O40" s="159">
        <v>0.10589999705553055</v>
      </c>
      <c r="P40" s="159">
        <v>0.10570000112056732</v>
      </c>
      <c r="Q40" s="159">
        <v>0.10570000112056732</v>
      </c>
      <c r="R40" s="159">
        <v>0.10570000112056732</v>
      </c>
      <c r="S40" s="159">
        <v>0.10559999942779541</v>
      </c>
      <c r="T40" s="159">
        <v>0.10559999942779541</v>
      </c>
      <c r="U40" s="159">
        <v>0.10559999942779541</v>
      </c>
      <c r="V40" s="159">
        <f t="shared" ref="V40:V103" si="0">AVERAGE(U40,W40)</f>
        <v>0.1055000014603138</v>
      </c>
      <c r="W40" s="159">
        <v>0.10540000349283218</v>
      </c>
      <c r="X40" s="159">
        <v>0.10540000349283218</v>
      </c>
      <c r="Y40" s="159">
        <v>0.10530000180006027</v>
      </c>
      <c r="Z40" s="159">
        <v>0.10530000180006027</v>
      </c>
      <c r="AA40" s="159">
        <v>0.10520000010728836</v>
      </c>
      <c r="AB40" s="159">
        <v>0.10520000010728836</v>
      </c>
      <c r="AC40" s="159">
        <v>0.10520000010728836</v>
      </c>
      <c r="AD40" s="159">
        <v>0.10509999841451645</v>
      </c>
      <c r="AE40" s="159">
        <v>0.10509999841451645</v>
      </c>
      <c r="AF40" s="159">
        <v>0.10509999841451645</v>
      </c>
      <c r="AG40" s="157"/>
      <c r="AH40" s="157"/>
      <c r="AI40" s="157"/>
      <c r="AJ40" s="157"/>
      <c r="AK40" s="157"/>
      <c r="AL40" s="157"/>
      <c r="AM40" s="157"/>
      <c r="AN40" s="157"/>
      <c r="AO40" s="157"/>
      <c r="AP40" s="157"/>
      <c r="AQ40" s="157"/>
      <c r="AR40" s="157"/>
      <c r="AS40" s="157"/>
      <c r="AT40" s="157"/>
      <c r="AU40" s="157"/>
      <c r="AV40" s="157"/>
      <c r="AW40" s="157"/>
      <c r="AX40" s="157"/>
      <c r="AY40" s="157"/>
      <c r="AZ40" s="157"/>
      <c r="BA40" s="157"/>
      <c r="BB40" s="157"/>
      <c r="BC40" s="157"/>
      <c r="BD40" s="157"/>
      <c r="BE40" s="157"/>
      <c r="BF40" s="157"/>
      <c r="BG40" s="157"/>
      <c r="BH40" s="157"/>
      <c r="BI40" s="157"/>
      <c r="BJ40" s="157"/>
      <c r="BK40" s="157"/>
    </row>
    <row r="41" spans="1:65" x14ac:dyDescent="0.2">
      <c r="A41" s="135" t="s">
        <v>44</v>
      </c>
      <c r="B41" s="159">
        <v>0.10740000009536743</v>
      </c>
      <c r="C41" s="159">
        <v>0.10740000009536743</v>
      </c>
      <c r="D41" s="159">
        <v>0.10729999840259552</v>
      </c>
      <c r="E41" s="159">
        <v>0.10729999840259552</v>
      </c>
      <c r="F41" s="159">
        <v>0.10719999670982361</v>
      </c>
      <c r="G41" s="159">
        <v>0.10719999670982361</v>
      </c>
      <c r="H41" s="159">
        <v>0.10710000246763229</v>
      </c>
      <c r="I41" s="159">
        <v>0.10689999908208847</v>
      </c>
      <c r="J41" s="159">
        <v>0.10689999908208847</v>
      </c>
      <c r="K41" s="159">
        <v>0.10710000246763229</v>
      </c>
      <c r="L41" s="159">
        <v>0.10679999738931656</v>
      </c>
      <c r="M41" s="159">
        <v>0.10670000314712524</v>
      </c>
      <c r="N41" s="159">
        <v>0.10670000314712524</v>
      </c>
      <c r="O41" s="159">
        <v>0.10660000145435333</v>
      </c>
      <c r="P41" s="159">
        <v>0.10649999976158142</v>
      </c>
      <c r="Q41" s="159">
        <v>0.10649999976158142</v>
      </c>
      <c r="R41" s="159">
        <v>0.10639999806880951</v>
      </c>
      <c r="S41" s="159">
        <v>0.1062999963760376</v>
      </c>
      <c r="T41" s="159">
        <v>0.1062999963760376</v>
      </c>
      <c r="U41" s="159">
        <v>0.1062999963760376</v>
      </c>
      <c r="V41" s="159">
        <f t="shared" si="0"/>
        <v>0.10624999925494194</v>
      </c>
      <c r="W41" s="159">
        <v>0.10620000213384628</v>
      </c>
      <c r="X41" s="159">
        <v>0.10610000044107437</v>
      </c>
      <c r="Y41" s="159">
        <v>0.10610000044107437</v>
      </c>
      <c r="Z41" s="159">
        <v>0.10599999874830246</v>
      </c>
      <c r="AA41" s="159">
        <v>0.10589999705553055</v>
      </c>
      <c r="AB41" s="159">
        <v>0.10589999705553055</v>
      </c>
      <c r="AC41" s="159">
        <v>0.10599999874830246</v>
      </c>
      <c r="AD41" s="159">
        <v>0.10580000281333923</v>
      </c>
      <c r="AE41" s="159">
        <v>0.10580000281333923</v>
      </c>
      <c r="AF41" s="159">
        <v>0.10580000281333923</v>
      </c>
      <c r="AG41" s="157"/>
      <c r="AH41" s="157"/>
      <c r="AI41" s="157"/>
      <c r="AJ41" s="157"/>
      <c r="AK41" s="157"/>
      <c r="AL41" s="157"/>
      <c r="AM41" s="157"/>
      <c r="AN41" s="157"/>
      <c r="AO41" s="157"/>
      <c r="AP41" s="157"/>
      <c r="AQ41" s="157"/>
      <c r="AR41" s="157"/>
      <c r="AS41" s="157"/>
      <c r="AT41" s="157"/>
      <c r="AU41" s="157"/>
      <c r="AV41" s="157"/>
      <c r="AW41" s="157"/>
      <c r="AX41" s="157"/>
      <c r="AY41" s="157"/>
      <c r="AZ41" s="157"/>
      <c r="BA41" s="157"/>
      <c r="BB41" s="157"/>
      <c r="BC41" s="157"/>
      <c r="BD41" s="157"/>
      <c r="BE41" s="157"/>
      <c r="BF41" s="157"/>
      <c r="BG41" s="157"/>
      <c r="BH41" s="157"/>
      <c r="BI41" s="157"/>
      <c r="BJ41" s="157"/>
      <c r="BK41" s="157"/>
    </row>
    <row r="42" spans="1:65" x14ac:dyDescent="0.2">
      <c r="A42" s="135" t="s">
        <v>45</v>
      </c>
      <c r="B42" s="159">
        <v>0.10700000077486038</v>
      </c>
      <c r="C42" s="159">
        <v>0.10689999908208847</v>
      </c>
      <c r="D42" s="159">
        <v>0.10679999738931656</v>
      </c>
      <c r="E42" s="159">
        <v>0.10689999908208847</v>
      </c>
      <c r="F42" s="159">
        <v>0.10670000314712524</v>
      </c>
      <c r="G42" s="159">
        <v>0.10689999908208847</v>
      </c>
      <c r="H42" s="159">
        <v>0.10660000145435333</v>
      </c>
      <c r="I42" s="159">
        <v>0.10639999806880951</v>
      </c>
      <c r="J42" s="159">
        <v>0.10639999806880951</v>
      </c>
      <c r="K42" s="159">
        <v>0.1062999963760376</v>
      </c>
      <c r="L42" s="159">
        <v>0.1062999963760376</v>
      </c>
      <c r="M42" s="159">
        <v>0.1062999963760376</v>
      </c>
      <c r="N42" s="159">
        <v>0.10620000213384628</v>
      </c>
      <c r="O42" s="159">
        <v>0.10610000044107437</v>
      </c>
      <c r="P42" s="159">
        <v>0.10599999874830246</v>
      </c>
      <c r="Q42" s="159">
        <v>0.10599999874830246</v>
      </c>
      <c r="R42" s="159">
        <v>0.10599999874830246</v>
      </c>
      <c r="S42" s="159">
        <v>0.10580000281333923</v>
      </c>
      <c r="T42" s="159">
        <v>0.10580000281333923</v>
      </c>
      <c r="U42" s="159">
        <v>0.10580000281333923</v>
      </c>
      <c r="V42" s="159">
        <f t="shared" si="0"/>
        <v>0.10575000196695328</v>
      </c>
      <c r="W42" s="159">
        <v>0.10570000112056732</v>
      </c>
      <c r="X42" s="159">
        <v>0.10559999942779541</v>
      </c>
      <c r="Y42" s="159">
        <v>0.10559999942779541</v>
      </c>
      <c r="Z42" s="159">
        <v>0.10559999942779541</v>
      </c>
      <c r="AA42" s="159">
        <v>0.10540000349283218</v>
      </c>
      <c r="AB42" s="159">
        <v>0.10540000349283218</v>
      </c>
      <c r="AC42" s="159">
        <v>0.10540000349283218</v>
      </c>
      <c r="AD42" s="159">
        <v>0.10540000349283218</v>
      </c>
      <c r="AE42" s="159">
        <v>0.10530000180006027</v>
      </c>
      <c r="AF42" s="159">
        <v>0.10530000180006027</v>
      </c>
      <c r="AG42" s="157"/>
      <c r="AH42" s="157"/>
      <c r="AI42" s="157"/>
      <c r="AJ42" s="157"/>
      <c r="AK42" s="157"/>
      <c r="AL42" s="157"/>
      <c r="AM42" s="157"/>
      <c r="AN42" s="157"/>
      <c r="AO42" s="157"/>
      <c r="AP42" s="157"/>
      <c r="AQ42" s="157"/>
      <c r="AR42" s="157"/>
      <c r="AS42" s="157"/>
      <c r="AT42" s="157"/>
      <c r="AU42" s="157"/>
      <c r="AV42" s="157"/>
      <c r="AW42" s="157"/>
      <c r="AX42" s="157"/>
      <c r="AY42" s="157"/>
      <c r="AZ42" s="157"/>
      <c r="BA42" s="157"/>
      <c r="BB42" s="157"/>
      <c r="BC42" s="157"/>
      <c r="BD42" s="157"/>
      <c r="BE42" s="157"/>
      <c r="BF42" s="157"/>
      <c r="BG42" s="157"/>
      <c r="BH42" s="157"/>
      <c r="BI42" s="157"/>
      <c r="BJ42" s="157"/>
      <c r="BK42" s="157"/>
    </row>
    <row r="43" spans="1:65" x14ac:dyDescent="0.2">
      <c r="A43" s="135" t="s">
        <v>46</v>
      </c>
      <c r="B43" s="159">
        <v>0.10570000112056732</v>
      </c>
      <c r="C43" s="159">
        <v>0.1054999977350235</v>
      </c>
      <c r="D43" s="159">
        <v>0.1054999977350235</v>
      </c>
      <c r="E43" s="159">
        <v>0.1054999977350235</v>
      </c>
      <c r="F43" s="159">
        <v>0.10540000349283218</v>
      </c>
      <c r="G43" s="159">
        <v>0.10530000180006027</v>
      </c>
      <c r="H43" s="159">
        <v>0.10520000010728836</v>
      </c>
      <c r="I43" s="159">
        <v>0.10520000010728836</v>
      </c>
      <c r="J43" s="159">
        <v>0.10499999672174454</v>
      </c>
      <c r="K43" s="159">
        <v>0.10499999672174454</v>
      </c>
      <c r="L43" s="159">
        <v>0.10499999672174454</v>
      </c>
      <c r="M43" s="159">
        <v>0.10490000247955322</v>
      </c>
      <c r="N43" s="159">
        <v>0.10490000247955322</v>
      </c>
      <c r="O43" s="159">
        <v>0.10480000078678131</v>
      </c>
      <c r="P43" s="159">
        <v>0.10459999740123749</v>
      </c>
      <c r="Q43" s="159">
        <v>0.10459999740123749</v>
      </c>
      <c r="R43" s="159">
        <v>0.10459999740123749</v>
      </c>
      <c r="S43" s="159">
        <v>0.10440000146627426</v>
      </c>
      <c r="T43" s="159">
        <v>0.10450000315904617</v>
      </c>
      <c r="U43" s="159">
        <v>0.10450000315904617</v>
      </c>
      <c r="V43" s="159">
        <f t="shared" si="0"/>
        <v>0.10445000231266022</v>
      </c>
      <c r="W43" s="159">
        <v>0.10440000146627426</v>
      </c>
      <c r="X43" s="159">
        <v>0.10440000146627426</v>
      </c>
      <c r="Y43" s="159">
        <v>0.10429999977350235</v>
      </c>
      <c r="Z43" s="159">
        <v>0.10419999808073044</v>
      </c>
      <c r="AA43" s="159">
        <v>0.10419999808073044</v>
      </c>
      <c r="AB43" s="159">
        <v>0.10419999808073044</v>
      </c>
      <c r="AC43" s="159">
        <v>0.10440000146627426</v>
      </c>
      <c r="AD43" s="159">
        <v>0.10409999638795853</v>
      </c>
      <c r="AE43" s="159">
        <v>0.10400000214576721</v>
      </c>
      <c r="AF43" s="159">
        <v>0.10400000214576721</v>
      </c>
      <c r="AG43" s="157"/>
      <c r="AH43" s="157"/>
      <c r="AI43" s="157"/>
      <c r="AJ43" s="157"/>
      <c r="AK43" s="157"/>
      <c r="AL43" s="157"/>
      <c r="AM43" s="157"/>
      <c r="AN43" s="157"/>
      <c r="AO43" s="157"/>
      <c r="AP43" s="157"/>
      <c r="AQ43" s="157"/>
      <c r="AR43" s="157"/>
      <c r="AS43" s="157"/>
      <c r="AT43" s="157"/>
      <c r="AU43" s="157"/>
      <c r="AV43" s="157"/>
      <c r="AW43" s="157"/>
      <c r="AX43" s="157"/>
      <c r="AY43" s="157"/>
      <c r="AZ43" s="157"/>
      <c r="BA43" s="157"/>
      <c r="BB43" s="157"/>
      <c r="BC43" s="157"/>
      <c r="BD43" s="157"/>
      <c r="BE43" s="157"/>
      <c r="BF43" s="157"/>
      <c r="BG43" s="157"/>
      <c r="BH43" s="157"/>
      <c r="BI43" s="157"/>
      <c r="BJ43" s="157"/>
      <c r="BK43" s="157"/>
    </row>
    <row r="44" spans="1:65" x14ac:dyDescent="0.2">
      <c r="A44" s="135" t="s">
        <v>47</v>
      </c>
      <c r="B44" s="159">
        <v>0.10689999908208847</v>
      </c>
      <c r="C44" s="159">
        <v>0.10679999738931656</v>
      </c>
      <c r="D44" s="159">
        <v>0.10679999738931656</v>
      </c>
      <c r="E44" s="159">
        <v>0.10679999738931656</v>
      </c>
      <c r="F44" s="159">
        <v>0.10670000314712524</v>
      </c>
      <c r="G44" s="159">
        <v>0.10660000145435333</v>
      </c>
      <c r="H44" s="159">
        <v>0.10649999976158142</v>
      </c>
      <c r="I44" s="159">
        <v>0.1062999963760376</v>
      </c>
      <c r="J44" s="159">
        <v>0.1062999963760376</v>
      </c>
      <c r="K44" s="159">
        <v>0.10620000213384628</v>
      </c>
      <c r="L44" s="159">
        <v>0.1062999963760376</v>
      </c>
      <c r="M44" s="159">
        <v>0.10620000213384628</v>
      </c>
      <c r="N44" s="159">
        <v>0.10610000044107437</v>
      </c>
      <c r="O44" s="159">
        <v>0.10610000044107437</v>
      </c>
      <c r="P44" s="159">
        <v>0.10580000281333923</v>
      </c>
      <c r="Q44" s="159">
        <v>0.10589999705553055</v>
      </c>
      <c r="R44" s="159">
        <v>0.10580000281333923</v>
      </c>
      <c r="S44" s="159">
        <v>0.10570000112056732</v>
      </c>
      <c r="T44" s="159">
        <v>0.10570000112056732</v>
      </c>
      <c r="U44" s="159">
        <v>0.10570000112056732</v>
      </c>
      <c r="V44" s="159">
        <f t="shared" si="0"/>
        <v>0.10565000027418137</v>
      </c>
      <c r="W44" s="159">
        <v>0.10559999942779541</v>
      </c>
      <c r="X44" s="159">
        <v>0.1054999977350235</v>
      </c>
      <c r="Y44" s="159">
        <v>0.1054999977350235</v>
      </c>
      <c r="Z44" s="159">
        <v>0.10540000349283218</v>
      </c>
      <c r="AA44" s="159">
        <v>0.10540000349283218</v>
      </c>
      <c r="AB44" s="159">
        <v>0.10540000349283218</v>
      </c>
      <c r="AC44" s="159">
        <v>0.10540000349283218</v>
      </c>
      <c r="AD44" s="159">
        <v>0.10530000180006027</v>
      </c>
      <c r="AE44" s="159">
        <v>0.10520000010728836</v>
      </c>
      <c r="AF44" s="159">
        <v>0.10530000180006027</v>
      </c>
      <c r="AG44" s="157"/>
      <c r="AH44" s="157"/>
      <c r="AI44" s="157"/>
      <c r="AJ44" s="157"/>
      <c r="AK44" s="157"/>
      <c r="AL44" s="157"/>
      <c r="AM44" s="157"/>
      <c r="AN44" s="157"/>
      <c r="AO44" s="157"/>
      <c r="AP44" s="157"/>
      <c r="AQ44" s="157"/>
      <c r="AR44" s="157"/>
      <c r="AS44" s="157"/>
      <c r="AT44" s="157"/>
      <c r="AU44" s="157"/>
      <c r="AV44" s="157"/>
      <c r="AW44" s="157"/>
      <c r="AX44" s="157"/>
      <c r="AY44" s="157"/>
      <c r="AZ44" s="157"/>
      <c r="BA44" s="157"/>
      <c r="BB44" s="157"/>
      <c r="BC44" s="157"/>
      <c r="BD44" s="157"/>
      <c r="BE44" s="157"/>
      <c r="BF44" s="157"/>
      <c r="BG44" s="157"/>
      <c r="BH44" s="157"/>
      <c r="BI44" s="157"/>
      <c r="BJ44" s="157"/>
      <c r="BK44" s="157"/>
    </row>
    <row r="45" spans="1:65" x14ac:dyDescent="0.2">
      <c r="A45" s="135" t="s">
        <v>48</v>
      </c>
      <c r="B45" s="159">
        <v>0.10819999873638153</v>
      </c>
      <c r="C45" s="159">
        <v>0.10790000110864639</v>
      </c>
      <c r="D45" s="159">
        <v>0.10779999941587448</v>
      </c>
      <c r="E45" s="159">
        <v>0.1080000028014183</v>
      </c>
      <c r="F45" s="159">
        <v>0.10760000348091125</v>
      </c>
      <c r="G45" s="159">
        <v>0.10750000178813934</v>
      </c>
      <c r="H45" s="159">
        <v>0.10740000009536743</v>
      </c>
      <c r="I45" s="159">
        <v>0.10719999670982361</v>
      </c>
      <c r="J45" s="159">
        <v>0.10719999670982361</v>
      </c>
      <c r="K45" s="159">
        <v>0.10710000246763229</v>
      </c>
      <c r="L45" s="159">
        <v>0.10719999670982361</v>
      </c>
      <c r="M45" s="159">
        <v>0.10700000077486038</v>
      </c>
      <c r="N45" s="159">
        <v>0.10700000077486038</v>
      </c>
      <c r="O45" s="159">
        <v>0.10700000077486038</v>
      </c>
      <c r="P45" s="159">
        <v>0.10679999738931656</v>
      </c>
      <c r="Q45" s="159">
        <v>0.10679999738931656</v>
      </c>
      <c r="R45" s="159">
        <v>0.10670000314712524</v>
      </c>
      <c r="S45" s="159">
        <v>0.10660000145435333</v>
      </c>
      <c r="T45" s="159">
        <v>0.10660000145435333</v>
      </c>
      <c r="U45" s="159">
        <v>0.10660000145435333</v>
      </c>
      <c r="V45" s="159">
        <f t="shared" si="0"/>
        <v>0.10655000060796738</v>
      </c>
      <c r="W45" s="159">
        <v>0.10649999976158142</v>
      </c>
      <c r="X45" s="159">
        <v>0.10649999976158142</v>
      </c>
      <c r="Y45" s="159">
        <v>0.1062999963760376</v>
      </c>
      <c r="Z45" s="159">
        <v>0.1062999963760376</v>
      </c>
      <c r="AA45" s="159">
        <v>0.1062999963760376</v>
      </c>
      <c r="AB45" s="159">
        <v>0.1062999963760376</v>
      </c>
      <c r="AC45" s="159">
        <v>0.1062999963760376</v>
      </c>
      <c r="AD45" s="159">
        <v>0.10620000213384628</v>
      </c>
      <c r="AE45" s="159">
        <v>0.10610000044107437</v>
      </c>
      <c r="AF45" s="159">
        <v>0.10610000044107437</v>
      </c>
      <c r="AG45" s="157"/>
      <c r="AH45" s="157"/>
      <c r="AI45" s="157"/>
      <c r="AJ45" s="157"/>
      <c r="AK45" s="157"/>
      <c r="AL45" s="157"/>
      <c r="AM45" s="157"/>
      <c r="AN45" s="157"/>
      <c r="AO45" s="157"/>
      <c r="AP45" s="157"/>
      <c r="AQ45" s="157"/>
      <c r="AR45" s="157"/>
      <c r="AS45" s="157"/>
      <c r="AT45" s="157"/>
      <c r="AU45" s="157"/>
      <c r="AV45" s="157"/>
      <c r="AW45" s="157"/>
      <c r="AX45" s="157"/>
      <c r="AY45" s="157"/>
      <c r="AZ45" s="157"/>
      <c r="BA45" s="157"/>
      <c r="BB45" s="157"/>
      <c r="BC45" s="157"/>
      <c r="BD45" s="157"/>
      <c r="BE45" s="157"/>
      <c r="BF45" s="157"/>
      <c r="BG45" s="157"/>
      <c r="BH45" s="157"/>
      <c r="BI45" s="157"/>
      <c r="BJ45" s="157"/>
      <c r="BK45" s="157"/>
    </row>
    <row r="46" spans="1:65" x14ac:dyDescent="0.2">
      <c r="A46" s="135" t="s">
        <v>49</v>
      </c>
      <c r="B46" s="159">
        <v>0.10639999806880951</v>
      </c>
      <c r="C46" s="159">
        <v>0.10599999874830246</v>
      </c>
      <c r="D46" s="159">
        <v>0.10589999705553055</v>
      </c>
      <c r="E46" s="159">
        <v>0.10840000212192535</v>
      </c>
      <c r="F46" s="159">
        <v>0.10869999974966049</v>
      </c>
      <c r="G46" s="159">
        <v>0.10819999873638153</v>
      </c>
      <c r="H46" s="159">
        <v>0.10819999873638153</v>
      </c>
      <c r="I46" s="159">
        <v>0.1080000028014183</v>
      </c>
      <c r="J46" s="159">
        <v>0.10779999941587448</v>
      </c>
      <c r="K46" s="159">
        <v>0.1080000028014183</v>
      </c>
      <c r="L46" s="159">
        <v>0.10830000042915344</v>
      </c>
      <c r="M46" s="159">
        <v>0.1080000028014183</v>
      </c>
      <c r="N46" s="159">
        <v>0.10809999704360962</v>
      </c>
      <c r="O46" s="159">
        <v>0.10779999941587448</v>
      </c>
      <c r="P46" s="159">
        <v>0.10740000009536743</v>
      </c>
      <c r="Q46" s="159">
        <v>0.10760000348091125</v>
      </c>
      <c r="R46" s="159">
        <v>0.10760000348091125</v>
      </c>
      <c r="S46" s="159">
        <v>0.1080000028014183</v>
      </c>
      <c r="T46" s="159">
        <v>0.10750000178813934</v>
      </c>
      <c r="U46" s="159">
        <v>0.10750000178813934</v>
      </c>
      <c r="V46" s="159">
        <f t="shared" si="0"/>
        <v>0.1075500026345253</v>
      </c>
      <c r="W46" s="159">
        <v>0.10760000348091125</v>
      </c>
      <c r="X46" s="159">
        <v>0.10779999941587448</v>
      </c>
      <c r="Y46" s="159">
        <v>0.10740000009536743</v>
      </c>
      <c r="Z46" s="159">
        <v>0.10750000178813934</v>
      </c>
      <c r="AA46" s="159">
        <v>0.10920000076293945</v>
      </c>
      <c r="AB46" s="159">
        <v>0.10830000042915344</v>
      </c>
      <c r="AC46" s="159">
        <v>0.10909999907016754</v>
      </c>
      <c r="AD46" s="159">
        <v>0.10819999873638153</v>
      </c>
      <c r="AE46" s="159">
        <v>0.10740000009536743</v>
      </c>
      <c r="AF46" s="159">
        <v>0.10849999636411667</v>
      </c>
      <c r="AG46" s="157"/>
      <c r="AH46" s="157"/>
      <c r="AI46" s="157"/>
      <c r="AJ46" s="157"/>
      <c r="AK46" s="157"/>
      <c r="AL46" s="157"/>
      <c r="AM46" s="157"/>
      <c r="AN46" s="157"/>
      <c r="AO46" s="157"/>
      <c r="AP46" s="157"/>
      <c r="AQ46" s="157"/>
      <c r="AR46" s="157"/>
      <c r="AS46" s="157"/>
      <c r="AT46" s="157"/>
      <c r="AU46" s="157"/>
      <c r="AV46" s="157"/>
      <c r="AW46" s="157"/>
      <c r="AX46" s="157"/>
      <c r="AY46" s="157"/>
      <c r="AZ46" s="157"/>
      <c r="BA46" s="157"/>
      <c r="BB46" s="157"/>
      <c r="BC46" s="157"/>
      <c r="BD46" s="157"/>
      <c r="BE46" s="157"/>
      <c r="BF46" s="157"/>
      <c r="BG46" s="157"/>
      <c r="BH46" s="157"/>
      <c r="BI46" s="157"/>
      <c r="BJ46" s="157"/>
      <c r="BK46" s="157"/>
    </row>
    <row r="47" spans="1:65" x14ac:dyDescent="0.2">
      <c r="A47" s="135" t="s">
        <v>50</v>
      </c>
      <c r="B47" s="159">
        <v>0.10580000281333923</v>
      </c>
      <c r="C47" s="159">
        <v>0.10570000112056732</v>
      </c>
      <c r="D47" s="159">
        <v>0.10570000112056732</v>
      </c>
      <c r="E47" s="159">
        <v>0.10580000281333923</v>
      </c>
      <c r="F47" s="159">
        <v>0.1054999977350235</v>
      </c>
      <c r="G47" s="159">
        <v>0.10559999942779541</v>
      </c>
      <c r="H47" s="159">
        <v>0.10540000349283218</v>
      </c>
      <c r="I47" s="159">
        <v>0.10530000180006027</v>
      </c>
      <c r="J47" s="159">
        <v>0.10520000010728836</v>
      </c>
      <c r="K47" s="159">
        <v>0.10520000010728836</v>
      </c>
      <c r="L47" s="159">
        <v>0.10520000010728836</v>
      </c>
      <c r="M47" s="159">
        <v>0.10509999841451645</v>
      </c>
      <c r="N47" s="159">
        <v>0.10509999841451645</v>
      </c>
      <c r="O47" s="159">
        <v>0.10499999672174454</v>
      </c>
      <c r="P47" s="159">
        <v>0.10480000078678131</v>
      </c>
      <c r="Q47" s="159">
        <v>0.10480000078678131</v>
      </c>
      <c r="R47" s="159">
        <v>0.10480000078678131</v>
      </c>
      <c r="S47" s="159">
        <v>0.1046999990940094</v>
      </c>
      <c r="T47" s="159">
        <v>0.1046999990940094</v>
      </c>
      <c r="U47" s="159">
        <v>0.1046999990940094</v>
      </c>
      <c r="V47" s="159">
        <f t="shared" si="0"/>
        <v>0.10464999824762344</v>
      </c>
      <c r="W47" s="159">
        <v>0.10459999740123749</v>
      </c>
      <c r="X47" s="159">
        <v>0.10459999740123749</v>
      </c>
      <c r="Y47" s="159">
        <v>0.10450000315904617</v>
      </c>
      <c r="Z47" s="159">
        <v>0.10450000315904617</v>
      </c>
      <c r="AA47" s="159">
        <v>0.10429999977350235</v>
      </c>
      <c r="AB47" s="159">
        <v>0.10429999977350235</v>
      </c>
      <c r="AC47" s="159">
        <v>0.10429999977350235</v>
      </c>
      <c r="AD47" s="159">
        <v>0.10429999977350235</v>
      </c>
      <c r="AE47" s="159">
        <v>0.10419999808073044</v>
      </c>
      <c r="AF47" s="159">
        <v>0.10419999808073044</v>
      </c>
      <c r="AG47" s="157"/>
      <c r="AH47" s="157"/>
      <c r="AI47" s="157"/>
      <c r="AJ47" s="157"/>
      <c r="AK47" s="157"/>
      <c r="AL47" s="157"/>
      <c r="AM47" s="157"/>
      <c r="AN47" s="157"/>
      <c r="AO47" s="157"/>
      <c r="AP47" s="157"/>
      <c r="AQ47" s="157"/>
      <c r="AR47" s="157"/>
      <c r="AS47" s="157"/>
      <c r="AT47" s="157"/>
      <c r="AU47" s="157"/>
      <c r="AV47" s="157"/>
      <c r="AW47" s="157"/>
      <c r="AX47" s="157"/>
      <c r="AY47" s="157"/>
      <c r="AZ47" s="157"/>
      <c r="BA47" s="157"/>
      <c r="BB47" s="157"/>
      <c r="BC47" s="157"/>
      <c r="BD47" s="157"/>
      <c r="BE47" s="157"/>
      <c r="BF47" s="157"/>
      <c r="BG47" s="157"/>
      <c r="BH47" s="157"/>
      <c r="BI47" s="157"/>
      <c r="BJ47" s="157"/>
      <c r="BK47" s="157"/>
    </row>
    <row r="48" spans="1:65" x14ac:dyDescent="0.2">
      <c r="A48" s="135" t="s">
        <v>51</v>
      </c>
      <c r="B48" s="159">
        <v>0.10999999940395355</v>
      </c>
      <c r="C48" s="159">
        <v>0.10859999805688858</v>
      </c>
      <c r="D48" s="159">
        <v>0.1088000014424324</v>
      </c>
      <c r="E48" s="159">
        <v>0.10869999974966049</v>
      </c>
      <c r="F48" s="159">
        <v>0.10859999805688858</v>
      </c>
      <c r="G48" s="159">
        <v>0.10890000313520432</v>
      </c>
      <c r="H48" s="159">
        <v>0.10849999636411667</v>
      </c>
      <c r="I48" s="159">
        <v>0.10830000042915344</v>
      </c>
      <c r="J48" s="159">
        <v>0.10840000212192535</v>
      </c>
      <c r="K48" s="159">
        <v>0.10809999704360962</v>
      </c>
      <c r="L48" s="159">
        <v>0.10869999974966049</v>
      </c>
      <c r="M48" s="159">
        <v>0.10849999636411667</v>
      </c>
      <c r="N48" s="159">
        <v>0.10859999805688858</v>
      </c>
      <c r="O48" s="159">
        <v>0.10849999636411667</v>
      </c>
      <c r="P48" s="159">
        <v>0.1080000028014183</v>
      </c>
      <c r="Q48" s="159">
        <v>0.10769999772310257</v>
      </c>
      <c r="R48" s="159">
        <v>0.10769999772310257</v>
      </c>
      <c r="S48" s="159">
        <v>0.1080000028014183</v>
      </c>
      <c r="T48" s="159">
        <v>0.10769999772310257</v>
      </c>
      <c r="U48" s="159">
        <v>0.10809999704360962</v>
      </c>
      <c r="V48" s="159">
        <f t="shared" si="0"/>
        <v>0.10794999822974205</v>
      </c>
      <c r="W48" s="159">
        <v>0.10779999941587448</v>
      </c>
      <c r="X48" s="159">
        <v>0.10740000009536743</v>
      </c>
      <c r="Y48" s="159">
        <v>0.10750000178813934</v>
      </c>
      <c r="Z48" s="159">
        <v>0.10750000178813934</v>
      </c>
      <c r="AA48" s="159">
        <v>0.10620000213384628</v>
      </c>
      <c r="AB48" s="159">
        <v>0.10670000314712524</v>
      </c>
      <c r="AC48" s="159">
        <v>0.10620000213384628</v>
      </c>
      <c r="AD48" s="159">
        <v>0.10700000077486038</v>
      </c>
      <c r="AE48" s="159">
        <v>0.10679999738931656</v>
      </c>
      <c r="AF48" s="159">
        <v>0.10639999806880951</v>
      </c>
      <c r="AG48" s="157"/>
      <c r="AH48" s="157"/>
      <c r="AI48" s="157"/>
      <c r="AJ48" s="157"/>
      <c r="AK48" s="157"/>
      <c r="AL48" s="157"/>
      <c r="AM48" s="157"/>
      <c r="AN48" s="157"/>
      <c r="AO48" s="157"/>
      <c r="AP48" s="157"/>
      <c r="AQ48" s="157"/>
      <c r="AR48" s="157"/>
      <c r="AS48" s="157"/>
      <c r="AT48" s="157"/>
      <c r="AU48" s="157"/>
      <c r="AV48" s="157"/>
      <c r="AW48" s="157"/>
      <c r="AX48" s="157"/>
      <c r="AY48" s="157"/>
      <c r="AZ48" s="157"/>
      <c r="BA48" s="157"/>
      <c r="BB48" s="157"/>
      <c r="BC48" s="157"/>
      <c r="BD48" s="157"/>
      <c r="BE48" s="157"/>
      <c r="BF48" s="157"/>
      <c r="BG48" s="157"/>
      <c r="BH48" s="157"/>
      <c r="BI48" s="157"/>
      <c r="BJ48" s="157"/>
      <c r="BK48" s="157"/>
    </row>
    <row r="49" spans="1:63" x14ac:dyDescent="0.2">
      <c r="A49" s="135" t="s">
        <v>52</v>
      </c>
      <c r="B49" s="159">
        <v>0.10649999976158142</v>
      </c>
      <c r="C49" s="159">
        <v>0.10620000213384628</v>
      </c>
      <c r="D49" s="159">
        <v>0.10610000044107437</v>
      </c>
      <c r="E49" s="159">
        <v>0.10639999806880951</v>
      </c>
      <c r="F49" s="159">
        <v>0.10620000213384628</v>
      </c>
      <c r="G49" s="159">
        <v>0.10620000213384628</v>
      </c>
      <c r="H49" s="159">
        <v>0.10610000044107437</v>
      </c>
      <c r="I49" s="159">
        <v>0.10589999705553055</v>
      </c>
      <c r="J49" s="159">
        <v>0.10610000044107437</v>
      </c>
      <c r="K49" s="159">
        <v>0.10589999705553055</v>
      </c>
      <c r="L49" s="159">
        <v>0.10589999705553055</v>
      </c>
      <c r="M49" s="159">
        <v>0.10570000112056732</v>
      </c>
      <c r="N49" s="159">
        <v>0.10570000112056732</v>
      </c>
      <c r="O49" s="159">
        <v>0.10559999942779541</v>
      </c>
      <c r="P49" s="159">
        <v>0.10540000349283218</v>
      </c>
      <c r="Q49" s="159">
        <v>0.10540000349283218</v>
      </c>
      <c r="R49" s="159">
        <v>0.10540000349283218</v>
      </c>
      <c r="S49" s="159">
        <v>0.10530000180006027</v>
      </c>
      <c r="T49" s="159">
        <v>0.10530000180006027</v>
      </c>
      <c r="U49" s="159">
        <v>0.10530000180006027</v>
      </c>
      <c r="V49" s="159">
        <f t="shared" si="0"/>
        <v>0.10525000095367432</v>
      </c>
      <c r="W49" s="159">
        <v>0.10520000010728836</v>
      </c>
      <c r="X49" s="159">
        <v>0.10509999841451645</v>
      </c>
      <c r="Y49" s="159">
        <v>0.10499999672174454</v>
      </c>
      <c r="Z49" s="159">
        <v>0.10520000010728836</v>
      </c>
      <c r="AA49" s="159">
        <v>0.10490000247955322</v>
      </c>
      <c r="AB49" s="159">
        <v>0.10490000247955322</v>
      </c>
      <c r="AC49" s="159">
        <v>0.10490000247955322</v>
      </c>
      <c r="AD49" s="159">
        <v>0.10480000078678131</v>
      </c>
      <c r="AE49" s="159">
        <v>0.10499999672174454</v>
      </c>
      <c r="AF49" s="159">
        <v>0.10480000078678131</v>
      </c>
      <c r="AG49" s="157"/>
      <c r="AH49" s="157"/>
      <c r="AI49" s="157"/>
      <c r="AJ49" s="157"/>
      <c r="AK49" s="157"/>
      <c r="AL49" s="157"/>
      <c r="AM49" s="157"/>
      <c r="AN49" s="157"/>
      <c r="AO49" s="157"/>
      <c r="AP49" s="157"/>
      <c r="AQ49" s="157"/>
      <c r="AR49" s="157"/>
      <c r="AS49" s="157"/>
      <c r="AT49" s="157"/>
      <c r="AU49" s="157"/>
      <c r="AV49" s="157"/>
      <c r="AW49" s="157"/>
      <c r="AX49" s="157"/>
      <c r="AY49" s="157"/>
      <c r="AZ49" s="157"/>
      <c r="BA49" s="157"/>
      <c r="BB49" s="157"/>
      <c r="BC49" s="157"/>
      <c r="BD49" s="157"/>
      <c r="BE49" s="157"/>
      <c r="BF49" s="157"/>
      <c r="BG49" s="157"/>
      <c r="BH49" s="157"/>
      <c r="BI49" s="157"/>
      <c r="BJ49" s="157"/>
      <c r="BK49" s="157"/>
    </row>
    <row r="50" spans="1:63" x14ac:dyDescent="0.2">
      <c r="A50" s="135" t="s">
        <v>53</v>
      </c>
      <c r="B50" s="159">
        <v>0.10679999738931656</v>
      </c>
      <c r="C50" s="159">
        <v>0.10660000145435333</v>
      </c>
      <c r="D50" s="159">
        <v>0.10649999976158142</v>
      </c>
      <c r="E50" s="159">
        <v>0.10649999976158142</v>
      </c>
      <c r="F50" s="159">
        <v>0.1062999963760376</v>
      </c>
      <c r="G50" s="159">
        <v>0.10620000213384628</v>
      </c>
      <c r="H50" s="159">
        <v>0.10610000044107437</v>
      </c>
      <c r="I50" s="159">
        <v>0.10599999874830246</v>
      </c>
      <c r="J50" s="159">
        <v>0.10589999705553055</v>
      </c>
      <c r="K50" s="159">
        <v>0.10589999705553055</v>
      </c>
      <c r="L50" s="159">
        <v>0.10589999705553055</v>
      </c>
      <c r="M50" s="159">
        <v>0.10580000281333923</v>
      </c>
      <c r="N50" s="159">
        <v>0.10570000112056732</v>
      </c>
      <c r="O50" s="159">
        <v>0.10559999942779541</v>
      </c>
      <c r="P50" s="159">
        <v>0.10540000349283218</v>
      </c>
      <c r="Q50" s="159">
        <v>0.10540000349283218</v>
      </c>
      <c r="R50" s="159">
        <v>0.10530000180006027</v>
      </c>
      <c r="S50" s="159">
        <v>0.10520000010728836</v>
      </c>
      <c r="T50" s="159">
        <v>0.10520000010728836</v>
      </c>
      <c r="U50" s="159">
        <v>0.10520000010728836</v>
      </c>
      <c r="V50" s="159">
        <f t="shared" si="0"/>
        <v>0.10509999841451645</v>
      </c>
      <c r="W50" s="159">
        <v>0.10499999672174454</v>
      </c>
      <c r="X50" s="159">
        <v>0.10499999672174454</v>
      </c>
      <c r="Y50" s="159">
        <v>0.10480000078678131</v>
      </c>
      <c r="Z50" s="159">
        <v>0.10480000078678131</v>
      </c>
      <c r="AA50" s="159">
        <v>0.10459999740123749</v>
      </c>
      <c r="AB50" s="159">
        <v>0.10459999740123749</v>
      </c>
      <c r="AC50" s="159">
        <v>0.10459999740123749</v>
      </c>
      <c r="AD50" s="159">
        <v>0.10450000315904617</v>
      </c>
      <c r="AE50" s="159">
        <v>0.10440000146627426</v>
      </c>
      <c r="AF50" s="159">
        <v>0.10440000146627426</v>
      </c>
      <c r="AG50" s="157"/>
      <c r="AH50" s="157"/>
      <c r="AI50" s="157"/>
      <c r="AJ50" s="157"/>
      <c r="AK50" s="157"/>
      <c r="AL50" s="157"/>
      <c r="AM50" s="157"/>
      <c r="AN50" s="157"/>
      <c r="AO50" s="157"/>
      <c r="AP50" s="157"/>
      <c r="AQ50" s="157"/>
      <c r="AR50" s="157"/>
      <c r="AS50" s="157"/>
      <c r="AT50" s="157"/>
      <c r="AU50" s="157"/>
      <c r="AV50" s="157"/>
      <c r="AW50" s="157"/>
      <c r="AX50" s="157"/>
      <c r="AY50" s="157"/>
      <c r="AZ50" s="157"/>
      <c r="BA50" s="157"/>
      <c r="BB50" s="157"/>
      <c r="BC50" s="157"/>
      <c r="BD50" s="157"/>
      <c r="BE50" s="157"/>
      <c r="BF50" s="157"/>
      <c r="BG50" s="157"/>
      <c r="BH50" s="157"/>
      <c r="BI50" s="157"/>
      <c r="BJ50" s="157"/>
      <c r="BK50" s="157"/>
    </row>
    <row r="51" spans="1:63" x14ac:dyDescent="0.2">
      <c r="A51" s="135" t="s">
        <v>54</v>
      </c>
      <c r="B51" s="159">
        <v>0.10620000213384628</v>
      </c>
      <c r="C51" s="159">
        <v>0.10610000044107437</v>
      </c>
      <c r="D51" s="159">
        <v>0.10599999874830246</v>
      </c>
      <c r="E51" s="159">
        <v>0.10610000044107437</v>
      </c>
      <c r="F51" s="159">
        <v>0.10589999705553055</v>
      </c>
      <c r="G51" s="159">
        <v>0.10599999874830246</v>
      </c>
      <c r="H51" s="159">
        <v>0.10589999705553055</v>
      </c>
      <c r="I51" s="159">
        <v>0.10580000281333923</v>
      </c>
      <c r="J51" s="159">
        <v>0.10570000112056732</v>
      </c>
      <c r="K51" s="159">
        <v>0.10570000112056732</v>
      </c>
      <c r="L51" s="159">
        <v>0.10580000281333923</v>
      </c>
      <c r="M51" s="159">
        <v>0.10570000112056732</v>
      </c>
      <c r="N51" s="159">
        <v>0.10559999942779541</v>
      </c>
      <c r="O51" s="159">
        <v>0.10540000349283218</v>
      </c>
      <c r="P51" s="159">
        <v>0.10530000180006027</v>
      </c>
      <c r="Q51" s="159">
        <v>0.10530000180006027</v>
      </c>
      <c r="R51" s="159">
        <v>0.10520000010728836</v>
      </c>
      <c r="S51" s="159">
        <v>0.10530000180006027</v>
      </c>
      <c r="T51" s="159">
        <v>0.10530000180006027</v>
      </c>
      <c r="U51" s="159">
        <v>0.10540000349283218</v>
      </c>
      <c r="V51" s="159">
        <f t="shared" si="0"/>
        <v>0.10530000180006027</v>
      </c>
      <c r="W51" s="159">
        <v>0.10520000010728836</v>
      </c>
      <c r="X51" s="159">
        <v>0.10520000010728836</v>
      </c>
      <c r="Y51" s="159">
        <v>0.10499999672174454</v>
      </c>
      <c r="Z51" s="159">
        <v>0.10490000247955322</v>
      </c>
      <c r="AA51" s="159">
        <v>0.10490000247955322</v>
      </c>
      <c r="AB51" s="159">
        <v>0.10480000078678131</v>
      </c>
      <c r="AC51" s="159">
        <v>0.1046999990940094</v>
      </c>
      <c r="AD51" s="159">
        <v>0.10480000078678131</v>
      </c>
      <c r="AE51" s="159">
        <v>0.1046999990940094</v>
      </c>
      <c r="AF51" s="159">
        <v>0.10480000078678131</v>
      </c>
      <c r="AG51" s="157"/>
      <c r="AH51" s="157"/>
      <c r="AI51" s="157"/>
      <c r="AJ51" s="157"/>
      <c r="AK51" s="157"/>
      <c r="AL51" s="157"/>
      <c r="AM51" s="157"/>
      <c r="AN51" s="157"/>
      <c r="AO51" s="157"/>
      <c r="AP51" s="157"/>
      <c r="AQ51" s="157"/>
      <c r="AR51" s="157"/>
      <c r="AS51" s="157"/>
      <c r="AT51" s="157"/>
      <c r="AU51" s="157"/>
      <c r="AV51" s="157"/>
      <c r="AW51" s="157"/>
      <c r="AX51" s="157"/>
      <c r="AY51" s="157"/>
      <c r="AZ51" s="157"/>
      <c r="BA51" s="157"/>
      <c r="BB51" s="157"/>
      <c r="BC51" s="157"/>
      <c r="BD51" s="157"/>
      <c r="BE51" s="157"/>
      <c r="BF51" s="157"/>
      <c r="BG51" s="157"/>
      <c r="BH51" s="157"/>
      <c r="BI51" s="157"/>
      <c r="BJ51" s="157"/>
      <c r="BK51" s="157"/>
    </row>
    <row r="52" spans="1:63" x14ac:dyDescent="0.2">
      <c r="A52" s="135" t="s">
        <v>55</v>
      </c>
      <c r="B52" s="159">
        <v>0.10729999840259552</v>
      </c>
      <c r="C52" s="159">
        <v>0.10700000077486038</v>
      </c>
      <c r="D52" s="159">
        <v>0.10719999670982361</v>
      </c>
      <c r="E52" s="159">
        <v>0.10740000009536743</v>
      </c>
      <c r="F52" s="159">
        <v>0.10790000110864639</v>
      </c>
      <c r="G52" s="159">
        <v>0.1088000014424324</v>
      </c>
      <c r="H52" s="159">
        <v>0.11029999703168869</v>
      </c>
      <c r="I52" s="159">
        <v>0.11289999634027481</v>
      </c>
      <c r="J52" s="159">
        <v>0.11710000038146973</v>
      </c>
      <c r="K52" s="159">
        <v>0.12409999966621399</v>
      </c>
      <c r="L52" s="159">
        <v>0.13549999892711639</v>
      </c>
      <c r="M52" s="159">
        <v>0.15170000493526459</v>
      </c>
      <c r="N52" s="159">
        <v>0.17409999668598175</v>
      </c>
      <c r="O52" s="159">
        <v>0.20180000364780426</v>
      </c>
      <c r="P52" s="159">
        <v>0.23530000448226929</v>
      </c>
      <c r="Q52" s="159">
        <v>0.27500000596046448</v>
      </c>
      <c r="R52" s="159">
        <v>0.32120001316070557</v>
      </c>
      <c r="S52" s="159">
        <v>0.36809998750686646</v>
      </c>
      <c r="T52" s="159">
        <v>0.40860000252723694</v>
      </c>
      <c r="U52" s="159">
        <v>0.44580000638961792</v>
      </c>
      <c r="V52" s="159">
        <f t="shared" si="0"/>
        <v>0.46100001037120819</v>
      </c>
      <c r="W52" s="159">
        <v>0.47620001435279846</v>
      </c>
      <c r="X52" s="159">
        <v>0.48410001397132874</v>
      </c>
      <c r="Y52" s="159">
        <v>0.48849999904632568</v>
      </c>
      <c r="Z52" s="159">
        <v>0.49059998989105225</v>
      </c>
      <c r="AA52" s="159">
        <v>0.49520000815391541</v>
      </c>
      <c r="AB52" s="159">
        <v>0.50220000743865967</v>
      </c>
      <c r="AC52" s="159">
        <v>0.50950002670288086</v>
      </c>
      <c r="AD52" s="159">
        <v>0.51929998397827148</v>
      </c>
      <c r="AE52" s="159">
        <v>0.53090000152587891</v>
      </c>
      <c r="AF52" s="159">
        <v>0.54500001668930054</v>
      </c>
      <c r="AG52" s="157"/>
      <c r="AH52" s="157"/>
      <c r="AI52" s="157"/>
      <c r="AJ52" s="157"/>
      <c r="AK52" s="157"/>
      <c r="AL52" s="157"/>
      <c r="AM52" s="157"/>
      <c r="AN52" s="157"/>
      <c r="AO52" s="157"/>
      <c r="AP52" s="157"/>
      <c r="AQ52" s="157"/>
      <c r="AR52" s="157"/>
      <c r="AS52" s="157"/>
      <c r="AT52" s="157"/>
      <c r="AU52" s="157"/>
      <c r="AV52" s="157"/>
      <c r="AW52" s="157"/>
      <c r="AX52" s="157"/>
      <c r="AY52" s="157"/>
      <c r="AZ52" s="157"/>
      <c r="BA52" s="157"/>
      <c r="BB52" s="157"/>
      <c r="BC52" s="157"/>
      <c r="BD52" s="157"/>
      <c r="BE52" s="157"/>
      <c r="BF52" s="157"/>
      <c r="BG52" s="157"/>
      <c r="BH52" s="157"/>
      <c r="BI52" s="157"/>
      <c r="BJ52" s="157"/>
      <c r="BK52" s="157"/>
    </row>
    <row r="53" spans="1:63" x14ac:dyDescent="0.2">
      <c r="A53" s="135" t="s">
        <v>56</v>
      </c>
      <c r="B53" s="159">
        <v>0.10700000077486038</v>
      </c>
      <c r="C53" s="159">
        <v>0.10689999908208847</v>
      </c>
      <c r="D53" s="159">
        <v>0.10710000246763229</v>
      </c>
      <c r="E53" s="159">
        <v>0.10769999772310257</v>
      </c>
      <c r="F53" s="159">
        <v>0.10760000348091125</v>
      </c>
      <c r="G53" s="159">
        <v>0.10830000042915344</v>
      </c>
      <c r="H53" s="159">
        <v>0.10930000245571136</v>
      </c>
      <c r="I53" s="159">
        <v>0.1111999973654747</v>
      </c>
      <c r="J53" s="159">
        <v>0.11420000344514847</v>
      </c>
      <c r="K53" s="159">
        <v>0.11949999630451202</v>
      </c>
      <c r="L53" s="159">
        <v>0.12809999287128448</v>
      </c>
      <c r="M53" s="159">
        <v>0.14059999585151672</v>
      </c>
      <c r="N53" s="159">
        <v>0.15880000591278076</v>
      </c>
      <c r="O53" s="159">
        <v>0.18219999969005585</v>
      </c>
      <c r="P53" s="159">
        <v>0.21070000529289246</v>
      </c>
      <c r="Q53" s="159">
        <v>0.24580000340938568</v>
      </c>
      <c r="R53" s="159">
        <v>0.28769999742507935</v>
      </c>
      <c r="S53" s="159">
        <v>0.33579999208450317</v>
      </c>
      <c r="T53" s="159">
        <v>0.38330000638961792</v>
      </c>
      <c r="U53" s="159">
        <v>0.4221000075340271</v>
      </c>
      <c r="V53" s="159">
        <f t="shared" si="0"/>
        <v>0.44950000941753387</v>
      </c>
      <c r="W53" s="159">
        <v>0.47690001130104065</v>
      </c>
      <c r="X53" s="159">
        <v>0.48710000514984131</v>
      </c>
      <c r="Y53" s="159">
        <v>0.49549999833106995</v>
      </c>
      <c r="Z53" s="159">
        <v>0.49900001287460327</v>
      </c>
      <c r="AA53" s="159">
        <v>0.50099998712539673</v>
      </c>
      <c r="AB53" s="159">
        <v>0.50550001859664917</v>
      </c>
      <c r="AC53" s="159">
        <v>0.51029998064041138</v>
      </c>
      <c r="AD53" s="159">
        <v>0.51639997959136963</v>
      </c>
      <c r="AE53" s="159">
        <v>0.52689999341964722</v>
      </c>
      <c r="AF53" s="159">
        <v>0.53979998826980591</v>
      </c>
      <c r="AG53" s="157"/>
      <c r="AH53" s="157"/>
      <c r="AI53" s="157"/>
      <c r="AJ53" s="157"/>
      <c r="AK53" s="157"/>
      <c r="AL53" s="157"/>
      <c r="AM53" s="157"/>
      <c r="AN53" s="157"/>
      <c r="AO53" s="157"/>
      <c r="AP53" s="157"/>
      <c r="AQ53" s="157"/>
      <c r="AR53" s="157"/>
      <c r="AS53" s="157"/>
      <c r="AT53" s="157"/>
      <c r="AU53" s="157"/>
      <c r="AV53" s="157"/>
      <c r="AW53" s="157"/>
      <c r="AX53" s="157"/>
      <c r="AY53" s="157"/>
      <c r="AZ53" s="157"/>
      <c r="BA53" s="157"/>
      <c r="BB53" s="157"/>
      <c r="BC53" s="157"/>
      <c r="BD53" s="157"/>
      <c r="BE53" s="157"/>
      <c r="BF53" s="157"/>
      <c r="BG53" s="157"/>
      <c r="BH53" s="157"/>
      <c r="BI53" s="157"/>
      <c r="BJ53" s="157"/>
      <c r="BK53" s="157"/>
    </row>
    <row r="54" spans="1:63" x14ac:dyDescent="0.2">
      <c r="A54" s="135" t="s">
        <v>57</v>
      </c>
      <c r="B54" s="159">
        <v>0.1054999977350235</v>
      </c>
      <c r="C54" s="159">
        <v>0.1054999977350235</v>
      </c>
      <c r="D54" s="159">
        <v>0.10580000281333923</v>
      </c>
      <c r="E54" s="159">
        <v>0.10599999874830246</v>
      </c>
      <c r="F54" s="159">
        <v>0.10639999806880951</v>
      </c>
      <c r="G54" s="159">
        <v>0.10700000077486038</v>
      </c>
      <c r="H54" s="159">
        <v>0.10769999772310257</v>
      </c>
      <c r="I54" s="159">
        <v>0.10840000212192535</v>
      </c>
      <c r="J54" s="159">
        <v>0.10930000245571136</v>
      </c>
      <c r="K54" s="159">
        <v>0.11060000211000443</v>
      </c>
      <c r="L54" s="159">
        <v>0.11249999701976776</v>
      </c>
      <c r="M54" s="159">
        <v>0.11490000039339066</v>
      </c>
      <c r="N54" s="159">
        <v>0.1185000017285347</v>
      </c>
      <c r="O54" s="159">
        <v>0.12330000102519989</v>
      </c>
      <c r="P54" s="159">
        <v>0.13109999895095825</v>
      </c>
      <c r="Q54" s="159">
        <v>0.14309999346733093</v>
      </c>
      <c r="R54" s="159">
        <v>0.16200000047683716</v>
      </c>
      <c r="S54" s="159">
        <v>0.18770000338554382</v>
      </c>
      <c r="T54" s="159">
        <v>0.22050000727176666</v>
      </c>
      <c r="U54" s="159">
        <v>0.25990000367164612</v>
      </c>
      <c r="V54" s="159">
        <f t="shared" si="0"/>
        <v>0.3015500009059906</v>
      </c>
      <c r="W54" s="159">
        <v>0.34319999814033508</v>
      </c>
      <c r="X54" s="159">
        <v>0.38299998641014099</v>
      </c>
      <c r="Y54" s="159">
        <v>0.42080000042915344</v>
      </c>
      <c r="Z54" s="159">
        <v>0.44580000638961792</v>
      </c>
      <c r="AA54" s="159">
        <v>0.45770001411437988</v>
      </c>
      <c r="AB54" s="159">
        <v>0.4666999876499176</v>
      </c>
      <c r="AC54" s="159">
        <v>0.47110000252723694</v>
      </c>
      <c r="AD54" s="159">
        <v>0.47499999403953552</v>
      </c>
      <c r="AE54" s="159">
        <v>0.48210000991821289</v>
      </c>
      <c r="AF54" s="159">
        <v>0.491100013256073</v>
      </c>
      <c r="AG54" s="157"/>
      <c r="AH54" s="157"/>
      <c r="AI54" s="157"/>
      <c r="AJ54" s="157"/>
      <c r="AK54" s="157"/>
      <c r="AL54" s="157"/>
      <c r="AM54" s="157"/>
      <c r="AN54" s="157"/>
      <c r="AO54" s="157"/>
      <c r="AP54" s="157"/>
      <c r="AQ54" s="157"/>
      <c r="AR54" s="157"/>
      <c r="AS54" s="157"/>
      <c r="AT54" s="157"/>
      <c r="AU54" s="157"/>
      <c r="AV54" s="157"/>
      <c r="AW54" s="157"/>
      <c r="AX54" s="157"/>
      <c r="AY54" s="157"/>
      <c r="AZ54" s="157"/>
      <c r="BA54" s="157"/>
      <c r="BB54" s="157"/>
      <c r="BC54" s="157"/>
      <c r="BD54" s="157"/>
      <c r="BE54" s="157"/>
      <c r="BF54" s="157"/>
      <c r="BG54" s="157"/>
      <c r="BH54" s="157"/>
      <c r="BI54" s="157"/>
      <c r="BJ54" s="157"/>
      <c r="BK54" s="157"/>
    </row>
    <row r="55" spans="1:63" x14ac:dyDescent="0.2">
      <c r="A55" s="135" t="s">
        <v>58</v>
      </c>
      <c r="B55" s="159">
        <v>0.10440000146627426</v>
      </c>
      <c r="C55" s="159">
        <v>0.10450000315904617</v>
      </c>
      <c r="D55" s="159">
        <v>0.1046999990940094</v>
      </c>
      <c r="E55" s="159">
        <v>0.10499999672174454</v>
      </c>
      <c r="F55" s="159">
        <v>0.10520000010728836</v>
      </c>
      <c r="G55" s="159">
        <v>0.10559999942779541</v>
      </c>
      <c r="H55" s="159">
        <v>0.10599999874830246</v>
      </c>
      <c r="I55" s="159">
        <v>0.10649999976158142</v>
      </c>
      <c r="J55" s="159">
        <v>0.10689999908208847</v>
      </c>
      <c r="K55" s="159">
        <v>0.10779999941587448</v>
      </c>
      <c r="L55" s="159">
        <v>0.1088000014424324</v>
      </c>
      <c r="M55" s="159">
        <v>0.10989999771118164</v>
      </c>
      <c r="N55" s="159">
        <v>0.11169999837875366</v>
      </c>
      <c r="O55" s="159">
        <v>0.11410000175237656</v>
      </c>
      <c r="P55" s="159">
        <v>0.1177000030875206</v>
      </c>
      <c r="Q55" s="159">
        <v>0.12370000034570694</v>
      </c>
      <c r="R55" s="159">
        <v>0.13300000131130219</v>
      </c>
      <c r="S55" s="159">
        <v>0.14740000665187836</v>
      </c>
      <c r="T55" s="159">
        <v>0.16850000619888306</v>
      </c>
      <c r="U55" s="159">
        <v>0.19670000672340393</v>
      </c>
      <c r="V55" s="159">
        <f t="shared" si="0"/>
        <v>0.23145000636577606</v>
      </c>
      <c r="W55" s="159">
        <v>0.26620000600814819</v>
      </c>
      <c r="X55" s="159">
        <v>0.31290000677108765</v>
      </c>
      <c r="Y55" s="159">
        <v>0.36010000109672546</v>
      </c>
      <c r="Z55" s="159">
        <v>0.40099999308586121</v>
      </c>
      <c r="AA55" s="159">
        <v>0.43630000948905945</v>
      </c>
      <c r="AB55" s="159">
        <v>0.45559999346733093</v>
      </c>
      <c r="AC55" s="159">
        <v>0.46540001034736633</v>
      </c>
      <c r="AD55" s="159">
        <v>0.47429999709129333</v>
      </c>
      <c r="AE55" s="159">
        <v>0.47889998555183411</v>
      </c>
      <c r="AF55" s="159">
        <v>0.48410001397132874</v>
      </c>
      <c r="AG55" s="157"/>
      <c r="AH55" s="157"/>
      <c r="AI55" s="157"/>
      <c r="AJ55" s="157"/>
      <c r="AK55" s="157"/>
      <c r="AL55" s="157"/>
      <c r="AM55" s="157"/>
      <c r="AN55" s="157"/>
      <c r="AO55" s="157"/>
      <c r="AP55" s="157"/>
      <c r="AQ55" s="157"/>
      <c r="AR55" s="157"/>
      <c r="AS55" s="157"/>
      <c r="AT55" s="157"/>
      <c r="AU55" s="157"/>
      <c r="AV55" s="157"/>
      <c r="AW55" s="157"/>
      <c r="AX55" s="157"/>
      <c r="AY55" s="157"/>
      <c r="AZ55" s="157"/>
      <c r="BA55" s="157"/>
      <c r="BB55" s="157"/>
      <c r="BC55" s="157"/>
      <c r="BD55" s="157"/>
      <c r="BE55" s="157"/>
      <c r="BF55" s="157"/>
      <c r="BG55" s="157"/>
      <c r="BH55" s="157"/>
      <c r="BI55" s="157"/>
      <c r="BJ55" s="157"/>
      <c r="BK55" s="157"/>
    </row>
    <row r="56" spans="1:63" x14ac:dyDescent="0.2">
      <c r="A56" s="135" t="s">
        <v>59</v>
      </c>
      <c r="B56" s="159">
        <v>0.10419999808073044</v>
      </c>
      <c r="C56" s="159">
        <v>0.10419999808073044</v>
      </c>
      <c r="D56" s="159">
        <v>0.10429999977350235</v>
      </c>
      <c r="E56" s="159">
        <v>0.10670000314712524</v>
      </c>
      <c r="F56" s="159">
        <v>0.1046999990940094</v>
      </c>
      <c r="G56" s="159">
        <v>0.10499999672174454</v>
      </c>
      <c r="H56" s="159">
        <v>0.10540000349283218</v>
      </c>
      <c r="I56" s="159">
        <v>0.10570000112056732</v>
      </c>
      <c r="J56" s="159">
        <v>0.10610000044107437</v>
      </c>
      <c r="K56" s="159">
        <v>0.10689999908208847</v>
      </c>
      <c r="L56" s="159">
        <v>0.10769999772310257</v>
      </c>
      <c r="M56" s="159">
        <v>0.10849999636411667</v>
      </c>
      <c r="N56" s="159">
        <v>0.10989999771118164</v>
      </c>
      <c r="O56" s="159">
        <v>0.11180000007152557</v>
      </c>
      <c r="P56" s="159">
        <v>0.11460000276565552</v>
      </c>
      <c r="Q56" s="159">
        <v>0.11919999867677689</v>
      </c>
      <c r="R56" s="159">
        <v>0.1265999972820282</v>
      </c>
      <c r="S56" s="159">
        <v>0.1371999979019165</v>
      </c>
      <c r="T56" s="159">
        <v>0.15350000560283661</v>
      </c>
      <c r="U56" s="159">
        <v>0.17689999938011169</v>
      </c>
      <c r="V56" s="159">
        <f t="shared" si="0"/>
        <v>0.20814999938011169</v>
      </c>
      <c r="W56" s="159">
        <v>0.23939999938011169</v>
      </c>
      <c r="X56" s="159">
        <v>0.28220000863075256</v>
      </c>
      <c r="Y56" s="159">
        <v>0.33039999008178711</v>
      </c>
      <c r="Z56" s="159">
        <v>0.37760001420974731</v>
      </c>
      <c r="AA56" s="159">
        <v>0.41530001163482666</v>
      </c>
      <c r="AB56" s="159">
        <v>0.44839999079704285</v>
      </c>
      <c r="AC56" s="159">
        <v>0.46219998598098755</v>
      </c>
      <c r="AD56" s="159">
        <v>0.47170001268386841</v>
      </c>
      <c r="AE56" s="159">
        <v>0.47900000214576721</v>
      </c>
      <c r="AF56" s="159">
        <v>0.48350000381469727</v>
      </c>
      <c r="AG56" s="157"/>
      <c r="AH56" s="157"/>
      <c r="AI56" s="157"/>
      <c r="AJ56" s="157"/>
      <c r="AK56" s="157"/>
      <c r="AL56" s="157"/>
      <c r="AM56" s="157"/>
      <c r="AN56" s="157"/>
      <c r="AO56" s="157"/>
      <c r="AP56" s="157"/>
      <c r="AQ56" s="157"/>
      <c r="AR56" s="157"/>
      <c r="AS56" s="157"/>
      <c r="AT56" s="157"/>
      <c r="AU56" s="157"/>
      <c r="AV56" s="157"/>
      <c r="AW56" s="157"/>
      <c r="AX56" s="157"/>
      <c r="AY56" s="157"/>
      <c r="AZ56" s="157"/>
      <c r="BA56" s="157"/>
      <c r="BB56" s="157"/>
      <c r="BC56" s="157"/>
      <c r="BD56" s="157"/>
      <c r="BE56" s="157"/>
      <c r="BF56" s="157"/>
      <c r="BG56" s="157"/>
      <c r="BH56" s="157"/>
      <c r="BI56" s="157"/>
      <c r="BJ56" s="157"/>
      <c r="BK56" s="157"/>
    </row>
    <row r="57" spans="1:63" x14ac:dyDescent="0.2">
      <c r="A57" s="135" t="s">
        <v>60</v>
      </c>
      <c r="B57" s="159">
        <v>0.10459999740123749</v>
      </c>
      <c r="C57" s="159">
        <v>0.10450000315904617</v>
      </c>
      <c r="D57" s="159">
        <v>0.1046999990940094</v>
      </c>
      <c r="E57" s="159">
        <v>0.10499999672174454</v>
      </c>
      <c r="F57" s="159">
        <v>0.10530000180006027</v>
      </c>
      <c r="G57" s="159">
        <v>0.10589999705553055</v>
      </c>
      <c r="H57" s="159">
        <v>0.10679999738931656</v>
      </c>
      <c r="I57" s="159">
        <v>0.10840000212192535</v>
      </c>
      <c r="J57" s="159">
        <v>0.11110000312328339</v>
      </c>
      <c r="K57" s="159">
        <v>0.11590000241994858</v>
      </c>
      <c r="L57" s="159">
        <v>0.12349999696016312</v>
      </c>
      <c r="M57" s="159">
        <v>0.13519999384880066</v>
      </c>
      <c r="N57" s="159">
        <v>0.1518000066280365</v>
      </c>
      <c r="O57" s="159">
        <v>0.17440000176429749</v>
      </c>
      <c r="P57" s="159">
        <v>0.20350000262260437</v>
      </c>
      <c r="Q57" s="159">
        <v>0.23819999396800995</v>
      </c>
      <c r="R57" s="159">
        <v>0.27979999780654907</v>
      </c>
      <c r="S57" s="159">
        <v>0.32690000534057617</v>
      </c>
      <c r="T57" s="159">
        <v>0.3716999888420105</v>
      </c>
      <c r="U57" s="159">
        <v>0.40569999814033508</v>
      </c>
      <c r="V57" s="159">
        <f t="shared" si="0"/>
        <v>0.4285999983549118</v>
      </c>
      <c r="W57" s="159">
        <v>0.45149999856948853</v>
      </c>
      <c r="X57" s="159">
        <v>0.46000000834465027</v>
      </c>
      <c r="Y57" s="159">
        <v>0.46459999680519104</v>
      </c>
      <c r="Z57" s="159">
        <v>0.46540001034736633</v>
      </c>
      <c r="AA57" s="159">
        <v>0.46560001373291016</v>
      </c>
      <c r="AB57" s="159">
        <v>0.46700000762939453</v>
      </c>
      <c r="AC57" s="159">
        <v>0.47119998931884766</v>
      </c>
      <c r="AD57" s="159">
        <v>0.47499999403953552</v>
      </c>
      <c r="AE57" s="159">
        <v>0.48679998517036438</v>
      </c>
      <c r="AF57" s="159">
        <v>0.49889999628067017</v>
      </c>
      <c r="AG57" s="157"/>
      <c r="AH57" s="157"/>
      <c r="AI57" s="157"/>
      <c r="AJ57" s="157"/>
      <c r="AK57" s="157"/>
      <c r="AL57" s="157"/>
      <c r="AM57" s="157"/>
      <c r="AN57" s="157"/>
      <c r="AO57" s="157"/>
      <c r="AP57" s="157"/>
      <c r="AQ57" s="157"/>
      <c r="AR57" s="157"/>
      <c r="AS57" s="157"/>
      <c r="AT57" s="157"/>
      <c r="AU57" s="157"/>
      <c r="AV57" s="157"/>
      <c r="AW57" s="157"/>
      <c r="AX57" s="157"/>
      <c r="AY57" s="157"/>
      <c r="AZ57" s="157"/>
      <c r="BA57" s="157"/>
      <c r="BB57" s="157"/>
      <c r="BC57" s="157"/>
      <c r="BD57" s="157"/>
      <c r="BE57" s="157"/>
      <c r="BF57" s="157"/>
      <c r="BG57" s="157"/>
      <c r="BH57" s="157"/>
      <c r="BI57" s="157"/>
      <c r="BJ57" s="157"/>
      <c r="BK57" s="157"/>
    </row>
    <row r="58" spans="1:63" x14ac:dyDescent="0.2">
      <c r="A58" s="135" t="s">
        <v>61</v>
      </c>
      <c r="B58" s="159">
        <v>0.10480000078678131</v>
      </c>
      <c r="C58" s="159">
        <v>0.10480000078678131</v>
      </c>
      <c r="D58" s="159">
        <v>0.10490000247955322</v>
      </c>
      <c r="E58" s="159">
        <v>0.10530000180006027</v>
      </c>
      <c r="F58" s="159">
        <v>0.10559999942779541</v>
      </c>
      <c r="G58" s="159">
        <v>0.1062999963760376</v>
      </c>
      <c r="H58" s="159">
        <v>0.10729999840259552</v>
      </c>
      <c r="I58" s="159">
        <v>0.10909999907016754</v>
      </c>
      <c r="J58" s="159">
        <v>0.1120000034570694</v>
      </c>
      <c r="K58" s="159">
        <v>0.11729999631643295</v>
      </c>
      <c r="L58" s="159">
        <v>0.1257999986410141</v>
      </c>
      <c r="M58" s="159">
        <v>0.13840000331401825</v>
      </c>
      <c r="N58" s="159">
        <v>0.15629999339580536</v>
      </c>
      <c r="O58" s="159">
        <v>0.18089999258518219</v>
      </c>
      <c r="P58" s="159">
        <v>0.21080000698566437</v>
      </c>
      <c r="Q58" s="159">
        <v>0.24819999933242798</v>
      </c>
      <c r="R58" s="159">
        <v>0.29170000553131104</v>
      </c>
      <c r="S58" s="159">
        <v>0.33889999985694885</v>
      </c>
      <c r="T58" s="159">
        <v>0.38199999928474426</v>
      </c>
      <c r="U58" s="159">
        <v>0.41460001468658447</v>
      </c>
      <c r="V58" s="159">
        <f t="shared" si="0"/>
        <v>0.43505001068115234</v>
      </c>
      <c r="W58" s="159">
        <v>0.45550000667572021</v>
      </c>
      <c r="X58" s="159">
        <v>0.46340000629425049</v>
      </c>
      <c r="Y58" s="159">
        <v>0.46720001101493835</v>
      </c>
      <c r="Z58" s="159">
        <v>0.4675000011920929</v>
      </c>
      <c r="AA58" s="159">
        <v>0.46840000152587891</v>
      </c>
      <c r="AB58" s="159">
        <v>0.46970000863075256</v>
      </c>
      <c r="AC58" s="159">
        <v>0.47580000758171082</v>
      </c>
      <c r="AD58" s="159">
        <v>0.4781000018119812</v>
      </c>
      <c r="AE58" s="159">
        <v>0.48989999294281006</v>
      </c>
      <c r="AF58" s="159">
        <v>0.50400000810623169</v>
      </c>
      <c r="AG58" s="157"/>
      <c r="AH58" s="157"/>
      <c r="AI58" s="157"/>
      <c r="AJ58" s="157"/>
      <c r="AK58" s="157"/>
      <c r="AL58" s="157"/>
      <c r="AM58" s="157"/>
      <c r="AN58" s="157"/>
      <c r="AO58" s="157"/>
      <c r="AP58" s="157"/>
      <c r="AQ58" s="157"/>
      <c r="AR58" s="157"/>
      <c r="AS58" s="157"/>
      <c r="AT58" s="157"/>
      <c r="AU58" s="157"/>
      <c r="AV58" s="157"/>
      <c r="AW58" s="157"/>
      <c r="AX58" s="157"/>
      <c r="AY58" s="157"/>
      <c r="AZ58" s="157"/>
      <c r="BA58" s="157"/>
      <c r="BB58" s="157"/>
      <c r="BC58" s="157"/>
      <c r="BD58" s="157"/>
      <c r="BE58" s="157"/>
      <c r="BF58" s="157"/>
      <c r="BG58" s="157"/>
      <c r="BH58" s="157"/>
      <c r="BI58" s="157"/>
      <c r="BJ58" s="157"/>
      <c r="BK58" s="157"/>
    </row>
    <row r="59" spans="1:63" x14ac:dyDescent="0.2">
      <c r="A59" s="135" t="s">
        <v>62</v>
      </c>
      <c r="B59" s="159">
        <v>0.10520000010728836</v>
      </c>
      <c r="C59" s="159">
        <v>0.10520000010728836</v>
      </c>
      <c r="D59" s="159">
        <v>0.10540000349283218</v>
      </c>
      <c r="E59" s="159">
        <v>0.10570000112056732</v>
      </c>
      <c r="F59" s="159">
        <v>0.10589999705553055</v>
      </c>
      <c r="G59" s="159">
        <v>0.10670000314712524</v>
      </c>
      <c r="H59" s="159">
        <v>0.10779999941587448</v>
      </c>
      <c r="I59" s="159">
        <v>0.1096000000834465</v>
      </c>
      <c r="J59" s="159">
        <v>0.1128000020980835</v>
      </c>
      <c r="K59" s="159">
        <v>0.1185000017285347</v>
      </c>
      <c r="L59" s="159">
        <v>0.12749999761581421</v>
      </c>
      <c r="M59" s="159">
        <v>0.14049999415874481</v>
      </c>
      <c r="N59" s="159">
        <v>0.15929999947547913</v>
      </c>
      <c r="O59" s="159">
        <v>0.1843000054359436</v>
      </c>
      <c r="P59" s="159">
        <v>0.2159000039100647</v>
      </c>
      <c r="Q59" s="159">
        <v>0.25400000810623169</v>
      </c>
      <c r="R59" s="159">
        <v>0.29690000414848328</v>
      </c>
      <c r="S59" s="159">
        <v>0.34529998898506165</v>
      </c>
      <c r="T59" s="159">
        <v>0.38699999451637268</v>
      </c>
      <c r="U59" s="159">
        <v>0.41819998621940613</v>
      </c>
      <c r="V59" s="159">
        <f t="shared" si="0"/>
        <v>0.43669998645782471</v>
      </c>
      <c r="W59" s="159">
        <v>0.45519998669624329</v>
      </c>
      <c r="X59" s="159">
        <v>0.4643000066280365</v>
      </c>
      <c r="Y59" s="159">
        <v>0.4666999876499176</v>
      </c>
      <c r="Z59" s="159">
        <v>0.46610000729560852</v>
      </c>
      <c r="AA59" s="159">
        <v>0.46869999170303345</v>
      </c>
      <c r="AB59" s="159">
        <v>0.46860000491142273</v>
      </c>
      <c r="AC59" s="159">
        <v>0.47400000691413879</v>
      </c>
      <c r="AD59" s="159">
        <v>0.4796999990940094</v>
      </c>
      <c r="AE59" s="159">
        <v>0.49300000071525574</v>
      </c>
      <c r="AF59" s="159">
        <v>0.50529998540878296</v>
      </c>
      <c r="AG59" s="157"/>
      <c r="AH59" s="157"/>
      <c r="AI59" s="157"/>
      <c r="AJ59" s="157"/>
      <c r="AK59" s="157"/>
      <c r="AL59" s="157"/>
      <c r="AM59" s="157"/>
      <c r="AN59" s="157"/>
      <c r="AO59" s="157"/>
      <c r="AP59" s="157"/>
      <c r="AQ59" s="157"/>
      <c r="AR59" s="157"/>
      <c r="AS59" s="157"/>
      <c r="AT59" s="157"/>
      <c r="AU59" s="157"/>
      <c r="AV59" s="157"/>
      <c r="AW59" s="157"/>
      <c r="AX59" s="157"/>
      <c r="AY59" s="157"/>
      <c r="AZ59" s="157"/>
      <c r="BA59" s="157"/>
      <c r="BB59" s="157"/>
      <c r="BC59" s="157"/>
      <c r="BD59" s="157"/>
      <c r="BE59" s="157"/>
      <c r="BF59" s="157"/>
      <c r="BG59" s="157"/>
      <c r="BH59" s="157"/>
      <c r="BI59" s="157"/>
      <c r="BJ59" s="157"/>
      <c r="BK59" s="157"/>
    </row>
    <row r="60" spans="1:63" x14ac:dyDescent="0.2">
      <c r="A60" s="135" t="s">
        <v>63</v>
      </c>
      <c r="B60" s="159">
        <v>0.10719999670982361</v>
      </c>
      <c r="C60" s="159">
        <v>0.10710000246763229</v>
      </c>
      <c r="D60" s="159">
        <v>0.10729999840259552</v>
      </c>
      <c r="E60" s="159">
        <v>0.10760000348091125</v>
      </c>
      <c r="F60" s="159">
        <v>0.10790000110864639</v>
      </c>
      <c r="G60" s="159">
        <v>0.10859999805688858</v>
      </c>
      <c r="H60" s="159">
        <v>0.10989999771118164</v>
      </c>
      <c r="I60" s="159">
        <v>0.11209999769926071</v>
      </c>
      <c r="J60" s="159">
        <v>0.11599999666213989</v>
      </c>
      <c r="K60" s="159">
        <v>0.12250000238418579</v>
      </c>
      <c r="L60" s="159">
        <v>0.1331000030040741</v>
      </c>
      <c r="M60" s="159">
        <v>0.14810000360012054</v>
      </c>
      <c r="N60" s="159">
        <v>0.16910000145435333</v>
      </c>
      <c r="O60" s="159">
        <v>0.1956000030040741</v>
      </c>
      <c r="P60" s="159">
        <v>0.22699999809265137</v>
      </c>
      <c r="Q60" s="159">
        <v>0.26769998669624329</v>
      </c>
      <c r="R60" s="159">
        <v>0.3140999972820282</v>
      </c>
      <c r="S60" s="159">
        <v>0.36590000987052917</v>
      </c>
      <c r="T60" s="159">
        <v>0.41159999370574951</v>
      </c>
      <c r="U60" s="159">
        <v>0.44710001349449158</v>
      </c>
      <c r="V60" s="159">
        <f t="shared" si="0"/>
        <v>0.46930000185966492</v>
      </c>
      <c r="W60" s="159">
        <v>0.49149999022483826</v>
      </c>
      <c r="X60" s="159">
        <v>0.50099998712539673</v>
      </c>
      <c r="Y60" s="159">
        <v>0.50639998912811279</v>
      </c>
      <c r="Z60" s="159">
        <v>0.50819998979568481</v>
      </c>
      <c r="AA60" s="159">
        <v>0.51020002365112305</v>
      </c>
      <c r="AB60" s="159">
        <v>0.51279997825622559</v>
      </c>
      <c r="AC60" s="159">
        <v>0.51929998397827148</v>
      </c>
      <c r="AD60" s="159">
        <v>0.52420002222061157</v>
      </c>
      <c r="AE60" s="159">
        <v>0.5350000262260437</v>
      </c>
      <c r="AF60" s="159">
        <v>0.54610002040863037</v>
      </c>
      <c r="AG60" s="157"/>
      <c r="AH60" s="157"/>
      <c r="AI60" s="157"/>
      <c r="AJ60" s="157"/>
      <c r="AK60" s="157"/>
      <c r="AL60" s="157"/>
      <c r="AM60" s="157"/>
      <c r="AN60" s="157"/>
      <c r="AO60" s="157"/>
      <c r="AP60" s="157"/>
      <c r="AQ60" s="157"/>
      <c r="AR60" s="157"/>
      <c r="AS60" s="157"/>
      <c r="AT60" s="157"/>
      <c r="AU60" s="157"/>
      <c r="AV60" s="157"/>
      <c r="AW60" s="157"/>
      <c r="AX60" s="157"/>
      <c r="AY60" s="157"/>
      <c r="AZ60" s="157"/>
      <c r="BA60" s="157"/>
      <c r="BB60" s="157"/>
      <c r="BC60" s="157"/>
      <c r="BD60" s="157"/>
      <c r="BE60" s="157"/>
      <c r="BF60" s="157"/>
      <c r="BG60" s="157"/>
      <c r="BH60" s="157"/>
      <c r="BI60" s="157"/>
      <c r="BJ60" s="157"/>
      <c r="BK60" s="157"/>
    </row>
    <row r="61" spans="1:63" x14ac:dyDescent="0.2">
      <c r="A61" s="135" t="s">
        <v>64</v>
      </c>
      <c r="B61" s="159">
        <v>0.10890000313520432</v>
      </c>
      <c r="C61" s="159">
        <v>0.10890000313520432</v>
      </c>
      <c r="D61" s="159">
        <v>0.10899999737739563</v>
      </c>
      <c r="E61" s="159">
        <v>0.10949999839067459</v>
      </c>
      <c r="F61" s="159">
        <v>0.10999999940395355</v>
      </c>
      <c r="G61" s="159">
        <v>0.11100000143051147</v>
      </c>
      <c r="H61" s="159">
        <v>0.11270000040531158</v>
      </c>
      <c r="I61" s="159">
        <v>0.11569999903440475</v>
      </c>
      <c r="J61" s="159">
        <v>0.12060000002384186</v>
      </c>
      <c r="K61" s="159">
        <v>0.12829999625682831</v>
      </c>
      <c r="L61" s="159">
        <v>0.1421000063419342</v>
      </c>
      <c r="M61" s="159">
        <v>0.16189999878406525</v>
      </c>
      <c r="N61" s="159">
        <v>0.18790000677108765</v>
      </c>
      <c r="O61" s="159">
        <v>0.2223999947309494</v>
      </c>
      <c r="P61" s="159">
        <v>0.26679998636245728</v>
      </c>
      <c r="Q61" s="159">
        <v>0.31540000438690186</v>
      </c>
      <c r="R61" s="159">
        <v>0.36259999871253967</v>
      </c>
      <c r="S61" s="159">
        <v>0.40900000929832458</v>
      </c>
      <c r="T61" s="159">
        <v>0.44789999723434448</v>
      </c>
      <c r="U61" s="159">
        <v>0.47879999876022339</v>
      </c>
      <c r="V61" s="159">
        <f t="shared" si="0"/>
        <v>0.48710000514984131</v>
      </c>
      <c r="W61" s="159">
        <v>0.49540001153945923</v>
      </c>
      <c r="X61" s="159">
        <v>0.50300002098083496</v>
      </c>
      <c r="Y61" s="159">
        <v>0.49810001254081726</v>
      </c>
      <c r="Z61" s="159">
        <v>0.49279999732971191</v>
      </c>
      <c r="AA61" s="159">
        <v>0.49129998683929443</v>
      </c>
      <c r="AB61" s="159">
        <v>0.49149999022483826</v>
      </c>
      <c r="AC61" s="159">
        <v>0.49579998850822449</v>
      </c>
      <c r="AD61" s="159">
        <v>0.50050002336502075</v>
      </c>
      <c r="AE61" s="159">
        <v>0.51080000400543213</v>
      </c>
      <c r="AF61" s="159">
        <v>0.51649999618530273</v>
      </c>
      <c r="AG61" s="157"/>
      <c r="AH61" s="157"/>
      <c r="AI61" s="157"/>
      <c r="AJ61" s="157"/>
      <c r="AK61" s="157"/>
      <c r="AL61" s="157"/>
      <c r="AM61" s="157"/>
      <c r="AN61" s="157"/>
      <c r="AO61" s="157"/>
      <c r="AP61" s="157"/>
      <c r="AQ61" s="157"/>
      <c r="AR61" s="157"/>
      <c r="AS61" s="157"/>
      <c r="AT61" s="157"/>
      <c r="AU61" s="157"/>
      <c r="AV61" s="157"/>
      <c r="AW61" s="157"/>
      <c r="AX61" s="157"/>
      <c r="AY61" s="157"/>
      <c r="AZ61" s="157"/>
      <c r="BA61" s="157"/>
      <c r="BB61" s="157"/>
      <c r="BC61" s="157"/>
      <c r="BD61" s="157"/>
      <c r="BE61" s="157"/>
      <c r="BF61" s="157"/>
      <c r="BG61" s="157"/>
      <c r="BH61" s="157"/>
      <c r="BI61" s="157"/>
      <c r="BJ61" s="157"/>
      <c r="BK61" s="157"/>
    </row>
    <row r="62" spans="1:63" x14ac:dyDescent="0.2">
      <c r="A62" s="135" t="s">
        <v>65</v>
      </c>
      <c r="B62" s="159">
        <v>0.10649999976158142</v>
      </c>
      <c r="C62" s="159">
        <v>0.10610000044107437</v>
      </c>
      <c r="D62" s="159">
        <v>0.10599999874830246</v>
      </c>
      <c r="E62" s="159">
        <v>0.10610000044107437</v>
      </c>
      <c r="F62" s="159">
        <v>0.10589999705553055</v>
      </c>
      <c r="G62" s="159">
        <v>0.10580000281333923</v>
      </c>
      <c r="H62" s="159">
        <v>0.10570000112056732</v>
      </c>
      <c r="I62" s="159">
        <v>0.10559999942779541</v>
      </c>
      <c r="J62" s="159">
        <v>0.1054999977350235</v>
      </c>
      <c r="K62" s="159">
        <v>0.1054999977350235</v>
      </c>
      <c r="L62" s="159">
        <v>0.1054999977350235</v>
      </c>
      <c r="M62" s="159">
        <v>0.10540000349283218</v>
      </c>
      <c r="N62" s="159">
        <v>0.10540000349283218</v>
      </c>
      <c r="O62" s="159">
        <v>0.10530000180006027</v>
      </c>
      <c r="P62" s="159">
        <v>0.10499999672174454</v>
      </c>
      <c r="Q62" s="159">
        <v>0.10499999672174454</v>
      </c>
      <c r="R62" s="159">
        <v>0.10499999672174454</v>
      </c>
      <c r="S62" s="159">
        <v>0.10490000247955322</v>
      </c>
      <c r="T62" s="159">
        <v>0.10490000247955322</v>
      </c>
      <c r="U62" s="159">
        <v>0.10490000247955322</v>
      </c>
      <c r="V62" s="159">
        <f t="shared" si="0"/>
        <v>0.10485000163316727</v>
      </c>
      <c r="W62" s="159">
        <v>0.10480000078678131</v>
      </c>
      <c r="X62" s="159">
        <v>0.10480000078678131</v>
      </c>
      <c r="Y62" s="159">
        <v>0.1046999990940094</v>
      </c>
      <c r="Z62" s="159">
        <v>0.10450000315904617</v>
      </c>
      <c r="AA62" s="159">
        <v>0.10450000315904617</v>
      </c>
      <c r="AB62" s="159">
        <v>0.10450000315904617</v>
      </c>
      <c r="AC62" s="159">
        <v>0.10440000146627426</v>
      </c>
      <c r="AD62" s="159">
        <v>0.10440000146627426</v>
      </c>
      <c r="AE62" s="159">
        <v>0.10440000146627426</v>
      </c>
      <c r="AF62" s="159">
        <v>0.10429999977350235</v>
      </c>
      <c r="AG62" s="157"/>
      <c r="AH62" s="157"/>
      <c r="AI62" s="157"/>
      <c r="AJ62" s="157"/>
      <c r="AK62" s="157"/>
      <c r="AL62" s="157"/>
      <c r="AM62" s="157"/>
      <c r="AN62" s="157"/>
      <c r="AO62" s="157"/>
      <c r="AP62" s="157"/>
      <c r="AQ62" s="157"/>
      <c r="AR62" s="157"/>
      <c r="AS62" s="157"/>
      <c r="AT62" s="157"/>
      <c r="AU62" s="157"/>
      <c r="AV62" s="157"/>
      <c r="AW62" s="157"/>
      <c r="AX62" s="157"/>
      <c r="AY62" s="157"/>
      <c r="AZ62" s="157"/>
      <c r="BA62" s="157"/>
      <c r="BB62" s="157"/>
      <c r="BC62" s="157"/>
      <c r="BD62" s="157"/>
      <c r="BE62" s="157"/>
      <c r="BF62" s="157"/>
      <c r="BG62" s="157"/>
      <c r="BH62" s="157"/>
      <c r="BI62" s="157"/>
      <c r="BJ62" s="157"/>
      <c r="BK62" s="157"/>
    </row>
    <row r="63" spans="1:63" x14ac:dyDescent="0.2">
      <c r="A63" s="135" t="s">
        <v>66</v>
      </c>
      <c r="B63" s="159">
        <v>0.10710000246763229</v>
      </c>
      <c r="C63" s="159">
        <v>0.10689999908208847</v>
      </c>
      <c r="D63" s="159">
        <v>0.10679999738931656</v>
      </c>
      <c r="E63" s="159">
        <v>0.10679999738931656</v>
      </c>
      <c r="F63" s="159">
        <v>0.10689999908208847</v>
      </c>
      <c r="G63" s="159">
        <v>0.10670000314712524</v>
      </c>
      <c r="H63" s="159">
        <v>0.10670000314712524</v>
      </c>
      <c r="I63" s="159">
        <v>0.10649999976158142</v>
      </c>
      <c r="J63" s="159">
        <v>0.10649999976158142</v>
      </c>
      <c r="K63" s="159">
        <v>0.10639999806880951</v>
      </c>
      <c r="L63" s="159">
        <v>0.10649999976158142</v>
      </c>
      <c r="M63" s="159">
        <v>0.10639999806880951</v>
      </c>
      <c r="N63" s="159">
        <v>0.1062999963760376</v>
      </c>
      <c r="O63" s="159">
        <v>0.10620000213384628</v>
      </c>
      <c r="P63" s="159">
        <v>0.10610000044107437</v>
      </c>
      <c r="Q63" s="159">
        <v>0.10599999874830246</v>
      </c>
      <c r="R63" s="159">
        <v>0.10599999874830246</v>
      </c>
      <c r="S63" s="159">
        <v>0.10610000044107437</v>
      </c>
      <c r="T63" s="159">
        <v>0.10610000044107437</v>
      </c>
      <c r="U63" s="159">
        <v>0.10610000044107437</v>
      </c>
      <c r="V63" s="159">
        <f t="shared" si="0"/>
        <v>0.10610000044107437</v>
      </c>
      <c r="W63" s="159">
        <v>0.10610000044107437</v>
      </c>
      <c r="X63" s="159">
        <v>0.10599999874830246</v>
      </c>
      <c r="Y63" s="159">
        <v>0.10589999705553055</v>
      </c>
      <c r="Z63" s="159">
        <v>0.10580000281333923</v>
      </c>
      <c r="AA63" s="159">
        <v>0.10589999705553055</v>
      </c>
      <c r="AB63" s="159">
        <v>0.10559999942779541</v>
      </c>
      <c r="AC63" s="159">
        <v>0.10559999942779541</v>
      </c>
      <c r="AD63" s="159">
        <v>0.10559999942779541</v>
      </c>
      <c r="AE63" s="159">
        <v>0.10559999942779541</v>
      </c>
      <c r="AF63" s="159">
        <v>0.10589999705553055</v>
      </c>
      <c r="AG63" s="157"/>
      <c r="AH63" s="157"/>
      <c r="AI63" s="157"/>
      <c r="AJ63" s="157"/>
      <c r="AK63" s="157"/>
      <c r="AL63" s="157"/>
      <c r="AM63" s="157"/>
      <c r="AN63" s="157"/>
      <c r="AO63" s="157"/>
      <c r="AP63" s="157"/>
      <c r="AQ63" s="157"/>
      <c r="AR63" s="157"/>
      <c r="AS63" s="157"/>
      <c r="AT63" s="157"/>
      <c r="AU63" s="157"/>
      <c r="AV63" s="157"/>
      <c r="AW63" s="157"/>
      <c r="AX63" s="157"/>
      <c r="AY63" s="157"/>
      <c r="AZ63" s="157"/>
      <c r="BA63" s="157"/>
      <c r="BB63" s="157"/>
      <c r="BC63" s="157"/>
      <c r="BD63" s="157"/>
      <c r="BE63" s="157"/>
      <c r="BF63" s="157"/>
      <c r="BG63" s="157"/>
      <c r="BH63" s="157"/>
      <c r="BI63" s="157"/>
      <c r="BJ63" s="157"/>
      <c r="BK63" s="157"/>
    </row>
    <row r="64" spans="1:63" x14ac:dyDescent="0.2">
      <c r="A64" s="135" t="s">
        <v>67</v>
      </c>
      <c r="B64" s="159">
        <v>0.10540000349283218</v>
      </c>
      <c r="C64" s="159">
        <v>0.10530000180006027</v>
      </c>
      <c r="D64" s="159">
        <v>0.10540000349283218</v>
      </c>
      <c r="E64" s="159">
        <v>0.10589999705553055</v>
      </c>
      <c r="F64" s="159">
        <v>0.10620000213384628</v>
      </c>
      <c r="G64" s="159">
        <v>0.10719999670982361</v>
      </c>
      <c r="H64" s="159">
        <v>0.10809999704360962</v>
      </c>
      <c r="I64" s="159">
        <v>0.11020000278949738</v>
      </c>
      <c r="J64" s="159">
        <v>0.11379999667406082</v>
      </c>
      <c r="K64" s="159">
        <v>0.11980000138282776</v>
      </c>
      <c r="L64" s="159">
        <v>0.12970000505447388</v>
      </c>
      <c r="M64" s="159">
        <v>0.14390000700950623</v>
      </c>
      <c r="N64" s="159">
        <v>0.16380000114440918</v>
      </c>
      <c r="O64" s="159">
        <v>0.18919999897480011</v>
      </c>
      <c r="P64" s="159">
        <v>0.22010000050067902</v>
      </c>
      <c r="Q64" s="159">
        <v>0.2565000057220459</v>
      </c>
      <c r="R64" s="159">
        <v>0.29929998517036438</v>
      </c>
      <c r="S64" s="159">
        <v>0.34509998559951782</v>
      </c>
      <c r="T64" s="159">
        <v>0.38710001111030579</v>
      </c>
      <c r="U64" s="159">
        <v>0.42329999804496765</v>
      </c>
      <c r="V64" s="159">
        <f t="shared" si="0"/>
        <v>0.43915000557899475</v>
      </c>
      <c r="W64" s="159">
        <v>0.45500001311302185</v>
      </c>
      <c r="X64" s="159">
        <v>0.4627000093460083</v>
      </c>
      <c r="Y64" s="159">
        <v>0.46639999747276306</v>
      </c>
      <c r="Z64" s="159">
        <v>0.46729999780654907</v>
      </c>
      <c r="AA64" s="159">
        <v>0.47110000252723694</v>
      </c>
      <c r="AB64" s="159">
        <v>0.47519999742507935</v>
      </c>
      <c r="AC64" s="159">
        <v>0.48059999942779541</v>
      </c>
      <c r="AD64" s="159">
        <v>0.48910000920295715</v>
      </c>
      <c r="AE64" s="159">
        <v>0.50129997730255127</v>
      </c>
      <c r="AF64" s="159">
        <v>0.51590001583099365</v>
      </c>
      <c r="AG64" s="157"/>
      <c r="AH64" s="157"/>
      <c r="AI64" s="157"/>
      <c r="AJ64" s="157"/>
      <c r="AK64" s="157"/>
      <c r="AL64" s="157"/>
      <c r="AM64" s="157"/>
      <c r="AN64" s="157"/>
      <c r="AO64" s="157"/>
      <c r="AP64" s="157"/>
      <c r="AQ64" s="157"/>
      <c r="AR64" s="157"/>
      <c r="AS64" s="157"/>
      <c r="AT64" s="157"/>
      <c r="AU64" s="157"/>
      <c r="AV64" s="157"/>
      <c r="AW64" s="157"/>
      <c r="AX64" s="157"/>
      <c r="AY64" s="157"/>
      <c r="AZ64" s="157"/>
      <c r="BA64" s="157"/>
      <c r="BB64" s="157"/>
      <c r="BC64" s="157"/>
      <c r="BD64" s="157"/>
      <c r="BE64" s="157"/>
      <c r="BF64" s="157"/>
      <c r="BG64" s="157"/>
      <c r="BH64" s="157"/>
      <c r="BI64" s="157"/>
      <c r="BJ64" s="157"/>
      <c r="BK64" s="157"/>
    </row>
    <row r="65" spans="1:63" x14ac:dyDescent="0.2">
      <c r="A65" s="135" t="s">
        <v>68</v>
      </c>
      <c r="B65" s="159">
        <v>0.10570000112056732</v>
      </c>
      <c r="C65" s="159">
        <v>0.10570000112056732</v>
      </c>
      <c r="D65" s="159">
        <v>0.10589999705553055</v>
      </c>
      <c r="E65" s="159">
        <v>0.10649999976158142</v>
      </c>
      <c r="F65" s="159">
        <v>0.10689999908208847</v>
      </c>
      <c r="G65" s="159">
        <v>0.1080000028014183</v>
      </c>
      <c r="H65" s="159">
        <v>0.10980000346899033</v>
      </c>
      <c r="I65" s="159">
        <v>0.11309999972581863</v>
      </c>
      <c r="J65" s="159">
        <v>0.11800000071525574</v>
      </c>
      <c r="K65" s="159">
        <v>0.12630000710487366</v>
      </c>
      <c r="L65" s="159">
        <v>0.13920000195503235</v>
      </c>
      <c r="M65" s="159">
        <v>0.15700000524520874</v>
      </c>
      <c r="N65" s="159">
        <v>0.18150000274181366</v>
      </c>
      <c r="O65" s="159">
        <v>0.21029999852180481</v>
      </c>
      <c r="P65" s="159">
        <v>0.24510000646114349</v>
      </c>
      <c r="Q65" s="159">
        <v>0.28549998998641968</v>
      </c>
      <c r="R65" s="159">
        <v>0.33079999685287476</v>
      </c>
      <c r="S65" s="159">
        <v>0.37509998679161072</v>
      </c>
      <c r="T65" s="159">
        <v>0.41130000352859497</v>
      </c>
      <c r="U65" s="159">
        <v>0.44330000877380371</v>
      </c>
      <c r="V65" s="159">
        <f t="shared" si="0"/>
        <v>0.4513000100851059</v>
      </c>
      <c r="W65" s="159">
        <v>0.45930001139640808</v>
      </c>
      <c r="X65" s="159">
        <v>0.46369999647140503</v>
      </c>
      <c r="Y65" s="159">
        <v>0.46380001306533813</v>
      </c>
      <c r="Z65" s="159">
        <v>0.46689999103546143</v>
      </c>
      <c r="AA65" s="159">
        <v>0.4699999988079071</v>
      </c>
      <c r="AB65" s="159">
        <v>0.47510001063346863</v>
      </c>
      <c r="AC65" s="159">
        <v>0.48330000042915344</v>
      </c>
      <c r="AD65" s="159">
        <v>0.49360001087188721</v>
      </c>
      <c r="AE65" s="159">
        <v>0.50709998607635498</v>
      </c>
      <c r="AF65" s="159">
        <v>0.5218999981880188</v>
      </c>
      <c r="AG65" s="157"/>
      <c r="AH65" s="157"/>
      <c r="AI65" s="157"/>
      <c r="AJ65" s="157"/>
      <c r="AK65" s="157"/>
      <c r="AL65" s="157"/>
      <c r="AM65" s="157"/>
      <c r="AN65" s="157"/>
      <c r="AO65" s="157"/>
      <c r="AP65" s="157"/>
      <c r="AQ65" s="157"/>
      <c r="AR65" s="157"/>
      <c r="AS65" s="157"/>
      <c r="AT65" s="157"/>
      <c r="AU65" s="157"/>
      <c r="AV65" s="157"/>
      <c r="AW65" s="157"/>
      <c r="AX65" s="157"/>
      <c r="AY65" s="157"/>
      <c r="AZ65" s="157"/>
      <c r="BA65" s="157"/>
      <c r="BB65" s="157"/>
      <c r="BC65" s="157"/>
      <c r="BD65" s="157"/>
      <c r="BE65" s="157"/>
      <c r="BF65" s="157"/>
      <c r="BG65" s="157"/>
      <c r="BH65" s="157"/>
      <c r="BI65" s="157"/>
      <c r="BJ65" s="157"/>
      <c r="BK65" s="157"/>
    </row>
    <row r="66" spans="1:63" x14ac:dyDescent="0.2">
      <c r="A66" s="135" t="s">
        <v>69</v>
      </c>
      <c r="B66" s="159">
        <v>0.10570000112056732</v>
      </c>
      <c r="C66" s="159">
        <v>0.10570000112056732</v>
      </c>
      <c r="D66" s="159">
        <v>0.10599999874830246</v>
      </c>
      <c r="E66" s="159">
        <v>0.10649999976158142</v>
      </c>
      <c r="F66" s="159">
        <v>0.10710000246763229</v>
      </c>
      <c r="G66" s="159">
        <v>0.10859999805688858</v>
      </c>
      <c r="H66" s="159">
        <v>0.11060000211000443</v>
      </c>
      <c r="I66" s="159">
        <v>0.11429999768733978</v>
      </c>
      <c r="J66" s="159">
        <v>0.12060000002384186</v>
      </c>
      <c r="K66" s="159">
        <v>0.13079999387264252</v>
      </c>
      <c r="L66" s="159">
        <v>0.14560000598430634</v>
      </c>
      <c r="M66" s="159">
        <v>0.1664000004529953</v>
      </c>
      <c r="N66" s="159">
        <v>0.1932000070810318</v>
      </c>
      <c r="O66" s="159">
        <v>0.22499999403953552</v>
      </c>
      <c r="P66" s="159">
        <v>0.26240000128746033</v>
      </c>
      <c r="Q66" s="159">
        <v>0.30489999055862427</v>
      </c>
      <c r="R66" s="159">
        <v>0.35040000081062317</v>
      </c>
      <c r="S66" s="159">
        <v>0.39079999923706055</v>
      </c>
      <c r="T66" s="159">
        <v>0.42509999871253967</v>
      </c>
      <c r="U66" s="159">
        <v>0.45239999890327454</v>
      </c>
      <c r="V66" s="159">
        <f t="shared" si="0"/>
        <v>0.45759999752044678</v>
      </c>
      <c r="W66" s="159">
        <v>0.46279999613761902</v>
      </c>
      <c r="X66" s="159">
        <v>0.46549999713897705</v>
      </c>
      <c r="Y66" s="159">
        <v>0.46570000052452087</v>
      </c>
      <c r="Z66" s="159">
        <v>0.46799999475479126</v>
      </c>
      <c r="AA66" s="159">
        <v>0.47249999642372131</v>
      </c>
      <c r="AB66" s="159">
        <v>0.47679999470710754</v>
      </c>
      <c r="AC66" s="159">
        <v>0.48489999771118164</v>
      </c>
      <c r="AD66" s="159">
        <v>0.49590000510215759</v>
      </c>
      <c r="AE66" s="159">
        <v>0.51080000400543213</v>
      </c>
      <c r="AF66" s="159">
        <v>0.52289998531341553</v>
      </c>
      <c r="AG66" s="157"/>
      <c r="AH66" s="157"/>
      <c r="AI66" s="157"/>
      <c r="AJ66" s="157"/>
      <c r="AK66" s="157"/>
      <c r="AL66" s="157"/>
      <c r="AM66" s="157"/>
      <c r="AN66" s="157"/>
      <c r="AO66" s="157"/>
      <c r="AP66" s="157"/>
      <c r="AQ66" s="157"/>
      <c r="AR66" s="157"/>
      <c r="AS66" s="157"/>
      <c r="AT66" s="157"/>
      <c r="AU66" s="157"/>
      <c r="AV66" s="157"/>
      <c r="AW66" s="157"/>
      <c r="AX66" s="157"/>
      <c r="AY66" s="157"/>
      <c r="AZ66" s="157"/>
      <c r="BA66" s="157"/>
      <c r="BB66" s="157"/>
      <c r="BC66" s="157"/>
      <c r="BD66" s="157"/>
      <c r="BE66" s="157"/>
      <c r="BF66" s="157"/>
      <c r="BG66" s="157"/>
      <c r="BH66" s="157"/>
      <c r="BI66" s="157"/>
      <c r="BJ66" s="157"/>
      <c r="BK66" s="157"/>
    </row>
    <row r="67" spans="1:63" x14ac:dyDescent="0.2">
      <c r="A67" s="135" t="s">
        <v>70</v>
      </c>
      <c r="B67" s="159">
        <v>0.10580000281333923</v>
      </c>
      <c r="C67" s="159">
        <v>0.10580000281333923</v>
      </c>
      <c r="D67" s="159">
        <v>0.10599999874830246</v>
      </c>
      <c r="E67" s="159">
        <v>0.10689999908208847</v>
      </c>
      <c r="F67" s="159">
        <v>0.10719999670982361</v>
      </c>
      <c r="G67" s="159">
        <v>0.10849999636411667</v>
      </c>
      <c r="H67" s="159">
        <v>0.11060000211000443</v>
      </c>
      <c r="I67" s="159">
        <v>0.11429999768733978</v>
      </c>
      <c r="J67" s="159">
        <v>0.12049999833106995</v>
      </c>
      <c r="K67" s="159">
        <v>0.13030000030994415</v>
      </c>
      <c r="L67" s="159">
        <v>0.14519999921321869</v>
      </c>
      <c r="M67" s="159">
        <v>0.16609999537467957</v>
      </c>
      <c r="N67" s="159">
        <v>0.19280000030994415</v>
      </c>
      <c r="O67" s="159">
        <v>0.22499999403953552</v>
      </c>
      <c r="P67" s="159">
        <v>0.26260000467300415</v>
      </c>
      <c r="Q67" s="159">
        <v>0.30509999394416809</v>
      </c>
      <c r="R67" s="159">
        <v>0.351500004529953</v>
      </c>
      <c r="S67" s="159">
        <v>0.39190000295639038</v>
      </c>
      <c r="T67" s="159">
        <v>0.42590001225471497</v>
      </c>
      <c r="U67" s="159">
        <v>0.45429998636245728</v>
      </c>
      <c r="V67" s="159">
        <f t="shared" si="0"/>
        <v>0.45944999158382416</v>
      </c>
      <c r="W67" s="159">
        <v>0.46459999680519104</v>
      </c>
      <c r="X67" s="159">
        <v>0.46689999103546143</v>
      </c>
      <c r="Y67" s="159">
        <v>0.46740001440048218</v>
      </c>
      <c r="Z67" s="159">
        <v>0.46819999814033508</v>
      </c>
      <c r="AA67" s="159">
        <v>0.47220000624656677</v>
      </c>
      <c r="AB67" s="159">
        <v>0.47769999504089355</v>
      </c>
      <c r="AC67" s="159">
        <v>0.48530000448226929</v>
      </c>
      <c r="AD67" s="159">
        <v>0.49610000848770142</v>
      </c>
      <c r="AE67" s="159">
        <v>0.51050001382827759</v>
      </c>
      <c r="AF67" s="159">
        <v>0.52380001544952393</v>
      </c>
      <c r="AG67" s="157"/>
      <c r="AH67" s="157"/>
      <c r="AI67" s="157"/>
      <c r="AJ67" s="157"/>
      <c r="AK67" s="157"/>
      <c r="AL67" s="157"/>
      <c r="AM67" s="157"/>
      <c r="AN67" s="157"/>
      <c r="AO67" s="157"/>
      <c r="AP67" s="157"/>
      <c r="AQ67" s="157"/>
      <c r="AR67" s="157"/>
      <c r="AS67" s="157"/>
      <c r="AT67" s="157"/>
      <c r="AU67" s="157"/>
      <c r="AV67" s="157"/>
      <c r="AW67" s="157"/>
      <c r="AX67" s="157"/>
      <c r="AY67" s="157"/>
      <c r="AZ67" s="157"/>
      <c r="BA67" s="157"/>
      <c r="BB67" s="157"/>
      <c r="BC67" s="157"/>
      <c r="BD67" s="157"/>
      <c r="BE67" s="157"/>
      <c r="BF67" s="157"/>
      <c r="BG67" s="157"/>
      <c r="BH67" s="157"/>
      <c r="BI67" s="157"/>
      <c r="BJ67" s="157"/>
      <c r="BK67" s="157"/>
    </row>
    <row r="68" spans="1:63" x14ac:dyDescent="0.2">
      <c r="A68" s="135" t="s">
        <v>71</v>
      </c>
      <c r="B68" s="159">
        <v>0.1062999963760376</v>
      </c>
      <c r="C68" s="159">
        <v>0.1062999963760376</v>
      </c>
      <c r="D68" s="159">
        <v>0.10670000314712524</v>
      </c>
      <c r="E68" s="159">
        <v>0.10740000009536743</v>
      </c>
      <c r="F68" s="159">
        <v>0.10830000042915344</v>
      </c>
      <c r="G68" s="159">
        <v>0.10999999940395355</v>
      </c>
      <c r="H68" s="159">
        <v>0.1128000020980835</v>
      </c>
      <c r="I68" s="159">
        <v>0.1177000030875206</v>
      </c>
      <c r="J68" s="159">
        <v>0.12569999694824219</v>
      </c>
      <c r="K68" s="159">
        <v>0.13830000162124634</v>
      </c>
      <c r="L68" s="159">
        <v>0.15639999508857727</v>
      </c>
      <c r="M68" s="159">
        <v>0.1809999942779541</v>
      </c>
      <c r="N68" s="159">
        <v>0.21109999716281891</v>
      </c>
      <c r="O68" s="159">
        <v>0.24660000205039978</v>
      </c>
      <c r="P68" s="159">
        <v>0.28780001401901245</v>
      </c>
      <c r="Q68" s="159">
        <v>0.33300000429153442</v>
      </c>
      <c r="R68" s="159">
        <v>0.37700000405311584</v>
      </c>
      <c r="S68" s="159">
        <v>0.41110000014305115</v>
      </c>
      <c r="T68" s="159">
        <v>0.4424000084400177</v>
      </c>
      <c r="U68" s="159">
        <v>0.45329999923706055</v>
      </c>
      <c r="V68" s="159">
        <f t="shared" si="0"/>
        <v>0.4573500007390976</v>
      </c>
      <c r="W68" s="159">
        <v>0.46140000224113464</v>
      </c>
      <c r="X68" s="159">
        <v>0.46219998598098755</v>
      </c>
      <c r="Y68" s="159">
        <v>0.46309998631477356</v>
      </c>
      <c r="Z68" s="159">
        <v>0.46450001001358032</v>
      </c>
      <c r="AA68" s="159">
        <v>0.46930000185966492</v>
      </c>
      <c r="AB68" s="159">
        <v>0.47620001435279846</v>
      </c>
      <c r="AC68" s="159">
        <v>0.48649999499320984</v>
      </c>
      <c r="AD68" s="159">
        <v>0.49909999966621399</v>
      </c>
      <c r="AE68" s="159">
        <v>0.51399999856948853</v>
      </c>
      <c r="AF68" s="159">
        <v>0.52600002288818359</v>
      </c>
      <c r="AG68" s="157"/>
      <c r="AH68" s="157"/>
      <c r="AI68" s="157"/>
      <c r="AJ68" s="157"/>
      <c r="AK68" s="157"/>
      <c r="AL68" s="157"/>
      <c r="AM68" s="157"/>
      <c r="AN68" s="157"/>
      <c r="AO68" s="157"/>
      <c r="AP68" s="157"/>
      <c r="AQ68" s="157"/>
      <c r="AR68" s="157"/>
      <c r="AS68" s="157"/>
      <c r="AT68" s="157"/>
      <c r="AU68" s="157"/>
      <c r="AV68" s="157"/>
      <c r="AW68" s="157"/>
      <c r="AX68" s="157"/>
      <c r="AY68" s="157"/>
      <c r="AZ68" s="157"/>
      <c r="BA68" s="157"/>
      <c r="BB68" s="157"/>
      <c r="BC68" s="157"/>
      <c r="BD68" s="157"/>
      <c r="BE68" s="157"/>
      <c r="BF68" s="157"/>
      <c r="BG68" s="157"/>
      <c r="BH68" s="157"/>
      <c r="BI68" s="157"/>
      <c r="BJ68" s="157"/>
      <c r="BK68" s="157"/>
    </row>
    <row r="69" spans="1:63" x14ac:dyDescent="0.2">
      <c r="A69" s="135" t="s">
        <v>72</v>
      </c>
      <c r="B69" s="159">
        <v>0.10909999907016754</v>
      </c>
      <c r="C69" s="159">
        <v>0.10729999840259552</v>
      </c>
      <c r="D69" s="159">
        <v>0.10920000076293945</v>
      </c>
      <c r="E69" s="159">
        <v>0.10830000042915344</v>
      </c>
      <c r="F69" s="159">
        <v>0.10899999737739563</v>
      </c>
      <c r="G69" s="159">
        <v>0.11060000211000443</v>
      </c>
      <c r="H69" s="159">
        <v>0.11330000311136246</v>
      </c>
      <c r="I69" s="159">
        <v>0.11810000240802765</v>
      </c>
      <c r="J69" s="159">
        <v>0.12569999694824219</v>
      </c>
      <c r="K69" s="159">
        <v>0.14020000398159027</v>
      </c>
      <c r="L69" s="159">
        <v>0.15590000152587891</v>
      </c>
      <c r="M69" s="159">
        <v>0.18240000307559967</v>
      </c>
      <c r="N69" s="159">
        <v>0.21189999580383301</v>
      </c>
      <c r="O69" s="159">
        <v>0.2484000027179718</v>
      </c>
      <c r="P69" s="159">
        <v>0.2921999990940094</v>
      </c>
      <c r="Q69" s="159">
        <v>0.33590000867843628</v>
      </c>
      <c r="R69" s="159">
        <v>0.3815000057220459</v>
      </c>
      <c r="S69" s="159">
        <v>0.41819998621940613</v>
      </c>
      <c r="T69" s="159">
        <v>0.4505000114440918</v>
      </c>
      <c r="U69" s="159">
        <v>0.4643000066280365</v>
      </c>
      <c r="V69" s="159">
        <f t="shared" si="0"/>
        <v>0.46850000321865082</v>
      </c>
      <c r="W69" s="159">
        <v>0.47269999980926514</v>
      </c>
      <c r="X69" s="159">
        <v>0.47119998931884766</v>
      </c>
      <c r="Y69" s="159">
        <v>0.47290000319480896</v>
      </c>
      <c r="Z69" s="159">
        <v>0.47290000319480896</v>
      </c>
      <c r="AA69" s="159">
        <v>0.4763999879360199</v>
      </c>
      <c r="AB69" s="159">
        <v>0.4828999936580658</v>
      </c>
      <c r="AC69" s="159">
        <v>0.49340000748634338</v>
      </c>
      <c r="AD69" s="159">
        <v>0.50340002775192261</v>
      </c>
      <c r="AE69" s="159">
        <v>0.52130001783370972</v>
      </c>
      <c r="AF69" s="159">
        <v>0.52910000085830688</v>
      </c>
      <c r="AG69" s="157"/>
      <c r="AH69" s="157"/>
      <c r="AI69" s="157"/>
      <c r="AJ69" s="157"/>
      <c r="AK69" s="157"/>
      <c r="AL69" s="157"/>
      <c r="AM69" s="157"/>
      <c r="AN69" s="157"/>
      <c r="AO69" s="157"/>
      <c r="AP69" s="157"/>
      <c r="AQ69" s="157"/>
      <c r="AR69" s="157"/>
      <c r="AS69" s="157"/>
      <c r="AT69" s="157"/>
      <c r="AU69" s="157"/>
      <c r="AV69" s="157"/>
      <c r="AW69" s="157"/>
      <c r="AX69" s="157"/>
      <c r="AY69" s="157"/>
      <c r="AZ69" s="157"/>
      <c r="BA69" s="157"/>
      <c r="BB69" s="157"/>
      <c r="BC69" s="157"/>
      <c r="BD69" s="157"/>
      <c r="BE69" s="157"/>
      <c r="BF69" s="157"/>
      <c r="BG69" s="157"/>
      <c r="BH69" s="157"/>
      <c r="BI69" s="157"/>
      <c r="BJ69" s="157"/>
      <c r="BK69" s="157"/>
    </row>
    <row r="70" spans="1:63" x14ac:dyDescent="0.2">
      <c r="A70" s="135" t="s">
        <v>73</v>
      </c>
      <c r="B70" s="159">
        <v>0.10819999873638153</v>
      </c>
      <c r="C70" s="159">
        <v>0.1080000028014183</v>
      </c>
      <c r="D70" s="159">
        <v>0.10840000212192535</v>
      </c>
      <c r="E70" s="159">
        <v>0.10920000076293945</v>
      </c>
      <c r="F70" s="159">
        <v>0.10989999771118164</v>
      </c>
      <c r="G70" s="159">
        <v>0.11169999837875366</v>
      </c>
      <c r="H70" s="159">
        <v>0.11460000276565552</v>
      </c>
      <c r="I70" s="159">
        <v>0.11980000138282776</v>
      </c>
      <c r="J70" s="159">
        <v>0.12809999287128448</v>
      </c>
      <c r="K70" s="159">
        <v>0.14149999618530273</v>
      </c>
      <c r="L70" s="159">
        <v>0.16099999845027924</v>
      </c>
      <c r="M70" s="159">
        <v>0.18700000643730164</v>
      </c>
      <c r="N70" s="159">
        <v>0.21930000185966492</v>
      </c>
      <c r="O70" s="159">
        <v>0.25760000944137573</v>
      </c>
      <c r="P70" s="159">
        <v>0.30180001258850098</v>
      </c>
      <c r="Q70" s="159">
        <v>0.34760001301765442</v>
      </c>
      <c r="R70" s="159">
        <v>0.39230000972747803</v>
      </c>
      <c r="S70" s="159">
        <v>0.42539998888969421</v>
      </c>
      <c r="T70" s="159">
        <v>0.45590001344680786</v>
      </c>
      <c r="U70" s="159">
        <v>0.46389999985694885</v>
      </c>
      <c r="V70" s="159">
        <f t="shared" si="0"/>
        <v>0.46649999916553497</v>
      </c>
      <c r="W70" s="159">
        <v>0.46909999847412109</v>
      </c>
      <c r="X70" s="159">
        <v>0.47020000219345093</v>
      </c>
      <c r="Y70" s="159">
        <v>0.46939998865127563</v>
      </c>
      <c r="Z70" s="159">
        <v>0.47049999237060547</v>
      </c>
      <c r="AA70" s="159">
        <v>0.47409999370574951</v>
      </c>
      <c r="AB70" s="159">
        <v>0.47990000247955322</v>
      </c>
      <c r="AC70" s="159">
        <v>0.49219998717308044</v>
      </c>
      <c r="AD70" s="159">
        <v>0.50440001487731934</v>
      </c>
      <c r="AE70" s="159">
        <v>0.5187000036239624</v>
      </c>
      <c r="AF70" s="159">
        <v>0.52920001745223999</v>
      </c>
      <c r="AG70" s="157"/>
      <c r="AH70" s="157"/>
      <c r="AI70" s="157"/>
      <c r="AJ70" s="157"/>
      <c r="AK70" s="157"/>
      <c r="AL70" s="157"/>
      <c r="AM70" s="157"/>
      <c r="AN70" s="157"/>
      <c r="AO70" s="157"/>
      <c r="AP70" s="157"/>
      <c r="AQ70" s="157"/>
      <c r="AR70" s="157"/>
      <c r="AS70" s="157"/>
      <c r="AT70" s="157"/>
      <c r="AU70" s="157"/>
      <c r="AV70" s="157"/>
      <c r="AW70" s="157"/>
      <c r="AX70" s="157"/>
      <c r="AY70" s="157"/>
      <c r="AZ70" s="157"/>
      <c r="BA70" s="157"/>
      <c r="BB70" s="157"/>
      <c r="BC70" s="157"/>
      <c r="BD70" s="157"/>
      <c r="BE70" s="157"/>
      <c r="BF70" s="157"/>
      <c r="BG70" s="157"/>
      <c r="BH70" s="157"/>
      <c r="BI70" s="157"/>
      <c r="BJ70" s="157"/>
      <c r="BK70" s="157"/>
    </row>
    <row r="71" spans="1:63" x14ac:dyDescent="0.2">
      <c r="A71" s="135" t="s">
        <v>74</v>
      </c>
      <c r="B71" s="159">
        <v>0.10719999670982361</v>
      </c>
      <c r="C71" s="159">
        <v>0.10719999670982361</v>
      </c>
      <c r="D71" s="159">
        <v>0.10740000009536743</v>
      </c>
      <c r="E71" s="159">
        <v>0.10809999704360962</v>
      </c>
      <c r="F71" s="159">
        <v>0.10890000313520432</v>
      </c>
      <c r="G71" s="159">
        <v>0.11060000211000443</v>
      </c>
      <c r="H71" s="159">
        <v>0.11349999904632568</v>
      </c>
      <c r="I71" s="159">
        <v>0.11860000342130661</v>
      </c>
      <c r="J71" s="159">
        <v>0.12720000743865967</v>
      </c>
      <c r="K71" s="159">
        <v>0.14010000228881836</v>
      </c>
      <c r="L71" s="159">
        <v>0.15899999439716339</v>
      </c>
      <c r="M71" s="159">
        <v>0.18529999256134033</v>
      </c>
      <c r="N71" s="159">
        <v>0.21660000085830688</v>
      </c>
      <c r="O71" s="159">
        <v>0.25619998574256897</v>
      </c>
      <c r="P71" s="159">
        <v>0.30210000276565552</v>
      </c>
      <c r="Q71" s="159">
        <v>0.34860000014305115</v>
      </c>
      <c r="R71" s="159">
        <v>0.3919999897480011</v>
      </c>
      <c r="S71" s="159">
        <v>0.42579999566078186</v>
      </c>
      <c r="T71" s="159">
        <v>0.45519998669624329</v>
      </c>
      <c r="U71" s="159">
        <v>0.46329998970031738</v>
      </c>
      <c r="V71" s="159">
        <f t="shared" si="0"/>
        <v>0.46580000221729279</v>
      </c>
      <c r="W71" s="159">
        <v>0.46830001473426819</v>
      </c>
      <c r="X71" s="159">
        <v>0.46880000829696655</v>
      </c>
      <c r="Y71" s="159">
        <v>0.46849998831748962</v>
      </c>
      <c r="Z71" s="159">
        <v>0.46979999542236328</v>
      </c>
      <c r="AA71" s="159">
        <v>0.47409999370574951</v>
      </c>
      <c r="AB71" s="159">
        <v>0.48080000281333923</v>
      </c>
      <c r="AC71" s="159">
        <v>0.49099999666213989</v>
      </c>
      <c r="AD71" s="159">
        <v>0.50470000505447388</v>
      </c>
      <c r="AE71" s="159">
        <v>0.52009999752044678</v>
      </c>
      <c r="AF71" s="159">
        <v>0.52910000085830688</v>
      </c>
      <c r="AG71" s="157"/>
      <c r="AH71" s="157"/>
      <c r="AI71" s="157"/>
      <c r="AJ71" s="157"/>
      <c r="AK71" s="157"/>
      <c r="AL71" s="157"/>
      <c r="AM71" s="157"/>
      <c r="AN71" s="157"/>
      <c r="AO71" s="157"/>
      <c r="AP71" s="157"/>
      <c r="AQ71" s="157"/>
      <c r="AR71" s="157"/>
      <c r="AS71" s="157"/>
      <c r="AT71" s="157"/>
      <c r="AU71" s="157"/>
      <c r="AV71" s="157"/>
      <c r="AW71" s="157"/>
      <c r="AX71" s="157"/>
      <c r="AY71" s="157"/>
      <c r="AZ71" s="157"/>
      <c r="BA71" s="157"/>
      <c r="BB71" s="157"/>
      <c r="BC71" s="157"/>
      <c r="BD71" s="157"/>
      <c r="BE71" s="157"/>
      <c r="BF71" s="157"/>
      <c r="BG71" s="157"/>
      <c r="BH71" s="157"/>
      <c r="BI71" s="157"/>
      <c r="BJ71" s="157"/>
      <c r="BK71" s="157"/>
    </row>
    <row r="72" spans="1:63" x14ac:dyDescent="0.2">
      <c r="A72" s="135" t="s">
        <v>75</v>
      </c>
      <c r="B72" s="159">
        <v>0.10570000112056732</v>
      </c>
      <c r="C72" s="159">
        <v>0.1054999977350235</v>
      </c>
      <c r="D72" s="159">
        <v>0.10570000112056732</v>
      </c>
      <c r="E72" s="159">
        <v>0.10599999874830246</v>
      </c>
      <c r="F72" s="159">
        <v>0.10660000145435333</v>
      </c>
      <c r="G72" s="159">
        <v>0.10760000348091125</v>
      </c>
      <c r="H72" s="159">
        <v>0.10930000245571136</v>
      </c>
      <c r="I72" s="159">
        <v>0.11209999769926071</v>
      </c>
      <c r="J72" s="159">
        <v>0.11720000207424164</v>
      </c>
      <c r="K72" s="159">
        <v>0.12559999525547028</v>
      </c>
      <c r="L72" s="159">
        <v>0.13850000500679016</v>
      </c>
      <c r="M72" s="159">
        <v>0.15700000524520874</v>
      </c>
      <c r="N72" s="159">
        <v>0.1817999929189682</v>
      </c>
      <c r="O72" s="159">
        <v>0.2125999927520752</v>
      </c>
      <c r="P72" s="159">
        <v>0.25069999694824219</v>
      </c>
      <c r="Q72" s="159">
        <v>0.29660001397132874</v>
      </c>
      <c r="R72" s="159">
        <v>0.34310001134872437</v>
      </c>
      <c r="S72" s="159">
        <v>0.38989999890327454</v>
      </c>
      <c r="T72" s="159">
        <v>0.42329999804496765</v>
      </c>
      <c r="U72" s="159">
        <v>0.45269998908042908</v>
      </c>
      <c r="V72" s="159">
        <f t="shared" si="0"/>
        <v>0.4622499942779541</v>
      </c>
      <c r="W72" s="159">
        <v>0.47179999947547913</v>
      </c>
      <c r="X72" s="159">
        <v>0.47450000047683716</v>
      </c>
      <c r="Y72" s="159">
        <v>0.47389999032020569</v>
      </c>
      <c r="Z72" s="159">
        <v>0.47269999980926514</v>
      </c>
      <c r="AA72" s="159">
        <v>0.47569999098777771</v>
      </c>
      <c r="AB72" s="159">
        <v>0.47740000486373901</v>
      </c>
      <c r="AC72" s="159">
        <v>0.48330000042915344</v>
      </c>
      <c r="AD72" s="159">
        <v>0.49200001358985901</v>
      </c>
      <c r="AE72" s="159">
        <v>0.50629997253417969</v>
      </c>
      <c r="AF72" s="159">
        <v>0.51840001344680786</v>
      </c>
      <c r="AG72" s="157"/>
      <c r="AH72" s="157"/>
      <c r="AI72" s="157"/>
      <c r="AJ72" s="157"/>
      <c r="AK72" s="157"/>
      <c r="AL72" s="157"/>
      <c r="AM72" s="157"/>
      <c r="AN72" s="157"/>
      <c r="AO72" s="157"/>
      <c r="AP72" s="157"/>
      <c r="AQ72" s="157"/>
      <c r="AR72" s="157"/>
      <c r="AS72" s="157"/>
      <c r="AT72" s="157"/>
      <c r="AU72" s="157"/>
      <c r="AV72" s="157"/>
      <c r="AW72" s="157"/>
      <c r="AX72" s="157"/>
      <c r="AY72" s="157"/>
      <c r="AZ72" s="157"/>
      <c r="BA72" s="157"/>
      <c r="BB72" s="157"/>
      <c r="BC72" s="157"/>
      <c r="BD72" s="157"/>
      <c r="BE72" s="157"/>
      <c r="BF72" s="157"/>
      <c r="BG72" s="157"/>
      <c r="BH72" s="157"/>
      <c r="BI72" s="157"/>
      <c r="BJ72" s="157"/>
      <c r="BK72" s="157"/>
    </row>
    <row r="73" spans="1:63" x14ac:dyDescent="0.2">
      <c r="A73" s="135" t="s">
        <v>76</v>
      </c>
      <c r="B73" s="159">
        <v>0.10949999839067459</v>
      </c>
      <c r="C73" s="159">
        <v>0.10930000245571136</v>
      </c>
      <c r="D73" s="159">
        <v>0.10949999839067459</v>
      </c>
      <c r="E73" s="159">
        <v>0.10999999940395355</v>
      </c>
      <c r="F73" s="159">
        <v>0.11069999635219574</v>
      </c>
      <c r="G73" s="159">
        <v>0.11190000176429749</v>
      </c>
      <c r="H73" s="159">
        <v>0.11389999836683273</v>
      </c>
      <c r="I73" s="159">
        <v>0.11779999732971191</v>
      </c>
      <c r="J73" s="159">
        <v>0.1242000013589859</v>
      </c>
      <c r="K73" s="159">
        <v>0.13420000672340393</v>
      </c>
      <c r="L73" s="159">
        <v>0.14949999749660492</v>
      </c>
      <c r="M73" s="159">
        <v>0.17049999535083771</v>
      </c>
      <c r="N73" s="159">
        <v>0.19869999587535858</v>
      </c>
      <c r="O73" s="159">
        <v>0.23330000042915344</v>
      </c>
      <c r="P73" s="159">
        <v>0.2750999927520752</v>
      </c>
      <c r="Q73" s="159">
        <v>0.32249999046325684</v>
      </c>
      <c r="R73" s="159">
        <v>0.36959999799728394</v>
      </c>
      <c r="S73" s="159">
        <v>0.41659998893737793</v>
      </c>
      <c r="T73" s="159">
        <v>0.45179998874664307</v>
      </c>
      <c r="U73" s="159">
        <v>0.48230001330375671</v>
      </c>
      <c r="V73" s="159">
        <f t="shared" si="0"/>
        <v>0.4870000034570694</v>
      </c>
      <c r="W73" s="159">
        <v>0.49169999361038208</v>
      </c>
      <c r="X73" s="159">
        <v>0.49259999394416809</v>
      </c>
      <c r="Y73" s="159">
        <v>0.48629999160766602</v>
      </c>
      <c r="Z73" s="159">
        <v>0.48039999604225159</v>
      </c>
      <c r="AA73" s="159">
        <v>0.48010000586509705</v>
      </c>
      <c r="AB73" s="159">
        <v>0.48019999265670776</v>
      </c>
      <c r="AC73" s="159">
        <v>0.48199999332427979</v>
      </c>
      <c r="AD73" s="159">
        <v>0.4878000020980835</v>
      </c>
      <c r="AE73" s="159">
        <v>0.49959999322891235</v>
      </c>
      <c r="AF73" s="159">
        <v>0.50459998846054077</v>
      </c>
      <c r="AG73" s="157"/>
      <c r="AH73" s="157"/>
      <c r="AI73" s="157"/>
      <c r="AJ73" s="157"/>
      <c r="AK73" s="157"/>
      <c r="AL73" s="157"/>
      <c r="AM73" s="157"/>
      <c r="AN73" s="157"/>
      <c r="AO73" s="157"/>
      <c r="AP73" s="157"/>
      <c r="AQ73" s="157"/>
      <c r="AR73" s="157"/>
      <c r="AS73" s="157"/>
      <c r="AT73" s="157"/>
      <c r="AU73" s="157"/>
      <c r="AV73" s="157"/>
      <c r="AW73" s="157"/>
      <c r="AX73" s="157"/>
      <c r="AY73" s="157"/>
      <c r="AZ73" s="157"/>
      <c r="BA73" s="157"/>
      <c r="BB73" s="157"/>
      <c r="BC73" s="157"/>
      <c r="BD73" s="157"/>
      <c r="BE73" s="157"/>
      <c r="BF73" s="157"/>
      <c r="BG73" s="157"/>
      <c r="BH73" s="157"/>
      <c r="BI73" s="157"/>
      <c r="BJ73" s="157"/>
      <c r="BK73" s="157"/>
    </row>
    <row r="74" spans="1:63" x14ac:dyDescent="0.2">
      <c r="A74" s="135" t="s">
        <v>77</v>
      </c>
      <c r="B74" s="159">
        <v>0.10710000246763229</v>
      </c>
      <c r="C74" s="159">
        <v>0.10679999738931656</v>
      </c>
      <c r="D74" s="159">
        <v>0.10670000314712524</v>
      </c>
      <c r="E74" s="159">
        <v>0.10670000314712524</v>
      </c>
      <c r="F74" s="159">
        <v>0.10660000145435333</v>
      </c>
      <c r="G74" s="159">
        <v>0.10660000145435333</v>
      </c>
      <c r="H74" s="159">
        <v>0.10639999806880951</v>
      </c>
      <c r="I74" s="159">
        <v>0.1062999963760376</v>
      </c>
      <c r="J74" s="159">
        <v>0.10620000213384628</v>
      </c>
      <c r="K74" s="159">
        <v>0.10620000213384628</v>
      </c>
      <c r="L74" s="159">
        <v>0.10620000213384628</v>
      </c>
      <c r="M74" s="159">
        <v>0.10599999874830246</v>
      </c>
      <c r="N74" s="159">
        <v>0.10589999705553055</v>
      </c>
      <c r="O74" s="159">
        <v>0.10570000112056732</v>
      </c>
      <c r="P74" s="159">
        <v>0.1054999977350235</v>
      </c>
      <c r="Q74" s="159">
        <v>0.1054999977350235</v>
      </c>
      <c r="R74" s="159">
        <v>0.1054999977350235</v>
      </c>
      <c r="S74" s="159">
        <v>0.1054999977350235</v>
      </c>
      <c r="T74" s="159">
        <v>0.10559999942779541</v>
      </c>
      <c r="U74" s="159">
        <v>0.10570000112056732</v>
      </c>
      <c r="V74" s="159">
        <f t="shared" si="0"/>
        <v>0.10559999942779541</v>
      </c>
      <c r="W74" s="159">
        <v>0.1054999977350235</v>
      </c>
      <c r="X74" s="159">
        <v>0.10540000349283218</v>
      </c>
      <c r="Y74" s="159">
        <v>0.10520000010728836</v>
      </c>
      <c r="Z74" s="159">
        <v>0.10509999841451645</v>
      </c>
      <c r="AA74" s="159">
        <v>0.10490000247955322</v>
      </c>
      <c r="AB74" s="159">
        <v>0.10480000078678131</v>
      </c>
      <c r="AC74" s="159">
        <v>0.10480000078678131</v>
      </c>
      <c r="AD74" s="159">
        <v>0.10480000078678131</v>
      </c>
      <c r="AE74" s="159">
        <v>0.1046999990940094</v>
      </c>
      <c r="AF74" s="159">
        <v>0.10490000247955322</v>
      </c>
      <c r="AG74" s="157"/>
      <c r="AH74" s="157"/>
      <c r="AI74" s="157"/>
      <c r="AJ74" s="157"/>
      <c r="AK74" s="157"/>
      <c r="AL74" s="157"/>
      <c r="AM74" s="157"/>
      <c r="AN74" s="157"/>
      <c r="AO74" s="157"/>
      <c r="AP74" s="157"/>
      <c r="AQ74" s="157"/>
      <c r="AR74" s="157"/>
      <c r="AS74" s="157"/>
      <c r="AT74" s="157"/>
      <c r="AU74" s="157"/>
      <c r="AV74" s="157"/>
      <c r="AW74" s="157"/>
      <c r="AX74" s="157"/>
      <c r="AY74" s="157"/>
      <c r="AZ74" s="157"/>
      <c r="BA74" s="157"/>
      <c r="BB74" s="157"/>
      <c r="BC74" s="157"/>
      <c r="BD74" s="157"/>
      <c r="BE74" s="157"/>
      <c r="BF74" s="157"/>
      <c r="BG74" s="157"/>
      <c r="BH74" s="157"/>
      <c r="BI74" s="157"/>
      <c r="BJ74" s="157"/>
      <c r="BK74" s="157"/>
    </row>
    <row r="75" spans="1:63" x14ac:dyDescent="0.2">
      <c r="A75" s="135" t="s">
        <v>78</v>
      </c>
      <c r="B75" s="159">
        <v>0.10719999670982361</v>
      </c>
      <c r="C75" s="159">
        <v>0.10719999670982361</v>
      </c>
      <c r="D75" s="159">
        <v>0.10719999670982361</v>
      </c>
      <c r="E75" s="159">
        <v>0.10729999840259552</v>
      </c>
      <c r="F75" s="159">
        <v>0.10729999840259552</v>
      </c>
      <c r="G75" s="159">
        <v>0.10740000009536743</v>
      </c>
      <c r="H75" s="159">
        <v>0.10729999840259552</v>
      </c>
      <c r="I75" s="159">
        <v>0.10729999840259552</v>
      </c>
      <c r="J75" s="159">
        <v>0.10719999670982361</v>
      </c>
      <c r="K75" s="159">
        <v>0.10719999670982361</v>
      </c>
      <c r="L75" s="159">
        <v>0.10719999670982361</v>
      </c>
      <c r="M75" s="159">
        <v>0.10729999840259552</v>
      </c>
      <c r="N75" s="159">
        <v>0.10689999908208847</v>
      </c>
      <c r="O75" s="159">
        <v>0.10679999738931656</v>
      </c>
      <c r="P75" s="159">
        <v>0.10660000145435333</v>
      </c>
      <c r="Q75" s="159">
        <v>0.10660000145435333</v>
      </c>
      <c r="R75" s="159">
        <v>0.10660000145435333</v>
      </c>
      <c r="S75" s="159">
        <v>0.10670000314712524</v>
      </c>
      <c r="T75" s="159">
        <v>0.10679999738931656</v>
      </c>
      <c r="U75" s="159">
        <v>0.10689999908208847</v>
      </c>
      <c r="V75" s="159">
        <f t="shared" si="0"/>
        <v>0.10684999823570251</v>
      </c>
      <c r="W75" s="159">
        <v>0.10679999738931656</v>
      </c>
      <c r="X75" s="159">
        <v>0.10679999738931656</v>
      </c>
      <c r="Y75" s="159">
        <v>0.10649999976158142</v>
      </c>
      <c r="Z75" s="159">
        <v>0.1062999963760376</v>
      </c>
      <c r="AA75" s="159">
        <v>0.10620000213384628</v>
      </c>
      <c r="AB75" s="159">
        <v>0.10610000044107437</v>
      </c>
      <c r="AC75" s="159">
        <v>0.10610000044107437</v>
      </c>
      <c r="AD75" s="159">
        <v>0.10610000044107437</v>
      </c>
      <c r="AE75" s="159">
        <v>0.10610000044107437</v>
      </c>
      <c r="AF75" s="159">
        <v>0.10620000213384628</v>
      </c>
      <c r="AG75" s="157"/>
      <c r="AH75" s="157"/>
      <c r="AI75" s="157"/>
      <c r="AJ75" s="157"/>
      <c r="AK75" s="157"/>
      <c r="AL75" s="157"/>
      <c r="AM75" s="157"/>
      <c r="AN75" s="157"/>
      <c r="AO75" s="157"/>
      <c r="AP75" s="157"/>
      <c r="AQ75" s="157"/>
      <c r="AR75" s="157"/>
      <c r="AS75" s="157"/>
      <c r="AT75" s="157"/>
      <c r="AU75" s="157"/>
      <c r="AV75" s="157"/>
      <c r="AW75" s="157"/>
      <c r="AX75" s="157"/>
      <c r="AY75" s="157"/>
      <c r="AZ75" s="157"/>
      <c r="BA75" s="157"/>
      <c r="BB75" s="157"/>
      <c r="BC75" s="157"/>
      <c r="BD75" s="157"/>
      <c r="BE75" s="157"/>
      <c r="BF75" s="157"/>
      <c r="BG75" s="157"/>
      <c r="BH75" s="157"/>
      <c r="BI75" s="157"/>
      <c r="BJ75" s="157"/>
      <c r="BK75" s="157"/>
    </row>
    <row r="76" spans="1:63" x14ac:dyDescent="0.2">
      <c r="A76" s="135" t="s">
        <v>79</v>
      </c>
      <c r="B76" s="159">
        <v>0.10740000009536743</v>
      </c>
      <c r="C76" s="159">
        <v>0.10750000178813934</v>
      </c>
      <c r="D76" s="159">
        <v>0.10779999941587448</v>
      </c>
      <c r="E76" s="159">
        <v>0.10849999636411667</v>
      </c>
      <c r="F76" s="159">
        <v>0.10930000245571136</v>
      </c>
      <c r="G76" s="159">
        <v>0.11069999635219574</v>
      </c>
      <c r="H76" s="159">
        <v>0.11320000141859055</v>
      </c>
      <c r="I76" s="159">
        <v>0.11749999970197678</v>
      </c>
      <c r="J76" s="159">
        <v>0.1242000013589859</v>
      </c>
      <c r="K76" s="159">
        <v>0.13539999723434448</v>
      </c>
      <c r="L76" s="159">
        <v>0.15129999816417694</v>
      </c>
      <c r="M76" s="159">
        <v>0.17280000448226929</v>
      </c>
      <c r="N76" s="159">
        <v>0.20029999315738678</v>
      </c>
      <c r="O76" s="159">
        <v>0.23319999873638153</v>
      </c>
      <c r="P76" s="159">
        <v>0.27129998803138733</v>
      </c>
      <c r="Q76" s="159">
        <v>0.31540000438690186</v>
      </c>
      <c r="R76" s="159">
        <v>0.36079999804496765</v>
      </c>
      <c r="S76" s="159">
        <v>0.40049999952316284</v>
      </c>
      <c r="T76" s="159">
        <v>0.4359000027179718</v>
      </c>
      <c r="U76" s="159">
        <v>0.45390000939369202</v>
      </c>
      <c r="V76" s="159">
        <f t="shared" si="0"/>
        <v>0.46090000867843628</v>
      </c>
      <c r="W76" s="159">
        <v>0.46790000796318054</v>
      </c>
      <c r="X76" s="159">
        <v>0.46939998865127563</v>
      </c>
      <c r="Y76" s="159">
        <v>0.47189998626708984</v>
      </c>
      <c r="Z76" s="159">
        <v>0.47540000081062317</v>
      </c>
      <c r="AA76" s="159">
        <v>0.48219999670982361</v>
      </c>
      <c r="AB76" s="159">
        <v>0.48879998922348022</v>
      </c>
      <c r="AC76" s="159">
        <v>0.49930000305175781</v>
      </c>
      <c r="AD76" s="159">
        <v>0.51319998502731323</v>
      </c>
      <c r="AE76" s="159">
        <v>0.52740001678466797</v>
      </c>
      <c r="AF76" s="159">
        <v>0.54339998960494995</v>
      </c>
      <c r="AG76" s="157"/>
      <c r="AH76" s="157"/>
      <c r="AI76" s="157"/>
      <c r="AJ76" s="157"/>
      <c r="AK76" s="157"/>
      <c r="AL76" s="157"/>
      <c r="AM76" s="157"/>
      <c r="AN76" s="157"/>
      <c r="AO76" s="157"/>
      <c r="AP76" s="157"/>
      <c r="AQ76" s="157"/>
      <c r="AR76" s="157"/>
      <c r="AS76" s="157"/>
      <c r="AT76" s="157"/>
      <c r="AU76" s="157"/>
      <c r="AV76" s="157"/>
      <c r="AW76" s="157"/>
      <c r="AX76" s="157"/>
      <c r="AY76" s="157"/>
      <c r="AZ76" s="157"/>
      <c r="BA76" s="157"/>
      <c r="BB76" s="157"/>
      <c r="BC76" s="157"/>
      <c r="BD76" s="157"/>
      <c r="BE76" s="157"/>
      <c r="BF76" s="157"/>
      <c r="BG76" s="157"/>
      <c r="BH76" s="157"/>
      <c r="BI76" s="157"/>
      <c r="BJ76" s="157"/>
      <c r="BK76" s="157"/>
    </row>
    <row r="77" spans="1:63" x14ac:dyDescent="0.2">
      <c r="A77" s="135" t="s">
        <v>80</v>
      </c>
      <c r="B77" s="159">
        <v>0.1062999963760376</v>
      </c>
      <c r="C77" s="159">
        <v>0.10620000213384628</v>
      </c>
      <c r="D77" s="159">
        <v>0.10639999806880951</v>
      </c>
      <c r="E77" s="159">
        <v>0.10710000246763229</v>
      </c>
      <c r="F77" s="159">
        <v>0.10750000178813934</v>
      </c>
      <c r="G77" s="159">
        <v>0.10869999974966049</v>
      </c>
      <c r="H77" s="159">
        <v>0.11060000211000443</v>
      </c>
      <c r="I77" s="159">
        <v>0.11389999836683273</v>
      </c>
      <c r="J77" s="159">
        <v>0.11949999630451202</v>
      </c>
      <c r="K77" s="159">
        <v>0.12849999964237213</v>
      </c>
      <c r="L77" s="159">
        <v>0.14219999313354492</v>
      </c>
      <c r="M77" s="159">
        <v>0.16140000522136688</v>
      </c>
      <c r="N77" s="159">
        <v>0.18649999797344208</v>
      </c>
      <c r="O77" s="159">
        <v>0.21649999916553497</v>
      </c>
      <c r="P77" s="159">
        <v>0.25229999423027039</v>
      </c>
      <c r="Q77" s="159">
        <v>0.29289999604225159</v>
      </c>
      <c r="R77" s="159">
        <v>0.33700001239776611</v>
      </c>
      <c r="S77" s="159">
        <v>0.38199999928474426</v>
      </c>
      <c r="T77" s="159">
        <v>0.41789999604225159</v>
      </c>
      <c r="U77" s="159">
        <v>0.4496999979019165</v>
      </c>
      <c r="V77" s="159">
        <f t="shared" si="0"/>
        <v>0.45835000276565552</v>
      </c>
      <c r="W77" s="159">
        <v>0.46700000762939453</v>
      </c>
      <c r="X77" s="159">
        <v>0.47229999303817749</v>
      </c>
      <c r="Y77" s="159">
        <v>0.47130000591278076</v>
      </c>
      <c r="Z77" s="159">
        <v>0.47580000758171082</v>
      </c>
      <c r="AA77" s="159">
        <v>0.4779999852180481</v>
      </c>
      <c r="AB77" s="159">
        <v>0.48449999094009399</v>
      </c>
      <c r="AC77" s="159">
        <v>0.49059998989105225</v>
      </c>
      <c r="AD77" s="159">
        <v>0.50160002708435059</v>
      </c>
      <c r="AE77" s="159">
        <v>0.51490002870559692</v>
      </c>
      <c r="AF77" s="159">
        <v>0.53070002794265747</v>
      </c>
      <c r="AG77" s="157"/>
      <c r="AH77" s="157"/>
      <c r="AI77" s="157"/>
      <c r="AJ77" s="157"/>
      <c r="AK77" s="157"/>
      <c r="AL77" s="157"/>
      <c r="AM77" s="157"/>
      <c r="AN77" s="157"/>
      <c r="AO77" s="157"/>
      <c r="AP77" s="157"/>
      <c r="AQ77" s="157"/>
      <c r="AR77" s="157"/>
      <c r="AS77" s="157"/>
      <c r="AT77" s="157"/>
      <c r="AU77" s="157"/>
      <c r="AV77" s="157"/>
      <c r="AW77" s="157"/>
      <c r="AX77" s="157"/>
      <c r="AY77" s="157"/>
      <c r="AZ77" s="157"/>
      <c r="BA77" s="157"/>
      <c r="BB77" s="157"/>
      <c r="BC77" s="157"/>
      <c r="BD77" s="157"/>
      <c r="BE77" s="157"/>
      <c r="BF77" s="157"/>
      <c r="BG77" s="157"/>
      <c r="BH77" s="157"/>
      <c r="BI77" s="157"/>
      <c r="BJ77" s="157"/>
      <c r="BK77" s="157"/>
    </row>
    <row r="78" spans="1:63" x14ac:dyDescent="0.2">
      <c r="A78" s="135" t="s">
        <v>81</v>
      </c>
      <c r="B78" s="159">
        <v>0.10620000213384628</v>
      </c>
      <c r="C78" s="159">
        <v>0.10610000044107437</v>
      </c>
      <c r="D78" s="159">
        <v>0.10620000213384628</v>
      </c>
      <c r="E78" s="159">
        <v>0.10670000314712524</v>
      </c>
      <c r="F78" s="159">
        <v>0.10729999840259552</v>
      </c>
      <c r="G78" s="159">
        <v>0.10840000212192535</v>
      </c>
      <c r="H78" s="159">
        <v>0.11029999703168869</v>
      </c>
      <c r="I78" s="159">
        <v>0.11339999735355377</v>
      </c>
      <c r="J78" s="159">
        <v>0.11869999766349792</v>
      </c>
      <c r="K78" s="159">
        <v>0.12720000743865967</v>
      </c>
      <c r="L78" s="159">
        <v>0.14049999415874481</v>
      </c>
      <c r="M78" s="159">
        <v>0.1590999960899353</v>
      </c>
      <c r="N78" s="159">
        <v>0.18379999697208405</v>
      </c>
      <c r="O78" s="159">
        <v>0.21310000121593475</v>
      </c>
      <c r="P78" s="159">
        <v>0.24770000576972961</v>
      </c>
      <c r="Q78" s="159">
        <v>0.28749999403953552</v>
      </c>
      <c r="R78" s="159">
        <v>0.33270001411437988</v>
      </c>
      <c r="S78" s="159">
        <v>0.37680000066757202</v>
      </c>
      <c r="T78" s="159">
        <v>0.41200000047683716</v>
      </c>
      <c r="U78" s="159">
        <v>0.44409999251365662</v>
      </c>
      <c r="V78" s="159">
        <f t="shared" si="0"/>
        <v>0.45329999923706055</v>
      </c>
      <c r="W78" s="159">
        <v>0.46250000596046448</v>
      </c>
      <c r="X78" s="159">
        <v>0.46639999747276306</v>
      </c>
      <c r="Y78" s="159">
        <v>0.46770000457763672</v>
      </c>
      <c r="Z78" s="159">
        <v>0.4708000123500824</v>
      </c>
      <c r="AA78" s="159">
        <v>0.47429999709129333</v>
      </c>
      <c r="AB78" s="159">
        <v>0.48050001263618469</v>
      </c>
      <c r="AC78" s="159">
        <v>0.48640000820159912</v>
      </c>
      <c r="AD78" s="159">
        <v>0.49819999933242798</v>
      </c>
      <c r="AE78" s="159">
        <v>0.51020002365112305</v>
      </c>
      <c r="AF78" s="159">
        <v>0.52619999647140503</v>
      </c>
      <c r="AG78" s="157"/>
      <c r="AH78" s="157"/>
      <c r="AI78" s="157"/>
      <c r="AJ78" s="157"/>
      <c r="AK78" s="157"/>
      <c r="AL78" s="157"/>
      <c r="AM78" s="157"/>
      <c r="AN78" s="157"/>
      <c r="AO78" s="157"/>
      <c r="AP78" s="157"/>
      <c r="AQ78" s="157"/>
      <c r="AR78" s="157"/>
      <c r="AS78" s="157"/>
      <c r="AT78" s="157"/>
      <c r="AU78" s="157"/>
      <c r="AV78" s="157"/>
      <c r="AW78" s="157"/>
      <c r="AX78" s="157"/>
      <c r="AY78" s="157"/>
      <c r="AZ78" s="157"/>
      <c r="BA78" s="157"/>
      <c r="BB78" s="157"/>
      <c r="BC78" s="157"/>
      <c r="BD78" s="157"/>
      <c r="BE78" s="157"/>
      <c r="BF78" s="157"/>
      <c r="BG78" s="157"/>
      <c r="BH78" s="157"/>
      <c r="BI78" s="157"/>
      <c r="BJ78" s="157"/>
      <c r="BK78" s="157"/>
    </row>
    <row r="79" spans="1:63" x14ac:dyDescent="0.2">
      <c r="A79" s="135" t="s">
        <v>82</v>
      </c>
      <c r="B79" s="159">
        <v>0.10700000077486038</v>
      </c>
      <c r="C79" s="159">
        <v>0.10670000314712524</v>
      </c>
      <c r="D79" s="159">
        <v>0.10679999738931656</v>
      </c>
      <c r="E79" s="159">
        <v>0.10729999840259552</v>
      </c>
      <c r="F79" s="159">
        <v>0.10740000009536743</v>
      </c>
      <c r="G79" s="159">
        <v>0.10809999704360962</v>
      </c>
      <c r="H79" s="159">
        <v>0.10869999974966049</v>
      </c>
      <c r="I79" s="159">
        <v>0.10970000177621841</v>
      </c>
      <c r="J79" s="159">
        <v>0.11069999635219574</v>
      </c>
      <c r="K79" s="159">
        <v>0.11240000277757645</v>
      </c>
      <c r="L79" s="159">
        <v>0.11490000039339066</v>
      </c>
      <c r="M79" s="159">
        <v>0.11810000240802765</v>
      </c>
      <c r="N79" s="159">
        <v>0.12349999696016312</v>
      </c>
      <c r="O79" s="159">
        <v>0.13019999861717224</v>
      </c>
      <c r="P79" s="159">
        <v>0.14030000567436218</v>
      </c>
      <c r="Q79" s="159">
        <v>0.15469999611377716</v>
      </c>
      <c r="R79" s="159">
        <v>0.17659999430179596</v>
      </c>
      <c r="S79" s="159">
        <v>0.2070000022649765</v>
      </c>
      <c r="T79" s="159">
        <v>0.24310000240802765</v>
      </c>
      <c r="U79" s="159">
        <v>0.28400000929832458</v>
      </c>
      <c r="V79" s="159">
        <f t="shared" si="0"/>
        <v>0.32565000653266907</v>
      </c>
      <c r="W79" s="159">
        <v>0.36730000376701355</v>
      </c>
      <c r="X79" s="159">
        <v>0.40560001134872437</v>
      </c>
      <c r="Y79" s="159">
        <v>0.44130000472068787</v>
      </c>
      <c r="Z79" s="159">
        <v>0.46410000324249268</v>
      </c>
      <c r="AA79" s="159">
        <v>0.47020000219345093</v>
      </c>
      <c r="AB79" s="159">
        <v>0.47400000691413879</v>
      </c>
      <c r="AC79" s="159">
        <v>0.4731999933719635</v>
      </c>
      <c r="AD79" s="159">
        <v>0.47139999270439148</v>
      </c>
      <c r="AE79" s="159">
        <v>0.47290000319480896</v>
      </c>
      <c r="AF79" s="159">
        <v>0.47679999470710754</v>
      </c>
      <c r="AG79" s="157"/>
      <c r="AH79" s="157"/>
      <c r="AI79" s="157"/>
      <c r="AJ79" s="157"/>
      <c r="AK79" s="157"/>
      <c r="AL79" s="157"/>
      <c r="AM79" s="157"/>
      <c r="AN79" s="157"/>
      <c r="AO79" s="157"/>
      <c r="AP79" s="157"/>
      <c r="AQ79" s="157"/>
      <c r="AR79" s="157"/>
      <c r="AS79" s="157"/>
      <c r="AT79" s="157"/>
      <c r="AU79" s="157"/>
      <c r="AV79" s="157"/>
      <c r="AW79" s="157"/>
      <c r="AX79" s="157"/>
      <c r="AY79" s="157"/>
      <c r="AZ79" s="157"/>
      <c r="BA79" s="157"/>
      <c r="BB79" s="157"/>
      <c r="BC79" s="157"/>
      <c r="BD79" s="157"/>
      <c r="BE79" s="157"/>
      <c r="BF79" s="157"/>
      <c r="BG79" s="157"/>
      <c r="BH79" s="157"/>
      <c r="BI79" s="157"/>
      <c r="BJ79" s="157"/>
      <c r="BK79" s="157"/>
    </row>
    <row r="80" spans="1:63" x14ac:dyDescent="0.2">
      <c r="A80" s="135" t="s">
        <v>83</v>
      </c>
      <c r="B80" s="159">
        <v>0.10610000044107437</v>
      </c>
      <c r="C80" s="159">
        <v>0.10589999705553055</v>
      </c>
      <c r="D80" s="159">
        <v>0.10610000044107437</v>
      </c>
      <c r="E80" s="159">
        <v>0.10649999976158142</v>
      </c>
      <c r="F80" s="159">
        <v>0.10689999908208847</v>
      </c>
      <c r="G80" s="159">
        <v>0.10760000348091125</v>
      </c>
      <c r="H80" s="159">
        <v>0.10830000042915344</v>
      </c>
      <c r="I80" s="159">
        <v>0.10930000245571136</v>
      </c>
      <c r="J80" s="159">
        <v>0.11050000041723251</v>
      </c>
      <c r="K80" s="159">
        <v>0.11240000277757645</v>
      </c>
      <c r="L80" s="159">
        <v>0.11479999870061874</v>
      </c>
      <c r="M80" s="159">
        <v>0.1185000017285347</v>
      </c>
      <c r="N80" s="159">
        <v>0.12370000034570694</v>
      </c>
      <c r="O80" s="159">
        <v>0.13160000741481781</v>
      </c>
      <c r="P80" s="159">
        <v>0.14259999990463257</v>
      </c>
      <c r="Q80" s="159">
        <v>0.15899999439716339</v>
      </c>
      <c r="R80" s="159">
        <v>0.18469999730587006</v>
      </c>
      <c r="S80" s="159">
        <v>0.21680000424385071</v>
      </c>
      <c r="T80" s="159">
        <v>0.25389999151229858</v>
      </c>
      <c r="U80" s="159">
        <v>0.29559999704360962</v>
      </c>
      <c r="V80" s="159">
        <f t="shared" si="0"/>
        <v>0.33540000021457672</v>
      </c>
      <c r="W80" s="159">
        <v>0.37520000338554382</v>
      </c>
      <c r="X80" s="159">
        <v>0.41139999032020569</v>
      </c>
      <c r="Y80" s="159">
        <v>0.44200000166893005</v>
      </c>
      <c r="Z80" s="159">
        <v>0.44850000739097595</v>
      </c>
      <c r="AA80" s="159">
        <v>0.45399999618530273</v>
      </c>
      <c r="AB80" s="159">
        <v>0.45500001311302185</v>
      </c>
      <c r="AC80" s="159">
        <v>0.45179998874664307</v>
      </c>
      <c r="AD80" s="159">
        <v>0.45399999618530273</v>
      </c>
      <c r="AE80" s="159">
        <v>0.45759999752044678</v>
      </c>
      <c r="AF80" s="159">
        <v>0.4643000066280365</v>
      </c>
      <c r="AG80" s="157"/>
      <c r="AH80" s="157"/>
      <c r="AI80" s="157"/>
      <c r="AJ80" s="157"/>
      <c r="AK80" s="157"/>
      <c r="AL80" s="157"/>
      <c r="AM80" s="157"/>
      <c r="AN80" s="157"/>
      <c r="AO80" s="157"/>
      <c r="AP80" s="157"/>
      <c r="AQ80" s="157"/>
      <c r="AR80" s="157"/>
      <c r="AS80" s="157"/>
      <c r="AT80" s="157"/>
      <c r="AU80" s="157"/>
      <c r="AV80" s="157"/>
      <c r="AW80" s="157"/>
      <c r="AX80" s="157"/>
      <c r="AY80" s="157"/>
      <c r="AZ80" s="157"/>
      <c r="BA80" s="157"/>
      <c r="BB80" s="157"/>
      <c r="BC80" s="157"/>
      <c r="BD80" s="157"/>
      <c r="BE80" s="157"/>
      <c r="BF80" s="157"/>
      <c r="BG80" s="157"/>
      <c r="BH80" s="157"/>
      <c r="BI80" s="157"/>
      <c r="BJ80" s="157"/>
      <c r="BK80" s="157"/>
    </row>
    <row r="81" spans="1:63" x14ac:dyDescent="0.2">
      <c r="A81" s="135" t="s">
        <v>84</v>
      </c>
      <c r="B81" s="159">
        <v>0.10559999942779541</v>
      </c>
      <c r="C81" s="159">
        <v>0.1054999977350235</v>
      </c>
      <c r="D81" s="159">
        <v>0.10559999942779541</v>
      </c>
      <c r="E81" s="159">
        <v>0.10599999874830246</v>
      </c>
      <c r="F81" s="159">
        <v>0.10649999976158142</v>
      </c>
      <c r="G81" s="159">
        <v>0.10719999670982361</v>
      </c>
      <c r="H81" s="159">
        <v>0.10769999772310257</v>
      </c>
      <c r="I81" s="159">
        <v>0.10869999974966049</v>
      </c>
      <c r="J81" s="159">
        <v>0.10970000177621841</v>
      </c>
      <c r="K81" s="159">
        <v>0.11140000075101852</v>
      </c>
      <c r="L81" s="159">
        <v>0.11349999904632568</v>
      </c>
      <c r="M81" s="159">
        <v>0.11670000106096268</v>
      </c>
      <c r="N81" s="159">
        <v>0.12110000103712082</v>
      </c>
      <c r="O81" s="159">
        <v>0.1273999959230423</v>
      </c>
      <c r="P81" s="159">
        <v>0.13689999282360077</v>
      </c>
      <c r="Q81" s="159">
        <v>0.15150000154972076</v>
      </c>
      <c r="R81" s="159">
        <v>0.17360000312328339</v>
      </c>
      <c r="S81" s="159">
        <v>0.20379999279975891</v>
      </c>
      <c r="T81" s="159">
        <v>0.23989999294281006</v>
      </c>
      <c r="U81" s="159">
        <v>0.2800000011920929</v>
      </c>
      <c r="V81" s="159">
        <f t="shared" si="0"/>
        <v>0.32125000655651093</v>
      </c>
      <c r="W81" s="159">
        <v>0.36250001192092896</v>
      </c>
      <c r="X81" s="159">
        <v>0.39879998564720154</v>
      </c>
      <c r="Y81" s="159">
        <v>0.43130001425743103</v>
      </c>
      <c r="Z81" s="159">
        <v>0.446399986743927</v>
      </c>
      <c r="AA81" s="159">
        <v>0.45260000228881836</v>
      </c>
      <c r="AB81" s="159">
        <v>0.45500001311302185</v>
      </c>
      <c r="AC81" s="159">
        <v>0.4528999924659729</v>
      </c>
      <c r="AD81" s="159">
        <v>0.45239999890327454</v>
      </c>
      <c r="AE81" s="159">
        <v>0.45469999313354492</v>
      </c>
      <c r="AF81" s="159">
        <v>0.4611000120639801</v>
      </c>
      <c r="AG81" s="157"/>
      <c r="AH81" s="157"/>
      <c r="AI81" s="157"/>
      <c r="AJ81" s="157"/>
      <c r="AK81" s="157"/>
      <c r="AL81" s="157"/>
      <c r="AM81" s="157"/>
      <c r="AN81" s="157"/>
      <c r="AO81" s="157"/>
      <c r="AP81" s="157"/>
      <c r="AQ81" s="157"/>
      <c r="AR81" s="157"/>
      <c r="AS81" s="157"/>
      <c r="AT81" s="157"/>
      <c r="AU81" s="157"/>
      <c r="AV81" s="157"/>
      <c r="AW81" s="157"/>
      <c r="AX81" s="157"/>
      <c r="AY81" s="157"/>
      <c r="AZ81" s="157"/>
      <c r="BA81" s="157"/>
      <c r="BB81" s="157"/>
      <c r="BC81" s="157"/>
      <c r="BD81" s="157"/>
      <c r="BE81" s="157"/>
      <c r="BF81" s="157"/>
      <c r="BG81" s="157"/>
      <c r="BH81" s="157"/>
      <c r="BI81" s="157"/>
      <c r="BJ81" s="157"/>
      <c r="BK81" s="157"/>
    </row>
    <row r="82" spans="1:63" x14ac:dyDescent="0.2">
      <c r="A82" s="135" t="s">
        <v>85</v>
      </c>
      <c r="B82" s="159">
        <v>0.10660000145435333</v>
      </c>
      <c r="C82" s="159">
        <v>0.1062999963760376</v>
      </c>
      <c r="D82" s="159">
        <v>0.10649999976158142</v>
      </c>
      <c r="E82" s="159">
        <v>0.10700000077486038</v>
      </c>
      <c r="F82" s="159">
        <v>0.10740000009536743</v>
      </c>
      <c r="G82" s="159">
        <v>0.10840000212192535</v>
      </c>
      <c r="H82" s="159">
        <v>0.10980000346899033</v>
      </c>
      <c r="I82" s="159">
        <v>0.11209999769926071</v>
      </c>
      <c r="J82" s="159">
        <v>0.11640000343322754</v>
      </c>
      <c r="K82" s="159">
        <v>0.12300000339746475</v>
      </c>
      <c r="L82" s="159">
        <v>0.13379999995231628</v>
      </c>
      <c r="M82" s="159">
        <v>0.14869999885559082</v>
      </c>
      <c r="N82" s="159">
        <v>0.16949999332427979</v>
      </c>
      <c r="O82" s="159">
        <v>0.19699999690055847</v>
      </c>
      <c r="P82" s="159">
        <v>0.23100000619888306</v>
      </c>
      <c r="Q82" s="159">
        <v>0.26829999685287476</v>
      </c>
      <c r="R82" s="159">
        <v>0.31369999051094055</v>
      </c>
      <c r="S82" s="159">
        <v>0.35969999432563782</v>
      </c>
      <c r="T82" s="159">
        <v>0.39620000123977661</v>
      </c>
      <c r="U82" s="159">
        <v>0.42480000853538513</v>
      </c>
      <c r="V82" s="159">
        <f t="shared" si="0"/>
        <v>0.43170000612735748</v>
      </c>
      <c r="W82" s="159">
        <v>0.43860000371932983</v>
      </c>
      <c r="X82" s="159">
        <v>0.43759998679161072</v>
      </c>
      <c r="Y82" s="159">
        <v>0.43290001153945923</v>
      </c>
      <c r="Z82" s="159">
        <v>0.42820000648498535</v>
      </c>
      <c r="AA82" s="159">
        <v>0.4260999858379364</v>
      </c>
      <c r="AB82" s="159">
        <v>0.42519998550415039</v>
      </c>
      <c r="AC82" s="159">
        <v>0.42820000648498535</v>
      </c>
      <c r="AD82" s="159">
        <v>0.43160000443458557</v>
      </c>
      <c r="AE82" s="159">
        <v>0.43790000677108765</v>
      </c>
      <c r="AF82" s="159">
        <v>0.44740000367164612</v>
      </c>
      <c r="AG82" s="157"/>
      <c r="AH82" s="157"/>
      <c r="AI82" s="157"/>
      <c r="AJ82" s="157"/>
      <c r="AK82" s="157"/>
      <c r="AL82" s="157"/>
      <c r="AM82" s="157"/>
      <c r="AN82" s="157"/>
      <c r="AO82" s="157"/>
      <c r="AP82" s="157"/>
      <c r="AQ82" s="157"/>
      <c r="AR82" s="157"/>
      <c r="AS82" s="157"/>
      <c r="AT82" s="157"/>
      <c r="AU82" s="157"/>
      <c r="AV82" s="157"/>
      <c r="AW82" s="157"/>
      <c r="AX82" s="157"/>
      <c r="AY82" s="157"/>
      <c r="AZ82" s="157"/>
      <c r="BA82" s="157"/>
      <c r="BB82" s="157"/>
      <c r="BC82" s="157"/>
      <c r="BD82" s="157"/>
      <c r="BE82" s="157"/>
      <c r="BF82" s="157"/>
      <c r="BG82" s="157"/>
      <c r="BH82" s="157"/>
      <c r="BI82" s="157"/>
      <c r="BJ82" s="157"/>
      <c r="BK82" s="157"/>
    </row>
    <row r="83" spans="1:63" x14ac:dyDescent="0.2">
      <c r="A83" s="135" t="s">
        <v>86</v>
      </c>
      <c r="B83" s="159">
        <v>0.10620000213384628</v>
      </c>
      <c r="C83" s="159">
        <v>0.10639999806880951</v>
      </c>
      <c r="D83" s="159">
        <v>0.10610000044107437</v>
      </c>
      <c r="E83" s="159">
        <v>0.10660000145435333</v>
      </c>
      <c r="F83" s="159">
        <v>0.10710000246763229</v>
      </c>
      <c r="G83" s="159">
        <v>0.1080000028014183</v>
      </c>
      <c r="H83" s="159">
        <v>0.10930000245571136</v>
      </c>
      <c r="I83" s="159">
        <v>0.11180000007152557</v>
      </c>
      <c r="J83" s="159">
        <v>0.11580000072717667</v>
      </c>
      <c r="K83" s="159">
        <v>0.12269999831914902</v>
      </c>
      <c r="L83" s="159">
        <v>0.13330000638961792</v>
      </c>
      <c r="M83" s="159">
        <v>0.14810000360012054</v>
      </c>
      <c r="N83" s="159">
        <v>0.16899999976158142</v>
      </c>
      <c r="O83" s="159">
        <v>0.19670000672340393</v>
      </c>
      <c r="P83" s="159">
        <v>0.23109999299049377</v>
      </c>
      <c r="Q83" s="159">
        <v>0.26989999413490295</v>
      </c>
      <c r="R83" s="159">
        <v>0.31279999017715454</v>
      </c>
      <c r="S83" s="159">
        <v>0.36000001430511475</v>
      </c>
      <c r="T83" s="159">
        <v>0.39649999141693115</v>
      </c>
      <c r="U83" s="159">
        <v>0.42519998550415039</v>
      </c>
      <c r="V83" s="159">
        <f t="shared" si="0"/>
        <v>0.43274998664855957</v>
      </c>
      <c r="W83" s="159">
        <v>0.44029998779296875</v>
      </c>
      <c r="X83" s="159">
        <v>0.44020000100135803</v>
      </c>
      <c r="Y83" s="159">
        <v>0.43450000882148743</v>
      </c>
      <c r="Z83" s="159">
        <v>0.43009999394416809</v>
      </c>
      <c r="AA83" s="159">
        <v>0.42599999904632568</v>
      </c>
      <c r="AB83" s="159">
        <v>0.42640000581741333</v>
      </c>
      <c r="AC83" s="159">
        <v>0.42649999260902405</v>
      </c>
      <c r="AD83" s="159">
        <v>0.43140000104904175</v>
      </c>
      <c r="AE83" s="159">
        <v>0.43639999628067017</v>
      </c>
      <c r="AF83" s="159">
        <v>0.44620001316070557</v>
      </c>
      <c r="AG83" s="157"/>
      <c r="AH83" s="157"/>
      <c r="AI83" s="157"/>
      <c r="AJ83" s="157"/>
      <c r="AK83" s="157"/>
      <c r="AL83" s="157"/>
      <c r="AM83" s="157"/>
      <c r="AN83" s="157"/>
      <c r="AO83" s="157"/>
      <c r="AP83" s="157"/>
      <c r="AQ83" s="157"/>
      <c r="AR83" s="157"/>
      <c r="AS83" s="157"/>
      <c r="AT83" s="157"/>
      <c r="AU83" s="157"/>
      <c r="AV83" s="157"/>
      <c r="AW83" s="157"/>
      <c r="AX83" s="157"/>
      <c r="AY83" s="157"/>
      <c r="AZ83" s="157"/>
      <c r="BA83" s="157"/>
      <c r="BB83" s="157"/>
      <c r="BC83" s="157"/>
      <c r="BD83" s="157"/>
      <c r="BE83" s="157"/>
      <c r="BF83" s="157"/>
      <c r="BG83" s="157"/>
      <c r="BH83" s="157"/>
      <c r="BI83" s="157"/>
      <c r="BJ83" s="157"/>
      <c r="BK83" s="157"/>
    </row>
    <row r="84" spans="1:63" x14ac:dyDescent="0.2">
      <c r="A84" s="135" t="s">
        <v>87</v>
      </c>
      <c r="B84" s="159">
        <v>0.10570000112056732</v>
      </c>
      <c r="C84" s="159">
        <v>0.10570000112056732</v>
      </c>
      <c r="D84" s="159">
        <v>0.10570000112056732</v>
      </c>
      <c r="E84" s="159">
        <v>0.10599999874830246</v>
      </c>
      <c r="F84" s="159">
        <v>0.10689999908208847</v>
      </c>
      <c r="G84" s="159">
        <v>0.10729999840259552</v>
      </c>
      <c r="H84" s="159">
        <v>0.10859999805688858</v>
      </c>
      <c r="I84" s="159">
        <v>0.11219999939203262</v>
      </c>
      <c r="J84" s="159">
        <v>0.11469999700784683</v>
      </c>
      <c r="K84" s="159">
        <v>0.12129999697208405</v>
      </c>
      <c r="L84" s="159">
        <v>0.13140000402927399</v>
      </c>
      <c r="M84" s="159">
        <v>0.14679999649524689</v>
      </c>
      <c r="N84" s="159">
        <v>0.16539999842643738</v>
      </c>
      <c r="O84" s="159">
        <v>0.19220000505447388</v>
      </c>
      <c r="P84" s="159">
        <v>0.22560000419616699</v>
      </c>
      <c r="Q84" s="159">
        <v>0.26399999856948853</v>
      </c>
      <c r="R84" s="159">
        <v>0.30799999833106995</v>
      </c>
      <c r="S84" s="159">
        <v>0.35550001263618469</v>
      </c>
      <c r="T84" s="159">
        <v>0.39419999718666077</v>
      </c>
      <c r="U84" s="159">
        <v>0.42410001158714294</v>
      </c>
      <c r="V84" s="159">
        <f t="shared" si="0"/>
        <v>0.43355000019073486</v>
      </c>
      <c r="W84" s="159">
        <v>0.44299998879432678</v>
      </c>
      <c r="X84" s="159">
        <v>0.44470000267028809</v>
      </c>
      <c r="Y84" s="159">
        <v>0.44040000438690186</v>
      </c>
      <c r="Z84" s="159">
        <v>0.43619999289512634</v>
      </c>
      <c r="AA84" s="159">
        <v>0.43299999833106995</v>
      </c>
      <c r="AB84" s="159">
        <v>0.43079999089241028</v>
      </c>
      <c r="AC84" s="159">
        <v>0.43509998917579651</v>
      </c>
      <c r="AD84" s="159">
        <v>0.4357999861240387</v>
      </c>
      <c r="AE84" s="159">
        <v>0.44310000538825989</v>
      </c>
      <c r="AF84" s="159">
        <v>0.44909998774528503</v>
      </c>
      <c r="AG84" s="157"/>
      <c r="AH84" s="157"/>
      <c r="AI84" s="157"/>
      <c r="AJ84" s="157"/>
      <c r="AK84" s="157"/>
      <c r="AL84" s="157"/>
      <c r="AM84" s="157"/>
      <c r="AN84" s="157"/>
      <c r="AO84" s="157"/>
      <c r="AP84" s="157"/>
      <c r="AQ84" s="157"/>
      <c r="AR84" s="157"/>
      <c r="AS84" s="157"/>
      <c r="AT84" s="157"/>
      <c r="AU84" s="157"/>
      <c r="AV84" s="157"/>
      <c r="AW84" s="157"/>
      <c r="AX84" s="157"/>
      <c r="AY84" s="157"/>
      <c r="AZ84" s="157"/>
      <c r="BA84" s="157"/>
      <c r="BB84" s="157"/>
      <c r="BC84" s="157"/>
      <c r="BD84" s="157"/>
      <c r="BE84" s="157"/>
      <c r="BF84" s="157"/>
      <c r="BG84" s="157"/>
      <c r="BH84" s="157"/>
      <c r="BI84" s="157"/>
      <c r="BJ84" s="157"/>
      <c r="BK84" s="157"/>
    </row>
    <row r="85" spans="1:63" x14ac:dyDescent="0.2">
      <c r="A85" s="135" t="s">
        <v>88</v>
      </c>
      <c r="B85" s="159">
        <v>0.11249999701976776</v>
      </c>
      <c r="C85" s="159">
        <v>0.1128000020980835</v>
      </c>
      <c r="D85" s="159">
        <v>0.11289999634027481</v>
      </c>
      <c r="E85" s="159">
        <v>0.11370000243186951</v>
      </c>
      <c r="F85" s="159">
        <v>0.11519999802112579</v>
      </c>
      <c r="G85" s="159">
        <v>0.11829999834299088</v>
      </c>
      <c r="H85" s="159">
        <v>0.12370000034570694</v>
      </c>
      <c r="I85" s="159">
        <v>0.13210000097751617</v>
      </c>
      <c r="J85" s="159">
        <v>0.14519999921321869</v>
      </c>
      <c r="K85" s="159">
        <v>0.16410000622272491</v>
      </c>
      <c r="L85" s="159">
        <v>0.19110000133514404</v>
      </c>
      <c r="M85" s="159">
        <v>0.22679999470710754</v>
      </c>
      <c r="N85" s="159">
        <v>0.26570001244544983</v>
      </c>
      <c r="O85" s="159">
        <v>0.31220000982284546</v>
      </c>
      <c r="P85" s="159">
        <v>0.36370000243186951</v>
      </c>
      <c r="Q85" s="159">
        <v>0.41150000691413879</v>
      </c>
      <c r="R85" s="159">
        <v>0.45730000734329224</v>
      </c>
      <c r="S85" s="159">
        <v>0.49919998645782471</v>
      </c>
      <c r="T85" s="159">
        <v>0.52670001983642578</v>
      </c>
      <c r="U85" s="159">
        <v>0.53479999303817749</v>
      </c>
      <c r="V85" s="159">
        <f t="shared" si="0"/>
        <v>0.54734998941421509</v>
      </c>
      <c r="W85" s="159">
        <v>0.55989998579025269</v>
      </c>
      <c r="X85" s="159">
        <v>0.57410001754760742</v>
      </c>
      <c r="Y85" s="159">
        <v>0.57709997892379761</v>
      </c>
      <c r="Z85" s="159">
        <v>0.57929998636245728</v>
      </c>
      <c r="AA85" s="159">
        <v>0.58240002393722534</v>
      </c>
      <c r="AB85" s="159">
        <v>0.58639997243881226</v>
      </c>
      <c r="AC85" s="159">
        <v>0.59030002355575562</v>
      </c>
      <c r="AD85" s="159">
        <v>0.59399998188018799</v>
      </c>
      <c r="AE85" s="159">
        <v>0.60180002450942993</v>
      </c>
      <c r="AF85" s="159">
        <v>0.60439997911453247</v>
      </c>
      <c r="AG85" s="157"/>
      <c r="AH85" s="157"/>
      <c r="AI85" s="157"/>
      <c r="AJ85" s="157"/>
      <c r="AK85" s="157"/>
      <c r="AL85" s="157"/>
      <c r="AM85" s="157"/>
      <c r="AN85" s="157"/>
      <c r="AO85" s="157"/>
      <c r="AP85" s="157"/>
      <c r="AQ85" s="157"/>
      <c r="AR85" s="157"/>
      <c r="AS85" s="157"/>
      <c r="AT85" s="157"/>
      <c r="AU85" s="157"/>
      <c r="AV85" s="157"/>
      <c r="AW85" s="157"/>
      <c r="AX85" s="157"/>
      <c r="AY85" s="157"/>
      <c r="AZ85" s="157"/>
      <c r="BA85" s="157"/>
      <c r="BB85" s="157"/>
      <c r="BC85" s="157"/>
      <c r="BD85" s="157"/>
      <c r="BE85" s="157"/>
      <c r="BF85" s="157"/>
      <c r="BG85" s="157"/>
      <c r="BH85" s="157"/>
      <c r="BI85" s="157"/>
      <c r="BJ85" s="157"/>
      <c r="BK85" s="157"/>
    </row>
    <row r="86" spans="1:63" x14ac:dyDescent="0.2">
      <c r="A86" s="135" t="s">
        <v>89</v>
      </c>
      <c r="B86" s="159">
        <v>0.10740000009536743</v>
      </c>
      <c r="C86" s="159">
        <v>0.10710000246763229</v>
      </c>
      <c r="D86" s="159">
        <v>0.10710000246763229</v>
      </c>
      <c r="E86" s="159">
        <v>0.10700000077486038</v>
      </c>
      <c r="F86" s="159">
        <v>0.10689999908208847</v>
      </c>
      <c r="G86" s="159">
        <v>0.10719999670982361</v>
      </c>
      <c r="H86" s="159">
        <v>0.10679999738931656</v>
      </c>
      <c r="I86" s="159">
        <v>0.10670000314712524</v>
      </c>
      <c r="J86" s="159">
        <v>0.10670000314712524</v>
      </c>
      <c r="K86" s="159">
        <v>0.10670000314712524</v>
      </c>
      <c r="L86" s="159">
        <v>0.10670000314712524</v>
      </c>
      <c r="M86" s="159">
        <v>0.10649999976158142</v>
      </c>
      <c r="N86" s="159">
        <v>0.10639999806880951</v>
      </c>
      <c r="O86" s="159">
        <v>0.10620000213384628</v>
      </c>
      <c r="P86" s="159">
        <v>0.10599999874830246</v>
      </c>
      <c r="Q86" s="159">
        <v>0.10599999874830246</v>
      </c>
      <c r="R86" s="159">
        <v>0.10599999874830246</v>
      </c>
      <c r="S86" s="159">
        <v>0.10599999874830246</v>
      </c>
      <c r="T86" s="159">
        <v>0.10610000044107437</v>
      </c>
      <c r="U86" s="159">
        <v>0.10620000213384628</v>
      </c>
      <c r="V86" s="159">
        <f t="shared" si="0"/>
        <v>0.10615000128746033</v>
      </c>
      <c r="W86" s="159">
        <v>0.10610000044107437</v>
      </c>
      <c r="X86" s="159">
        <v>0.10599999874830246</v>
      </c>
      <c r="Y86" s="159">
        <v>0.10570000112056732</v>
      </c>
      <c r="Z86" s="159">
        <v>0.1054999977350235</v>
      </c>
      <c r="AA86" s="159">
        <v>0.10540000349283218</v>
      </c>
      <c r="AB86" s="159">
        <v>0.10540000349283218</v>
      </c>
      <c r="AC86" s="159">
        <v>0.10530000180006027</v>
      </c>
      <c r="AD86" s="159">
        <v>0.10540000349283218</v>
      </c>
      <c r="AE86" s="159">
        <v>0.10530000180006027</v>
      </c>
      <c r="AF86" s="159">
        <v>0.1054999977350235</v>
      </c>
      <c r="AG86" s="157"/>
      <c r="AH86" s="157"/>
      <c r="AI86" s="157"/>
      <c r="AJ86" s="157"/>
      <c r="AK86" s="157"/>
      <c r="AL86" s="157"/>
      <c r="AM86" s="157"/>
      <c r="AN86" s="157"/>
      <c r="AO86" s="157"/>
      <c r="AP86" s="157"/>
      <c r="AQ86" s="157"/>
      <c r="AR86" s="157"/>
      <c r="AS86" s="157"/>
      <c r="AT86" s="157"/>
      <c r="AU86" s="157"/>
      <c r="AV86" s="157"/>
      <c r="AW86" s="157"/>
      <c r="AX86" s="157"/>
      <c r="AY86" s="157"/>
      <c r="AZ86" s="157"/>
      <c r="BA86" s="157"/>
      <c r="BB86" s="157"/>
      <c r="BC86" s="157"/>
      <c r="BD86" s="157"/>
      <c r="BE86" s="157"/>
      <c r="BF86" s="157"/>
      <c r="BG86" s="157"/>
      <c r="BH86" s="157"/>
      <c r="BI86" s="157"/>
      <c r="BJ86" s="157"/>
      <c r="BK86" s="157"/>
    </row>
    <row r="87" spans="1:63" x14ac:dyDescent="0.2">
      <c r="A87" s="135" t="s">
        <v>90</v>
      </c>
      <c r="B87" s="159">
        <v>0.10859999805688858</v>
      </c>
      <c r="C87" s="159">
        <v>0.10819999873638153</v>
      </c>
      <c r="D87" s="159">
        <v>0.10809999704360962</v>
      </c>
      <c r="E87" s="159">
        <v>0.10819999873638153</v>
      </c>
      <c r="F87" s="159">
        <v>0.10809999704360962</v>
      </c>
      <c r="G87" s="159">
        <v>0.10819999873638153</v>
      </c>
      <c r="H87" s="159">
        <v>0.10809999704360962</v>
      </c>
      <c r="I87" s="159">
        <v>0.1080000028014183</v>
      </c>
      <c r="J87" s="159">
        <v>0.1080000028014183</v>
      </c>
      <c r="K87" s="159">
        <v>0.1080000028014183</v>
      </c>
      <c r="L87" s="159">
        <v>0.1080000028014183</v>
      </c>
      <c r="M87" s="159">
        <v>0.10779999941587448</v>
      </c>
      <c r="N87" s="159">
        <v>0.10769999772310257</v>
      </c>
      <c r="O87" s="159">
        <v>0.10750000178813934</v>
      </c>
      <c r="P87" s="159">
        <v>0.10729999840259552</v>
      </c>
      <c r="Q87" s="159">
        <v>0.10760000348091125</v>
      </c>
      <c r="R87" s="159">
        <v>0.10729999840259552</v>
      </c>
      <c r="S87" s="159">
        <v>0.10760000348091125</v>
      </c>
      <c r="T87" s="159">
        <v>0.10760000348091125</v>
      </c>
      <c r="U87" s="159">
        <v>0.10769999772310257</v>
      </c>
      <c r="V87" s="159">
        <f t="shared" si="0"/>
        <v>0.10799999907612801</v>
      </c>
      <c r="W87" s="159">
        <v>0.10830000042915344</v>
      </c>
      <c r="X87" s="159">
        <v>0.10819999873638153</v>
      </c>
      <c r="Y87" s="159">
        <v>0.10939999669790268</v>
      </c>
      <c r="Z87" s="159">
        <v>0.10899999737739563</v>
      </c>
      <c r="AA87" s="159">
        <v>0.10920000076293945</v>
      </c>
      <c r="AB87" s="159">
        <v>0.10930000245571136</v>
      </c>
      <c r="AC87" s="159">
        <v>0.10890000313520432</v>
      </c>
      <c r="AD87" s="159">
        <v>0.10890000313520432</v>
      </c>
      <c r="AE87" s="159">
        <v>0.1088000014424324</v>
      </c>
      <c r="AF87" s="159">
        <v>0.10830000042915344</v>
      </c>
      <c r="AG87" s="157"/>
      <c r="AH87" s="157"/>
      <c r="AI87" s="157"/>
      <c r="AJ87" s="157"/>
      <c r="AK87" s="157"/>
      <c r="AL87" s="157"/>
      <c r="AM87" s="157"/>
      <c r="AN87" s="157"/>
      <c r="AO87" s="157"/>
      <c r="AP87" s="157"/>
      <c r="AQ87" s="157"/>
      <c r="AR87" s="157"/>
      <c r="AS87" s="157"/>
      <c r="AT87" s="157"/>
      <c r="AU87" s="157"/>
      <c r="AV87" s="157"/>
      <c r="AW87" s="157"/>
      <c r="AX87" s="157"/>
      <c r="AY87" s="157"/>
      <c r="AZ87" s="157"/>
      <c r="BA87" s="157"/>
      <c r="BB87" s="157"/>
      <c r="BC87" s="157"/>
      <c r="BD87" s="157"/>
      <c r="BE87" s="157"/>
      <c r="BF87" s="157"/>
      <c r="BG87" s="157"/>
      <c r="BH87" s="157"/>
      <c r="BI87" s="157"/>
      <c r="BJ87" s="157"/>
      <c r="BK87" s="157"/>
    </row>
    <row r="88" spans="1:63" x14ac:dyDescent="0.2">
      <c r="A88" s="135" t="s">
        <v>91</v>
      </c>
      <c r="B88" s="159">
        <v>0.10589999705553055</v>
      </c>
      <c r="C88" s="159">
        <v>0.10589999705553055</v>
      </c>
      <c r="D88" s="159">
        <v>0.10610000044107437</v>
      </c>
      <c r="E88" s="159">
        <v>0.10639999806880951</v>
      </c>
      <c r="F88" s="159">
        <v>0.10679999738931656</v>
      </c>
      <c r="G88" s="159">
        <v>0.10769999772310257</v>
      </c>
      <c r="H88" s="159">
        <v>0.10890000313520432</v>
      </c>
      <c r="I88" s="159">
        <v>0.11089999973773956</v>
      </c>
      <c r="J88" s="159">
        <v>0.11439999938011169</v>
      </c>
      <c r="K88" s="159">
        <v>0.12030000239610672</v>
      </c>
      <c r="L88" s="159">
        <v>0.12950000166893005</v>
      </c>
      <c r="M88" s="159">
        <v>0.14259999990463257</v>
      </c>
      <c r="N88" s="159">
        <v>0.16079999506473541</v>
      </c>
      <c r="O88" s="159">
        <v>0.18500000238418579</v>
      </c>
      <c r="P88" s="159">
        <v>0.21480000019073486</v>
      </c>
      <c r="Q88" s="159">
        <v>0.24979999661445618</v>
      </c>
      <c r="R88" s="159">
        <v>0.29080000519752502</v>
      </c>
      <c r="S88" s="159">
        <v>0.3361000120639801</v>
      </c>
      <c r="T88" s="159">
        <v>0.37790000438690186</v>
      </c>
      <c r="U88" s="159">
        <v>0.41460001468658447</v>
      </c>
      <c r="V88" s="159">
        <f t="shared" si="0"/>
        <v>0.43030001223087311</v>
      </c>
      <c r="W88" s="159">
        <v>0.44600000977516174</v>
      </c>
      <c r="X88" s="159">
        <v>0.45210000872612</v>
      </c>
      <c r="Y88" s="159">
        <v>0.45410001277923584</v>
      </c>
      <c r="Z88" s="159">
        <v>0.45170000195503235</v>
      </c>
      <c r="AA88" s="159">
        <v>0.4528999924659729</v>
      </c>
      <c r="AB88" s="159">
        <v>0.45429998636245728</v>
      </c>
      <c r="AC88" s="159">
        <v>0.45759999752044678</v>
      </c>
      <c r="AD88" s="159">
        <v>0.46340000629425049</v>
      </c>
      <c r="AE88" s="159">
        <v>0.47189998626708984</v>
      </c>
      <c r="AF88" s="159">
        <v>0.48170000314712524</v>
      </c>
      <c r="AG88" s="157"/>
      <c r="AH88" s="157"/>
      <c r="AI88" s="157"/>
      <c r="AJ88" s="157"/>
      <c r="AK88" s="157"/>
      <c r="AL88" s="157"/>
      <c r="AM88" s="157"/>
      <c r="AN88" s="157"/>
      <c r="AO88" s="157"/>
      <c r="AP88" s="157"/>
      <c r="AQ88" s="157"/>
      <c r="AR88" s="157"/>
      <c r="AS88" s="157"/>
      <c r="AT88" s="157"/>
      <c r="AU88" s="157"/>
      <c r="AV88" s="157"/>
      <c r="AW88" s="157"/>
      <c r="AX88" s="157"/>
      <c r="AY88" s="157"/>
      <c r="AZ88" s="157"/>
      <c r="BA88" s="157"/>
      <c r="BB88" s="157"/>
      <c r="BC88" s="157"/>
      <c r="BD88" s="157"/>
      <c r="BE88" s="157"/>
      <c r="BF88" s="157"/>
      <c r="BG88" s="157"/>
      <c r="BH88" s="157"/>
      <c r="BI88" s="157"/>
      <c r="BJ88" s="157"/>
      <c r="BK88" s="157"/>
    </row>
    <row r="89" spans="1:63" x14ac:dyDescent="0.2">
      <c r="A89" s="135" t="s">
        <v>92</v>
      </c>
      <c r="B89" s="159">
        <v>0.10620000213384628</v>
      </c>
      <c r="C89" s="159">
        <v>0.10610000044107437</v>
      </c>
      <c r="D89" s="159">
        <v>0.10639999806880951</v>
      </c>
      <c r="E89" s="159">
        <v>0.10689999908208847</v>
      </c>
      <c r="F89" s="159">
        <v>0.10740000009536743</v>
      </c>
      <c r="G89" s="159">
        <v>0.10849999636411667</v>
      </c>
      <c r="H89" s="159">
        <v>0.10999999940395355</v>
      </c>
      <c r="I89" s="159">
        <v>0.1128000020980835</v>
      </c>
      <c r="J89" s="159">
        <v>0.11749999970197678</v>
      </c>
      <c r="K89" s="159">
        <v>0.12510000169277191</v>
      </c>
      <c r="L89" s="159">
        <v>0.1363999992609024</v>
      </c>
      <c r="M89" s="159">
        <v>0.15250000357627869</v>
      </c>
      <c r="N89" s="159">
        <v>0.17479999363422394</v>
      </c>
      <c r="O89" s="159">
        <v>0.20250000059604645</v>
      </c>
      <c r="P89" s="159">
        <v>0.2354000061750412</v>
      </c>
      <c r="Q89" s="159">
        <v>0.27379998564720154</v>
      </c>
      <c r="R89" s="159">
        <v>0.31790000200271606</v>
      </c>
      <c r="S89" s="159">
        <v>0.36370000243186951</v>
      </c>
      <c r="T89" s="159">
        <v>0.39939999580383301</v>
      </c>
      <c r="U89" s="159">
        <v>0.43220001459121704</v>
      </c>
      <c r="V89" s="159">
        <f t="shared" si="0"/>
        <v>0.44175000488758087</v>
      </c>
      <c r="W89" s="159">
        <v>0.4512999951839447</v>
      </c>
      <c r="X89" s="159">
        <v>0.45399999618530273</v>
      </c>
      <c r="Y89" s="159">
        <v>0.45179998874664307</v>
      </c>
      <c r="Z89" s="159">
        <v>0.45019999146461487</v>
      </c>
      <c r="AA89" s="159">
        <v>0.45089998841285706</v>
      </c>
      <c r="AB89" s="159">
        <v>0.45320001244544983</v>
      </c>
      <c r="AC89" s="159">
        <v>0.45759999752044678</v>
      </c>
      <c r="AD89" s="159">
        <v>0.46340000629425049</v>
      </c>
      <c r="AE89" s="159">
        <v>0.47170001268386841</v>
      </c>
      <c r="AF89" s="159">
        <v>0.48260000348091125</v>
      </c>
      <c r="AG89" s="157"/>
      <c r="AH89" s="157"/>
      <c r="AI89" s="157"/>
      <c r="AJ89" s="157"/>
      <c r="AK89" s="157"/>
      <c r="AL89" s="157"/>
      <c r="AM89" s="157"/>
      <c r="AN89" s="157"/>
      <c r="AO89" s="157"/>
      <c r="AP89" s="157"/>
      <c r="AQ89" s="157"/>
      <c r="AR89" s="157"/>
      <c r="AS89" s="157"/>
      <c r="AT89" s="157"/>
      <c r="AU89" s="157"/>
      <c r="AV89" s="157"/>
      <c r="AW89" s="157"/>
      <c r="AX89" s="157"/>
      <c r="AY89" s="157"/>
      <c r="AZ89" s="157"/>
      <c r="BA89" s="157"/>
      <c r="BB89" s="157"/>
      <c r="BC89" s="157"/>
      <c r="BD89" s="157"/>
      <c r="BE89" s="157"/>
      <c r="BF89" s="157"/>
      <c r="BG89" s="157"/>
      <c r="BH89" s="157"/>
      <c r="BI89" s="157"/>
      <c r="BJ89" s="157"/>
      <c r="BK89" s="157"/>
    </row>
    <row r="90" spans="1:63" x14ac:dyDescent="0.2">
      <c r="A90" s="135" t="s">
        <v>93</v>
      </c>
      <c r="B90" s="159">
        <v>0.10710000246763229</v>
      </c>
      <c r="C90" s="159">
        <v>0.10679999738931656</v>
      </c>
      <c r="D90" s="159">
        <v>0.10710000246763229</v>
      </c>
      <c r="E90" s="159">
        <v>0.10760000348091125</v>
      </c>
      <c r="F90" s="159">
        <v>0.10819999873638153</v>
      </c>
      <c r="G90" s="159">
        <v>0.10939999669790268</v>
      </c>
      <c r="H90" s="159">
        <v>0.11129999905824661</v>
      </c>
      <c r="I90" s="159">
        <v>0.11439999938011169</v>
      </c>
      <c r="J90" s="159">
        <v>0.11980000138282776</v>
      </c>
      <c r="K90" s="159">
        <v>0.12839999794960022</v>
      </c>
      <c r="L90" s="159">
        <v>0.14100000262260437</v>
      </c>
      <c r="M90" s="159">
        <v>0.15880000591278076</v>
      </c>
      <c r="N90" s="159">
        <v>0.18269999325275421</v>
      </c>
      <c r="O90" s="159">
        <v>0.21269999444484711</v>
      </c>
      <c r="P90" s="159">
        <v>0.24729999899864197</v>
      </c>
      <c r="Q90" s="159">
        <v>0.28720000386238098</v>
      </c>
      <c r="R90" s="159">
        <v>0.33219999074935913</v>
      </c>
      <c r="S90" s="159">
        <v>0.37619999051094055</v>
      </c>
      <c r="T90" s="159">
        <v>0.41089999675750732</v>
      </c>
      <c r="U90" s="159">
        <v>0.44119998812675476</v>
      </c>
      <c r="V90" s="159">
        <f t="shared" si="0"/>
        <v>0.44720000028610229</v>
      </c>
      <c r="W90" s="159">
        <v>0.45320001244544983</v>
      </c>
      <c r="X90" s="159">
        <v>0.45489999651908875</v>
      </c>
      <c r="Y90" s="159">
        <v>0.45239999890327454</v>
      </c>
      <c r="Z90" s="159">
        <v>0.4496999979019165</v>
      </c>
      <c r="AA90" s="159">
        <v>0.45039999485015869</v>
      </c>
      <c r="AB90" s="159">
        <v>0.45239999890327454</v>
      </c>
      <c r="AC90" s="159">
        <v>0.45719999074935913</v>
      </c>
      <c r="AD90" s="159">
        <v>0.46389999985694885</v>
      </c>
      <c r="AE90" s="159">
        <v>0.47209998965263367</v>
      </c>
      <c r="AF90" s="159">
        <v>0.4828999936580658</v>
      </c>
      <c r="AG90" s="157"/>
      <c r="AH90" s="157"/>
      <c r="AI90" s="157"/>
      <c r="AJ90" s="157"/>
      <c r="AK90" s="157"/>
      <c r="AL90" s="157"/>
      <c r="AM90" s="157"/>
      <c r="AN90" s="157"/>
      <c r="AO90" s="157"/>
      <c r="AP90" s="157"/>
      <c r="AQ90" s="157"/>
      <c r="AR90" s="157"/>
      <c r="AS90" s="157"/>
      <c r="AT90" s="157"/>
      <c r="AU90" s="157"/>
      <c r="AV90" s="157"/>
      <c r="AW90" s="157"/>
      <c r="AX90" s="157"/>
      <c r="AY90" s="157"/>
      <c r="AZ90" s="157"/>
      <c r="BA90" s="157"/>
      <c r="BB90" s="157"/>
      <c r="BC90" s="157"/>
      <c r="BD90" s="157"/>
      <c r="BE90" s="157"/>
      <c r="BF90" s="157"/>
      <c r="BG90" s="157"/>
      <c r="BH90" s="157"/>
      <c r="BI90" s="157"/>
      <c r="BJ90" s="157"/>
      <c r="BK90" s="157"/>
    </row>
    <row r="91" spans="1:63" x14ac:dyDescent="0.2">
      <c r="A91" s="135" t="s">
        <v>94</v>
      </c>
      <c r="B91" s="159">
        <v>0.10679999738931656</v>
      </c>
      <c r="C91" s="159">
        <v>0.10660000145435333</v>
      </c>
      <c r="D91" s="159">
        <v>0.10700000077486038</v>
      </c>
      <c r="E91" s="159">
        <v>0.10740000009536743</v>
      </c>
      <c r="F91" s="159">
        <v>0.10790000110864639</v>
      </c>
      <c r="G91" s="159">
        <v>0.10920000076293945</v>
      </c>
      <c r="H91" s="159">
        <v>0.11110000312328339</v>
      </c>
      <c r="I91" s="159">
        <v>0.11450000107288361</v>
      </c>
      <c r="J91" s="159">
        <v>0.12039999663829803</v>
      </c>
      <c r="K91" s="159">
        <v>0.12970000505447388</v>
      </c>
      <c r="L91" s="159">
        <v>0.1437000036239624</v>
      </c>
      <c r="M91" s="159">
        <v>0.16300000250339508</v>
      </c>
      <c r="N91" s="159">
        <v>0.18850000202655792</v>
      </c>
      <c r="O91" s="159">
        <v>0.22020000219345093</v>
      </c>
      <c r="P91" s="159">
        <v>0.25569999217987061</v>
      </c>
      <c r="Q91" s="159">
        <v>0.29760000109672546</v>
      </c>
      <c r="R91" s="159">
        <v>0.34240001440048218</v>
      </c>
      <c r="S91" s="159">
        <v>0.38550001382827759</v>
      </c>
      <c r="T91" s="159">
        <v>0.41650000214576721</v>
      </c>
      <c r="U91" s="159">
        <v>0.44499999284744263</v>
      </c>
      <c r="V91" s="159">
        <f t="shared" si="0"/>
        <v>0.44730000197887421</v>
      </c>
      <c r="W91" s="159">
        <v>0.44960001111030579</v>
      </c>
      <c r="X91" s="159">
        <v>0.44879999756813049</v>
      </c>
      <c r="Y91" s="159">
        <v>0.44650000333786011</v>
      </c>
      <c r="Z91" s="159">
        <v>0.44389998912811279</v>
      </c>
      <c r="AA91" s="159">
        <v>0.44470000267028809</v>
      </c>
      <c r="AB91" s="159">
        <v>0.44740000367164612</v>
      </c>
      <c r="AC91" s="159">
        <v>0.45170000195503235</v>
      </c>
      <c r="AD91" s="159">
        <v>0.45750001072883606</v>
      </c>
      <c r="AE91" s="159">
        <v>0.46599999070167542</v>
      </c>
      <c r="AF91" s="159">
        <v>0.4781000018119812</v>
      </c>
      <c r="AG91" s="157"/>
      <c r="AH91" s="157"/>
      <c r="AI91" s="157"/>
      <c r="AJ91" s="157"/>
      <c r="AK91" s="157"/>
      <c r="AL91" s="157"/>
      <c r="AM91" s="157"/>
      <c r="AN91" s="157"/>
      <c r="AO91" s="157"/>
      <c r="AP91" s="157"/>
      <c r="AQ91" s="157"/>
      <c r="AR91" s="157"/>
      <c r="AS91" s="157"/>
      <c r="AT91" s="157"/>
      <c r="AU91" s="157"/>
      <c r="AV91" s="157"/>
      <c r="AW91" s="157"/>
      <c r="AX91" s="157"/>
      <c r="AY91" s="157"/>
      <c r="AZ91" s="157"/>
      <c r="BA91" s="157"/>
      <c r="BB91" s="157"/>
      <c r="BC91" s="157"/>
      <c r="BD91" s="157"/>
      <c r="BE91" s="157"/>
      <c r="BF91" s="157"/>
      <c r="BG91" s="157"/>
      <c r="BH91" s="157"/>
      <c r="BI91" s="157"/>
      <c r="BJ91" s="157"/>
      <c r="BK91" s="157"/>
    </row>
    <row r="92" spans="1:63" x14ac:dyDescent="0.2">
      <c r="A92" s="135" t="s">
        <v>95</v>
      </c>
      <c r="B92" s="159">
        <v>0.10740000009536743</v>
      </c>
      <c r="C92" s="159">
        <v>0.10719999670982361</v>
      </c>
      <c r="D92" s="159">
        <v>0.10769999772310257</v>
      </c>
      <c r="E92" s="159">
        <v>0.10830000042915344</v>
      </c>
      <c r="F92" s="159">
        <v>0.10909999907016754</v>
      </c>
      <c r="G92" s="159">
        <v>0.11100000143051147</v>
      </c>
      <c r="H92" s="159">
        <v>0.11379999667406082</v>
      </c>
      <c r="I92" s="159">
        <v>0.11869999766349792</v>
      </c>
      <c r="J92" s="159">
        <v>0.12669999897480011</v>
      </c>
      <c r="K92" s="159">
        <v>0.13920000195503235</v>
      </c>
      <c r="L92" s="159">
        <v>0.15710000693798065</v>
      </c>
      <c r="M92" s="159">
        <v>0.18119999766349792</v>
      </c>
      <c r="N92" s="159">
        <v>0.21170000731945038</v>
      </c>
      <c r="O92" s="159">
        <v>0.24750000238418579</v>
      </c>
      <c r="P92" s="159">
        <v>0.2872999906539917</v>
      </c>
      <c r="Q92" s="159">
        <v>0.33289998769760132</v>
      </c>
      <c r="R92" s="159">
        <v>0.37580001354217529</v>
      </c>
      <c r="S92" s="159">
        <v>0.41060000658035278</v>
      </c>
      <c r="T92" s="159">
        <v>0.43619999289512634</v>
      </c>
      <c r="U92" s="159">
        <v>0.4440000057220459</v>
      </c>
      <c r="V92" s="159">
        <f t="shared" si="0"/>
        <v>0.44345000386238098</v>
      </c>
      <c r="W92" s="159">
        <v>0.44290000200271606</v>
      </c>
      <c r="X92" s="159">
        <v>0.43930000066757202</v>
      </c>
      <c r="Y92" s="159">
        <v>0.43779999017715454</v>
      </c>
      <c r="Z92" s="159">
        <v>0.4359000027179718</v>
      </c>
      <c r="AA92" s="159">
        <v>0.43790000677108765</v>
      </c>
      <c r="AB92" s="159">
        <v>0.44220000505447388</v>
      </c>
      <c r="AC92" s="159">
        <v>0.44949999451637268</v>
      </c>
      <c r="AD92" s="159">
        <v>0.45559999346733093</v>
      </c>
      <c r="AE92" s="159">
        <v>0.4650999903678894</v>
      </c>
      <c r="AF92" s="159">
        <v>0.47670000791549683</v>
      </c>
      <c r="AG92" s="157"/>
      <c r="AH92" s="157"/>
      <c r="AI92" s="157"/>
      <c r="AJ92" s="157"/>
      <c r="AK92" s="157"/>
      <c r="AL92" s="157"/>
      <c r="AM92" s="157"/>
      <c r="AN92" s="157"/>
      <c r="AO92" s="157"/>
      <c r="AP92" s="157"/>
      <c r="AQ92" s="157"/>
      <c r="AR92" s="157"/>
      <c r="AS92" s="157"/>
      <c r="AT92" s="157"/>
      <c r="AU92" s="157"/>
      <c r="AV92" s="157"/>
      <c r="AW92" s="157"/>
      <c r="AX92" s="157"/>
      <c r="AY92" s="157"/>
      <c r="AZ92" s="157"/>
      <c r="BA92" s="157"/>
      <c r="BB92" s="157"/>
      <c r="BC92" s="157"/>
      <c r="BD92" s="157"/>
      <c r="BE92" s="157"/>
      <c r="BF92" s="157"/>
      <c r="BG92" s="157"/>
      <c r="BH92" s="157"/>
      <c r="BI92" s="157"/>
      <c r="BJ92" s="157"/>
      <c r="BK92" s="157"/>
    </row>
    <row r="93" spans="1:63" x14ac:dyDescent="0.2">
      <c r="A93" s="135" t="s">
        <v>96</v>
      </c>
      <c r="B93" s="159">
        <v>0.10530000180006027</v>
      </c>
      <c r="C93" s="159">
        <v>0.10530000180006027</v>
      </c>
      <c r="D93" s="159">
        <v>0.1054999977350235</v>
      </c>
      <c r="E93" s="159">
        <v>0.10599999874830246</v>
      </c>
      <c r="F93" s="159">
        <v>0.10639999806880951</v>
      </c>
      <c r="G93" s="159">
        <v>0.10750000178813934</v>
      </c>
      <c r="H93" s="159">
        <v>0.10930000245571136</v>
      </c>
      <c r="I93" s="159">
        <v>0.11230000108480453</v>
      </c>
      <c r="J93" s="159">
        <v>0.11749999970197678</v>
      </c>
      <c r="K93" s="159">
        <v>0.12600000202655792</v>
      </c>
      <c r="L93" s="159">
        <v>0.13869999349117279</v>
      </c>
      <c r="M93" s="159">
        <v>0.15649999678134918</v>
      </c>
      <c r="N93" s="159">
        <v>0.18050000071525574</v>
      </c>
      <c r="O93" s="159">
        <v>0.21060000360012054</v>
      </c>
      <c r="P93" s="159">
        <v>0.24529999494552612</v>
      </c>
      <c r="Q93" s="159">
        <v>0.28519999980926514</v>
      </c>
      <c r="R93" s="159">
        <v>0.32989999651908875</v>
      </c>
      <c r="S93" s="159">
        <v>0.37389999628067017</v>
      </c>
      <c r="T93" s="159">
        <v>0.40590000152587891</v>
      </c>
      <c r="U93" s="159">
        <v>0.43450000882148743</v>
      </c>
      <c r="V93" s="159">
        <f t="shared" si="0"/>
        <v>0.43585000932216644</v>
      </c>
      <c r="W93" s="159">
        <v>0.43720000982284546</v>
      </c>
      <c r="X93" s="159">
        <v>0.4357999861240387</v>
      </c>
      <c r="Y93" s="159">
        <v>0.43239998817443848</v>
      </c>
      <c r="Z93" s="159">
        <v>0.42950001358985901</v>
      </c>
      <c r="AA93" s="159">
        <v>0.43050000071525574</v>
      </c>
      <c r="AB93" s="159">
        <v>0.43299999833106995</v>
      </c>
      <c r="AC93" s="159">
        <v>0.43540000915527344</v>
      </c>
      <c r="AD93" s="159">
        <v>0.44170001149177551</v>
      </c>
      <c r="AE93" s="159">
        <v>0.44940000772476196</v>
      </c>
      <c r="AF93" s="159">
        <v>0.45980000495910645</v>
      </c>
      <c r="AG93" s="157"/>
      <c r="AH93" s="157"/>
      <c r="AI93" s="157"/>
      <c r="AJ93" s="157"/>
      <c r="AK93" s="157"/>
      <c r="AL93" s="157"/>
      <c r="AM93" s="157"/>
      <c r="AN93" s="157"/>
      <c r="AO93" s="157"/>
      <c r="AP93" s="157"/>
      <c r="AQ93" s="157"/>
      <c r="AR93" s="157"/>
      <c r="AS93" s="157"/>
      <c r="AT93" s="157"/>
      <c r="AU93" s="157"/>
      <c r="AV93" s="157"/>
      <c r="AW93" s="157"/>
      <c r="AX93" s="157"/>
      <c r="AY93" s="157"/>
      <c r="AZ93" s="157"/>
      <c r="BA93" s="157"/>
      <c r="BB93" s="157"/>
      <c r="BC93" s="157"/>
      <c r="BD93" s="157"/>
      <c r="BE93" s="157"/>
      <c r="BF93" s="157"/>
      <c r="BG93" s="157"/>
      <c r="BH93" s="157"/>
      <c r="BI93" s="157"/>
      <c r="BJ93" s="157"/>
      <c r="BK93" s="157"/>
    </row>
    <row r="94" spans="1:63" x14ac:dyDescent="0.2">
      <c r="A94" s="135" t="s">
        <v>97</v>
      </c>
      <c r="B94" s="159">
        <v>0.10819999873638153</v>
      </c>
      <c r="C94" s="159">
        <v>0.1080000028014183</v>
      </c>
      <c r="D94" s="159">
        <v>0.10830000042915344</v>
      </c>
      <c r="E94" s="159">
        <v>0.10899999737739563</v>
      </c>
      <c r="F94" s="159">
        <v>0.10999999940395355</v>
      </c>
      <c r="G94" s="159">
        <v>0.11190000176429749</v>
      </c>
      <c r="H94" s="159">
        <v>0.11500000208616257</v>
      </c>
      <c r="I94" s="159">
        <v>0.12060000002384186</v>
      </c>
      <c r="J94" s="159">
        <v>0.12989999353885651</v>
      </c>
      <c r="K94" s="159">
        <v>0.14339999854564667</v>
      </c>
      <c r="L94" s="159">
        <v>0.16290000081062317</v>
      </c>
      <c r="M94" s="159">
        <v>0.18930000066757202</v>
      </c>
      <c r="N94" s="159">
        <v>0.22110000252723694</v>
      </c>
      <c r="O94" s="159">
        <v>0.25870001316070557</v>
      </c>
      <c r="P94" s="159">
        <v>0.30079999566078186</v>
      </c>
      <c r="Q94" s="159">
        <v>0.34589999914169312</v>
      </c>
      <c r="R94" s="159">
        <v>0.38690000772476196</v>
      </c>
      <c r="S94" s="159">
        <v>0.41740000247955322</v>
      </c>
      <c r="T94" s="159">
        <v>0.43889999389648438</v>
      </c>
      <c r="U94" s="159">
        <v>0.43790000677108765</v>
      </c>
      <c r="V94" s="159">
        <f t="shared" si="0"/>
        <v>0.43580000102519989</v>
      </c>
      <c r="W94" s="159">
        <v>0.43369999527931213</v>
      </c>
      <c r="X94" s="159">
        <v>0.4293999969959259</v>
      </c>
      <c r="Y94" s="159">
        <v>0.42559999227523804</v>
      </c>
      <c r="Z94" s="159">
        <v>0.42550000548362732</v>
      </c>
      <c r="AA94" s="159">
        <v>0.42739999294281006</v>
      </c>
      <c r="AB94" s="159">
        <v>0.43059998750686646</v>
      </c>
      <c r="AC94" s="159">
        <v>0.43790000677108765</v>
      </c>
      <c r="AD94" s="159">
        <v>0.4447999894618988</v>
      </c>
      <c r="AE94" s="159">
        <v>0.45489999651908875</v>
      </c>
      <c r="AF94" s="159">
        <v>0.4643000066280365</v>
      </c>
      <c r="AG94" s="157"/>
      <c r="AH94" s="157"/>
      <c r="AI94" s="157"/>
      <c r="AJ94" s="157"/>
      <c r="AK94" s="157"/>
      <c r="AL94" s="157"/>
      <c r="AM94" s="157"/>
      <c r="AN94" s="157"/>
      <c r="AO94" s="157"/>
      <c r="AP94" s="157"/>
      <c r="AQ94" s="157"/>
      <c r="AR94" s="157"/>
      <c r="AS94" s="157"/>
      <c r="AT94" s="157"/>
      <c r="AU94" s="157"/>
      <c r="AV94" s="157"/>
      <c r="AW94" s="157"/>
      <c r="AX94" s="157"/>
      <c r="AY94" s="157"/>
      <c r="AZ94" s="157"/>
      <c r="BA94" s="157"/>
      <c r="BB94" s="157"/>
      <c r="BC94" s="157"/>
      <c r="BD94" s="157"/>
      <c r="BE94" s="157"/>
      <c r="BF94" s="157"/>
      <c r="BG94" s="157"/>
      <c r="BH94" s="157"/>
      <c r="BI94" s="157"/>
      <c r="BJ94" s="157"/>
      <c r="BK94" s="157"/>
    </row>
    <row r="95" spans="1:63" x14ac:dyDescent="0.2">
      <c r="A95" s="135" t="s">
        <v>98</v>
      </c>
      <c r="B95" s="159">
        <v>0.10920000076293945</v>
      </c>
      <c r="C95" s="159">
        <v>0.10920000076293945</v>
      </c>
      <c r="D95" s="159">
        <v>0.10939999669790268</v>
      </c>
      <c r="E95" s="159">
        <v>0.11020000278949738</v>
      </c>
      <c r="F95" s="159">
        <v>0.11129999905824661</v>
      </c>
      <c r="G95" s="159">
        <v>0.1136000007390976</v>
      </c>
      <c r="H95" s="159">
        <v>0.11720000207424164</v>
      </c>
      <c r="I95" s="159">
        <v>0.12349999696016312</v>
      </c>
      <c r="J95" s="159">
        <v>0.13480000197887421</v>
      </c>
      <c r="K95" s="159">
        <v>0.148499995470047</v>
      </c>
      <c r="L95" s="159">
        <v>0.17020000517368317</v>
      </c>
      <c r="M95" s="159">
        <v>0.19779999554157257</v>
      </c>
      <c r="N95" s="159">
        <v>0.23170000314712524</v>
      </c>
      <c r="O95" s="159">
        <v>0.26969999074935913</v>
      </c>
      <c r="P95" s="159">
        <v>0.31279999017715454</v>
      </c>
      <c r="Q95" s="159">
        <v>0.35929998755455017</v>
      </c>
      <c r="R95" s="159">
        <v>0.39649999141693115</v>
      </c>
      <c r="S95" s="159">
        <v>0.42829999327659607</v>
      </c>
      <c r="T95" s="159">
        <v>0.44220000505447388</v>
      </c>
      <c r="U95" s="159">
        <v>0.44159999489784241</v>
      </c>
      <c r="V95" s="159">
        <f t="shared" si="0"/>
        <v>0.43834999203681946</v>
      </c>
      <c r="W95" s="159">
        <v>0.43509998917579651</v>
      </c>
      <c r="X95" s="159">
        <v>0.4302000105381012</v>
      </c>
      <c r="Y95" s="159">
        <v>0.42809998989105225</v>
      </c>
      <c r="Z95" s="159">
        <v>0.42870000004768372</v>
      </c>
      <c r="AA95" s="159">
        <v>0.43090000748634338</v>
      </c>
      <c r="AB95" s="159">
        <v>0.4343000054359436</v>
      </c>
      <c r="AC95" s="159">
        <v>0.44409999251365662</v>
      </c>
      <c r="AD95" s="159">
        <v>0.4505000114440918</v>
      </c>
      <c r="AE95" s="159">
        <v>0.46180000901222229</v>
      </c>
      <c r="AF95" s="159">
        <v>0.47069999575614929</v>
      </c>
      <c r="AG95" s="157"/>
      <c r="AH95" s="157"/>
      <c r="AI95" s="157"/>
      <c r="AJ95" s="157"/>
      <c r="AK95" s="157"/>
      <c r="AL95" s="157"/>
      <c r="AM95" s="157"/>
      <c r="AN95" s="157"/>
      <c r="AO95" s="157"/>
      <c r="AP95" s="157"/>
      <c r="AQ95" s="157"/>
      <c r="AR95" s="157"/>
      <c r="AS95" s="157"/>
      <c r="AT95" s="157"/>
      <c r="AU95" s="157"/>
      <c r="AV95" s="157"/>
      <c r="AW95" s="157"/>
      <c r="AX95" s="157"/>
      <c r="AY95" s="157"/>
      <c r="AZ95" s="157"/>
      <c r="BA95" s="157"/>
      <c r="BB95" s="157"/>
      <c r="BC95" s="157"/>
      <c r="BD95" s="157"/>
      <c r="BE95" s="157"/>
      <c r="BF95" s="157"/>
      <c r="BG95" s="157"/>
      <c r="BH95" s="157"/>
      <c r="BI95" s="157"/>
      <c r="BJ95" s="157"/>
      <c r="BK95" s="157"/>
    </row>
    <row r="96" spans="1:63" x14ac:dyDescent="0.2">
      <c r="A96" s="135" t="s">
        <v>99</v>
      </c>
      <c r="B96" s="159">
        <v>0.10819999873638153</v>
      </c>
      <c r="C96" s="159">
        <v>0.10809999704360962</v>
      </c>
      <c r="D96" s="159">
        <v>0.10859999805688858</v>
      </c>
      <c r="E96" s="159">
        <v>0.1096000000834465</v>
      </c>
      <c r="F96" s="159">
        <v>0.11029999703168869</v>
      </c>
      <c r="G96" s="159">
        <v>0.11230000108480453</v>
      </c>
      <c r="H96" s="159">
        <v>0.11559999734163284</v>
      </c>
      <c r="I96" s="159">
        <v>0.12129999697208405</v>
      </c>
      <c r="J96" s="159">
        <v>0.13060000538825989</v>
      </c>
      <c r="K96" s="159">
        <v>0.1445000022649765</v>
      </c>
      <c r="L96" s="159">
        <v>0.16470000147819519</v>
      </c>
      <c r="M96" s="159">
        <v>0.19120000302791595</v>
      </c>
      <c r="N96" s="159">
        <v>0.2231999933719635</v>
      </c>
      <c r="O96" s="159">
        <v>0.26019999384880066</v>
      </c>
      <c r="P96" s="159">
        <v>0.30230000615119934</v>
      </c>
      <c r="Q96" s="159">
        <v>0.34720000624656677</v>
      </c>
      <c r="R96" s="159">
        <v>0.3880000114440918</v>
      </c>
      <c r="S96" s="159">
        <v>0.42030000686645508</v>
      </c>
      <c r="T96" s="159">
        <v>0.44220000505447388</v>
      </c>
      <c r="U96" s="159">
        <v>0.44150000810623169</v>
      </c>
      <c r="V96" s="159">
        <f t="shared" si="0"/>
        <v>0.43970000743865967</v>
      </c>
      <c r="W96" s="159">
        <v>0.43790000677108765</v>
      </c>
      <c r="X96" s="159">
        <v>0.4341999888420105</v>
      </c>
      <c r="Y96" s="159">
        <v>0.43220001459121704</v>
      </c>
      <c r="Z96" s="159">
        <v>0.43160000443458557</v>
      </c>
      <c r="AA96" s="159">
        <v>0.43720000982284546</v>
      </c>
      <c r="AB96" s="159">
        <v>0.44029998779296875</v>
      </c>
      <c r="AC96" s="159">
        <v>0.44609999656677246</v>
      </c>
      <c r="AD96" s="159">
        <v>0.4546000063419342</v>
      </c>
      <c r="AE96" s="159">
        <v>0.4650999903678894</v>
      </c>
      <c r="AF96" s="159">
        <v>0.47530001401901245</v>
      </c>
      <c r="AG96" s="157"/>
      <c r="AH96" s="157"/>
      <c r="AI96" s="157"/>
      <c r="AJ96" s="157"/>
      <c r="AK96" s="157"/>
      <c r="AL96" s="157"/>
      <c r="AM96" s="157"/>
      <c r="AN96" s="157"/>
      <c r="AO96" s="157"/>
      <c r="AP96" s="157"/>
      <c r="AQ96" s="157"/>
      <c r="AR96" s="157"/>
      <c r="AS96" s="157"/>
      <c r="AT96" s="157"/>
      <c r="AU96" s="157"/>
      <c r="AV96" s="157"/>
      <c r="AW96" s="157"/>
      <c r="AX96" s="157"/>
      <c r="AY96" s="157"/>
      <c r="AZ96" s="157"/>
      <c r="BA96" s="157"/>
      <c r="BB96" s="157"/>
      <c r="BC96" s="157"/>
      <c r="BD96" s="157"/>
      <c r="BE96" s="157"/>
      <c r="BF96" s="157"/>
      <c r="BG96" s="157"/>
      <c r="BH96" s="157"/>
      <c r="BI96" s="157"/>
      <c r="BJ96" s="157"/>
      <c r="BK96" s="157"/>
    </row>
    <row r="97" spans="1:63" x14ac:dyDescent="0.2">
      <c r="A97" s="135" t="s">
        <v>100</v>
      </c>
      <c r="B97" s="159">
        <v>0.11069999635219574</v>
      </c>
      <c r="C97" s="159">
        <v>0.11129999905824661</v>
      </c>
      <c r="D97" s="159">
        <v>0.11050000041723251</v>
      </c>
      <c r="E97" s="159">
        <v>0.11150000244379044</v>
      </c>
      <c r="F97" s="159">
        <v>0.11259999871253967</v>
      </c>
      <c r="G97" s="159">
        <v>0.11540000140666962</v>
      </c>
      <c r="H97" s="159">
        <v>0.11959999799728394</v>
      </c>
      <c r="I97" s="159">
        <v>0.12720000743865967</v>
      </c>
      <c r="J97" s="159">
        <v>0.13869999349117279</v>
      </c>
      <c r="K97" s="159">
        <v>0.15600000321865082</v>
      </c>
      <c r="L97" s="159">
        <v>0.18039999902248383</v>
      </c>
      <c r="M97" s="159">
        <v>0.21150000393390656</v>
      </c>
      <c r="N97" s="159">
        <v>0.24879999458789825</v>
      </c>
      <c r="O97" s="159">
        <v>0.29289999604225159</v>
      </c>
      <c r="P97" s="159">
        <v>0.33860000967979431</v>
      </c>
      <c r="Q97" s="159">
        <v>0.38510000705718994</v>
      </c>
      <c r="R97" s="159">
        <v>0.43450000882148743</v>
      </c>
      <c r="S97" s="159">
        <v>0.46579998731613159</v>
      </c>
      <c r="T97" s="159">
        <v>0.49200001358985901</v>
      </c>
      <c r="U97" s="159">
        <v>0.50309997797012329</v>
      </c>
      <c r="V97" s="159">
        <f t="shared" si="0"/>
        <v>0.51169997453689575</v>
      </c>
      <c r="W97" s="159">
        <v>0.52029997110366821</v>
      </c>
      <c r="X97" s="159">
        <v>0.5317000150680542</v>
      </c>
      <c r="Y97" s="159">
        <v>0.53659999370574951</v>
      </c>
      <c r="Z97" s="159">
        <v>0.53640002012252808</v>
      </c>
      <c r="AA97" s="159">
        <v>0.53960001468658447</v>
      </c>
      <c r="AB97" s="159">
        <v>0.54180002212524414</v>
      </c>
      <c r="AC97" s="159">
        <v>0.54400002956390381</v>
      </c>
      <c r="AD97" s="159">
        <v>0.54860001802444458</v>
      </c>
      <c r="AE97" s="159">
        <v>0.55610001087188721</v>
      </c>
      <c r="AF97" s="159">
        <v>0.55889999866485596</v>
      </c>
      <c r="AG97" s="157"/>
      <c r="AH97" s="157"/>
      <c r="AI97" s="157"/>
      <c r="AJ97" s="157"/>
      <c r="AK97" s="157"/>
      <c r="AL97" s="157"/>
      <c r="AM97" s="157"/>
      <c r="AN97" s="157"/>
      <c r="AO97" s="157"/>
      <c r="AP97" s="157"/>
      <c r="AQ97" s="157"/>
      <c r="AR97" s="157"/>
      <c r="AS97" s="157"/>
      <c r="AT97" s="157"/>
      <c r="AU97" s="157"/>
      <c r="AV97" s="157"/>
      <c r="AW97" s="157"/>
      <c r="AX97" s="157"/>
      <c r="AY97" s="157"/>
      <c r="AZ97" s="157"/>
      <c r="BA97" s="157"/>
      <c r="BB97" s="157"/>
      <c r="BC97" s="157"/>
      <c r="BD97" s="157"/>
      <c r="BE97" s="157"/>
      <c r="BF97" s="157"/>
      <c r="BG97" s="157"/>
      <c r="BH97" s="157"/>
      <c r="BI97" s="157"/>
      <c r="BJ97" s="157"/>
      <c r="BK97" s="157"/>
    </row>
    <row r="98" spans="1:63" x14ac:dyDescent="0.2">
      <c r="A98" s="135" t="s">
        <v>101</v>
      </c>
      <c r="B98" s="159">
        <v>0.10719999670982361</v>
      </c>
      <c r="C98" s="159">
        <v>0.10660000145435333</v>
      </c>
      <c r="D98" s="159">
        <v>0.10660000145435333</v>
      </c>
      <c r="E98" s="159">
        <v>0.10660000145435333</v>
      </c>
      <c r="F98" s="159">
        <v>0.10639999806880951</v>
      </c>
      <c r="G98" s="159">
        <v>0.10649999976158142</v>
      </c>
      <c r="H98" s="159">
        <v>0.10660000145435333</v>
      </c>
      <c r="I98" s="159">
        <v>0.10620000213384628</v>
      </c>
      <c r="J98" s="159">
        <v>0.10620000213384628</v>
      </c>
      <c r="K98" s="159">
        <v>0.10620000213384628</v>
      </c>
      <c r="L98" s="159">
        <v>0.10610000044107437</v>
      </c>
      <c r="M98" s="159">
        <v>0.10589999705553055</v>
      </c>
      <c r="N98" s="159">
        <v>0.10580000281333923</v>
      </c>
      <c r="O98" s="159">
        <v>0.1054999977350235</v>
      </c>
      <c r="P98" s="159">
        <v>0.10530000180006027</v>
      </c>
      <c r="Q98" s="159">
        <v>0.10530000180006027</v>
      </c>
      <c r="R98" s="159">
        <v>0.10530000180006027</v>
      </c>
      <c r="S98" s="159">
        <v>0.10540000349283218</v>
      </c>
      <c r="T98" s="159">
        <v>0.10570000112056732</v>
      </c>
      <c r="U98" s="159">
        <v>0.10570000112056732</v>
      </c>
      <c r="V98" s="159">
        <f t="shared" si="0"/>
        <v>0.10610000044107437</v>
      </c>
      <c r="W98" s="159">
        <v>0.10649999976158142</v>
      </c>
      <c r="X98" s="159">
        <v>0.10639999806880951</v>
      </c>
      <c r="Y98" s="159">
        <v>0.10620000213384628</v>
      </c>
      <c r="Z98" s="159">
        <v>0.10580000281333923</v>
      </c>
      <c r="AA98" s="159">
        <v>0.10570000112056732</v>
      </c>
      <c r="AB98" s="159">
        <v>0.10559999942779541</v>
      </c>
      <c r="AC98" s="159">
        <v>0.10540000349283218</v>
      </c>
      <c r="AD98" s="159">
        <v>0.1054999977350235</v>
      </c>
      <c r="AE98" s="159">
        <v>0.1054999977350235</v>
      </c>
      <c r="AF98" s="159">
        <v>0.10580000281333923</v>
      </c>
      <c r="AG98" s="157"/>
      <c r="AH98" s="157"/>
      <c r="AI98" s="157"/>
      <c r="AJ98" s="157"/>
      <c r="AK98" s="157"/>
      <c r="AL98" s="157"/>
      <c r="AM98" s="157"/>
      <c r="AN98" s="157"/>
      <c r="AO98" s="157"/>
      <c r="AP98" s="157"/>
      <c r="AQ98" s="157"/>
      <c r="AR98" s="157"/>
      <c r="AS98" s="157"/>
      <c r="AT98" s="157"/>
      <c r="AU98" s="157"/>
      <c r="AV98" s="157"/>
      <c r="AW98" s="157"/>
      <c r="AX98" s="157"/>
      <c r="AY98" s="157"/>
      <c r="AZ98" s="157"/>
      <c r="BA98" s="157"/>
      <c r="BB98" s="157"/>
      <c r="BC98" s="157"/>
      <c r="BD98" s="157"/>
      <c r="BE98" s="157"/>
      <c r="BF98" s="157"/>
      <c r="BG98" s="157"/>
      <c r="BH98" s="157"/>
      <c r="BI98" s="157"/>
      <c r="BJ98" s="157"/>
      <c r="BK98" s="157"/>
    </row>
    <row r="99" spans="1:63" x14ac:dyDescent="0.2">
      <c r="A99" s="135" t="s">
        <v>102</v>
      </c>
      <c r="B99" s="159">
        <v>0.10790000110864639</v>
      </c>
      <c r="C99" s="159">
        <v>0.10760000348091125</v>
      </c>
      <c r="D99" s="159">
        <v>0.10750000178813934</v>
      </c>
      <c r="E99" s="159">
        <v>0.10750000178813934</v>
      </c>
      <c r="F99" s="159">
        <v>0.10750000178813934</v>
      </c>
      <c r="G99" s="159">
        <v>0.10760000348091125</v>
      </c>
      <c r="H99" s="159">
        <v>0.10750000178813934</v>
      </c>
      <c r="I99" s="159">
        <v>0.10750000178813934</v>
      </c>
      <c r="J99" s="159">
        <v>0.10740000009536743</v>
      </c>
      <c r="K99" s="159">
        <v>0.10740000009536743</v>
      </c>
      <c r="L99" s="159">
        <v>0.10740000009536743</v>
      </c>
      <c r="M99" s="159">
        <v>0.10719999670982361</v>
      </c>
      <c r="N99" s="159">
        <v>0.10700000077486038</v>
      </c>
      <c r="O99" s="159">
        <v>0.10670000314712524</v>
      </c>
      <c r="P99" s="159">
        <v>0.10679999738931656</v>
      </c>
      <c r="Q99" s="159">
        <v>0.10649999976158142</v>
      </c>
      <c r="R99" s="159">
        <v>0.10660000145435333</v>
      </c>
      <c r="S99" s="159">
        <v>0.10679999738931656</v>
      </c>
      <c r="T99" s="159">
        <v>0.10700000077486038</v>
      </c>
      <c r="U99" s="159">
        <v>0.10710000246763229</v>
      </c>
      <c r="V99" s="159">
        <f t="shared" si="0"/>
        <v>0.10710000246763229</v>
      </c>
      <c r="W99" s="159">
        <v>0.10710000246763229</v>
      </c>
      <c r="X99" s="159">
        <v>0.10679999738931656</v>
      </c>
      <c r="Y99" s="159">
        <v>0.10660000145435333</v>
      </c>
      <c r="Z99" s="159">
        <v>0.1062999963760376</v>
      </c>
      <c r="AA99" s="159">
        <v>0.10620000213384628</v>
      </c>
      <c r="AB99" s="159">
        <v>0.10599999874830246</v>
      </c>
      <c r="AC99" s="159">
        <v>0.10589999705553055</v>
      </c>
      <c r="AD99" s="159">
        <v>0.10599999874830246</v>
      </c>
      <c r="AE99" s="159">
        <v>0.10599999874830246</v>
      </c>
      <c r="AF99" s="159">
        <v>0.10610000044107437</v>
      </c>
      <c r="AG99" s="157"/>
      <c r="AH99" s="157"/>
      <c r="AI99" s="157"/>
      <c r="AJ99" s="157"/>
      <c r="AK99" s="157"/>
      <c r="AL99" s="157"/>
      <c r="AM99" s="157"/>
      <c r="AN99" s="157"/>
      <c r="AO99" s="157"/>
      <c r="AP99" s="157"/>
      <c r="AQ99" s="157"/>
      <c r="AR99" s="157"/>
      <c r="AS99" s="157"/>
      <c r="AT99" s="157"/>
      <c r="AU99" s="157"/>
      <c r="AV99" s="157"/>
      <c r="AW99" s="157"/>
      <c r="AX99" s="157"/>
      <c r="AY99" s="157"/>
      <c r="AZ99" s="157"/>
      <c r="BA99" s="157"/>
      <c r="BB99" s="157"/>
      <c r="BC99" s="157"/>
      <c r="BD99" s="157"/>
      <c r="BE99" s="157"/>
      <c r="BF99" s="157"/>
      <c r="BG99" s="157"/>
      <c r="BH99" s="157"/>
      <c r="BI99" s="157"/>
      <c r="BJ99" s="157"/>
      <c r="BK99" s="157"/>
    </row>
    <row r="100" spans="1:63" x14ac:dyDescent="0.2">
      <c r="A100" s="135" t="s">
        <v>103</v>
      </c>
      <c r="B100" s="159">
        <v>0.10610000044107437</v>
      </c>
      <c r="C100" s="159">
        <v>0.10599999874830246</v>
      </c>
      <c r="D100" s="159">
        <v>0.10610000044107437</v>
      </c>
      <c r="E100" s="159">
        <v>0.10620000213384628</v>
      </c>
      <c r="F100" s="159">
        <v>0.10660000145435333</v>
      </c>
      <c r="G100" s="159">
        <v>0.10750000178813934</v>
      </c>
      <c r="H100" s="159">
        <v>0.10859999805688858</v>
      </c>
      <c r="I100" s="159">
        <v>0.11060000211000443</v>
      </c>
      <c r="J100" s="159">
        <v>0.11389999836683273</v>
      </c>
      <c r="K100" s="159">
        <v>0.11959999799728394</v>
      </c>
      <c r="L100" s="159">
        <v>0.12839999794960022</v>
      </c>
      <c r="M100" s="159">
        <v>0.14159999787807465</v>
      </c>
      <c r="N100" s="159">
        <v>0.15970000624656677</v>
      </c>
      <c r="O100" s="159">
        <v>0.18410000205039978</v>
      </c>
      <c r="P100" s="159">
        <v>0.21359999477863312</v>
      </c>
      <c r="Q100" s="159">
        <v>0.24869999289512634</v>
      </c>
      <c r="R100" s="159">
        <v>0.28999999165534973</v>
      </c>
      <c r="S100" s="159">
        <v>0.33500000834465027</v>
      </c>
      <c r="T100" s="159">
        <v>0.37779998779296875</v>
      </c>
      <c r="U100" s="159">
        <v>0.41460001468658447</v>
      </c>
      <c r="V100" s="159">
        <f t="shared" si="0"/>
        <v>0.43090000748634338</v>
      </c>
      <c r="W100" s="159">
        <v>0.44720000028610229</v>
      </c>
      <c r="X100" s="159">
        <v>0.45500001311302185</v>
      </c>
      <c r="Y100" s="159">
        <v>0.45640000700950623</v>
      </c>
      <c r="Z100" s="159">
        <v>0.4544999897480011</v>
      </c>
      <c r="AA100" s="159">
        <v>0.45509999990463257</v>
      </c>
      <c r="AB100" s="159">
        <v>0.45649999380111694</v>
      </c>
      <c r="AC100" s="159">
        <v>0.46160000562667847</v>
      </c>
      <c r="AD100" s="159">
        <v>0.46889999508857727</v>
      </c>
      <c r="AE100" s="159">
        <v>0.47499999403953552</v>
      </c>
      <c r="AF100" s="159">
        <v>0.4878000020980835</v>
      </c>
      <c r="AG100" s="157"/>
      <c r="AH100" s="157"/>
      <c r="AI100" s="157"/>
      <c r="AJ100" s="157"/>
      <c r="AK100" s="157"/>
      <c r="AL100" s="157"/>
      <c r="AM100" s="157"/>
      <c r="AN100" s="157"/>
      <c r="AO100" s="157"/>
      <c r="AP100" s="157"/>
      <c r="AQ100" s="157"/>
      <c r="AR100" s="157"/>
      <c r="AS100" s="157"/>
      <c r="AT100" s="157"/>
      <c r="AU100" s="157"/>
      <c r="AV100" s="157"/>
      <c r="AW100" s="157"/>
      <c r="AX100" s="157"/>
      <c r="AY100" s="157"/>
      <c r="AZ100" s="157"/>
      <c r="BA100" s="157"/>
      <c r="BB100" s="157"/>
      <c r="BC100" s="157"/>
      <c r="BD100" s="157"/>
      <c r="BE100" s="157"/>
      <c r="BF100" s="157"/>
      <c r="BG100" s="157"/>
      <c r="BH100" s="157"/>
      <c r="BI100" s="157"/>
      <c r="BJ100" s="157"/>
      <c r="BK100" s="157"/>
    </row>
    <row r="101" spans="1:63" x14ac:dyDescent="0.2">
      <c r="A101" s="135" t="s">
        <v>104</v>
      </c>
      <c r="B101" s="159">
        <v>0.10859999805688858</v>
      </c>
      <c r="C101" s="159">
        <v>0.10840000212192535</v>
      </c>
      <c r="D101" s="159">
        <v>0.1088000014424324</v>
      </c>
      <c r="E101" s="159">
        <v>0.10939999669790268</v>
      </c>
      <c r="F101" s="159">
        <v>0.11020000278949738</v>
      </c>
      <c r="G101" s="159">
        <v>0.1120000034570694</v>
      </c>
      <c r="H101" s="159">
        <v>0.11479999870061874</v>
      </c>
      <c r="I101" s="159">
        <v>0.11949999630451202</v>
      </c>
      <c r="J101" s="159">
        <v>0.1273999959230423</v>
      </c>
      <c r="K101" s="159">
        <v>0.13899999856948853</v>
      </c>
      <c r="L101" s="159">
        <v>0.15539999306201935</v>
      </c>
      <c r="M101" s="159">
        <v>0.17870000004768372</v>
      </c>
      <c r="N101" s="159">
        <v>0.20730000734329224</v>
      </c>
      <c r="O101" s="159">
        <v>0.24050000309944153</v>
      </c>
      <c r="P101" s="159">
        <v>0.27790001034736633</v>
      </c>
      <c r="Q101" s="159">
        <v>0.32170000672340393</v>
      </c>
      <c r="R101" s="159">
        <v>0.36550000309944153</v>
      </c>
      <c r="S101" s="159">
        <v>0.40279999375343323</v>
      </c>
      <c r="T101" s="159">
        <v>0.43369999527931213</v>
      </c>
      <c r="U101" s="159">
        <v>0.44539999961853027</v>
      </c>
      <c r="V101" s="159">
        <f t="shared" si="0"/>
        <v>0.44885000586509705</v>
      </c>
      <c r="W101" s="159">
        <v>0.45230001211166382</v>
      </c>
      <c r="X101" s="159">
        <v>0.45080000162124634</v>
      </c>
      <c r="Y101" s="159">
        <v>0.4505000114440918</v>
      </c>
      <c r="Z101" s="159">
        <v>0.4512999951839447</v>
      </c>
      <c r="AA101" s="159">
        <v>0.45570001006126404</v>
      </c>
      <c r="AB101" s="159">
        <v>0.46149998903274536</v>
      </c>
      <c r="AC101" s="159">
        <v>0.47009998559951782</v>
      </c>
      <c r="AD101" s="159">
        <v>0.48050001263618469</v>
      </c>
      <c r="AE101" s="159">
        <v>0.49200001358985901</v>
      </c>
      <c r="AF101" s="159">
        <v>0.5065000057220459</v>
      </c>
      <c r="AG101" s="157"/>
      <c r="AH101" s="157"/>
      <c r="AI101" s="157"/>
      <c r="AJ101" s="157"/>
      <c r="AK101" s="157"/>
      <c r="AL101" s="157"/>
      <c r="AM101" s="157"/>
      <c r="AN101" s="157"/>
      <c r="AO101" s="157"/>
      <c r="AP101" s="157"/>
      <c r="AQ101" s="157"/>
      <c r="AR101" s="157"/>
      <c r="AS101" s="157"/>
      <c r="AT101" s="157"/>
      <c r="AU101" s="157"/>
      <c r="AV101" s="157"/>
      <c r="AW101" s="157"/>
      <c r="AX101" s="157"/>
      <c r="AY101" s="157"/>
      <c r="AZ101" s="157"/>
      <c r="BA101" s="157"/>
      <c r="BB101" s="157"/>
      <c r="BC101" s="157"/>
      <c r="BD101" s="157"/>
      <c r="BE101" s="157"/>
      <c r="BF101" s="157"/>
      <c r="BG101" s="157"/>
      <c r="BH101" s="157"/>
      <c r="BI101" s="157"/>
      <c r="BJ101" s="157"/>
      <c r="BK101" s="157"/>
    </row>
    <row r="102" spans="1:63" x14ac:dyDescent="0.2">
      <c r="A102" s="135" t="s">
        <v>105</v>
      </c>
      <c r="B102" s="159">
        <v>0.11180000007152557</v>
      </c>
      <c r="C102" s="159">
        <v>0.11110000312328339</v>
      </c>
      <c r="D102" s="159">
        <v>0.11129999905824661</v>
      </c>
      <c r="E102" s="159">
        <v>0.1120000034570694</v>
      </c>
      <c r="F102" s="159">
        <v>0.11219999939203262</v>
      </c>
      <c r="G102" s="159">
        <v>0.11309999972581863</v>
      </c>
      <c r="H102" s="159">
        <v>0.11420000344514847</v>
      </c>
      <c r="I102" s="159">
        <v>0.11599999666213989</v>
      </c>
      <c r="J102" s="159">
        <v>0.1193000003695488</v>
      </c>
      <c r="K102" s="159">
        <v>0.12470000237226486</v>
      </c>
      <c r="L102" s="159">
        <v>0.13349999487400055</v>
      </c>
      <c r="M102" s="159">
        <v>0.14640000462532043</v>
      </c>
      <c r="N102" s="159">
        <v>0.16419999301433563</v>
      </c>
      <c r="O102" s="159">
        <v>0.18819999694824219</v>
      </c>
      <c r="P102" s="159">
        <v>0.21690000593662262</v>
      </c>
      <c r="Q102" s="159">
        <v>0.25049999356269836</v>
      </c>
      <c r="R102" s="159">
        <v>0.28999999165534973</v>
      </c>
      <c r="S102" s="159">
        <v>0.33460000157356262</v>
      </c>
      <c r="T102" s="159">
        <v>0.37709999084472656</v>
      </c>
      <c r="U102" s="159">
        <v>0.41440001130104065</v>
      </c>
      <c r="V102" s="159">
        <f t="shared" si="0"/>
        <v>0.43375000357627869</v>
      </c>
      <c r="W102" s="159">
        <v>0.45309999585151672</v>
      </c>
      <c r="X102" s="159">
        <v>0.4595000147819519</v>
      </c>
      <c r="Y102" s="159">
        <v>0.46169999241828918</v>
      </c>
      <c r="Z102" s="159">
        <v>0.460999995470047</v>
      </c>
      <c r="AA102" s="159">
        <v>0.46079999208450317</v>
      </c>
      <c r="AB102" s="159">
        <v>0.4611000120639801</v>
      </c>
      <c r="AC102" s="159">
        <v>0.46480000019073486</v>
      </c>
      <c r="AD102" s="159">
        <v>0.46900001168251038</v>
      </c>
      <c r="AE102" s="159">
        <v>0.47560000419616699</v>
      </c>
      <c r="AF102" s="159">
        <v>0.48410001397132874</v>
      </c>
      <c r="AG102" s="157"/>
      <c r="AH102" s="157"/>
      <c r="AI102" s="157"/>
      <c r="AJ102" s="157"/>
      <c r="AK102" s="157"/>
      <c r="AL102" s="157"/>
      <c r="AM102" s="157"/>
      <c r="AN102" s="157"/>
      <c r="AO102" s="157"/>
      <c r="AP102" s="157"/>
      <c r="AQ102" s="157"/>
      <c r="AR102" s="157"/>
      <c r="AS102" s="157"/>
      <c r="AT102" s="157"/>
      <c r="AU102" s="157"/>
      <c r="AV102" s="157"/>
      <c r="AW102" s="157"/>
      <c r="AX102" s="157"/>
      <c r="AY102" s="157"/>
      <c r="AZ102" s="157"/>
      <c r="BA102" s="157"/>
      <c r="BB102" s="157"/>
      <c r="BC102" s="157"/>
      <c r="BD102" s="157"/>
      <c r="BE102" s="157"/>
      <c r="BF102" s="157"/>
      <c r="BG102" s="157"/>
      <c r="BH102" s="157"/>
      <c r="BI102" s="157"/>
      <c r="BJ102" s="157"/>
      <c r="BK102" s="157"/>
    </row>
    <row r="103" spans="1:63" x14ac:dyDescent="0.2">
      <c r="A103" s="135" t="s">
        <v>106</v>
      </c>
      <c r="B103" s="159">
        <v>0.10909999907016754</v>
      </c>
      <c r="C103" s="159">
        <v>0.10890000313520432</v>
      </c>
      <c r="D103" s="159">
        <v>0.1088000014424324</v>
      </c>
      <c r="E103" s="159">
        <v>0.10939999669790268</v>
      </c>
      <c r="F103" s="159">
        <v>0.11029999703168869</v>
      </c>
      <c r="G103" s="159">
        <v>0.11219999939203262</v>
      </c>
      <c r="H103" s="159">
        <v>0.11490000039339066</v>
      </c>
      <c r="I103" s="159">
        <v>0.11900000274181366</v>
      </c>
      <c r="J103" s="159">
        <v>0.12479999661445618</v>
      </c>
      <c r="K103" s="159">
        <v>0.13320000469684601</v>
      </c>
      <c r="L103" s="159">
        <v>0.14440000057220459</v>
      </c>
      <c r="M103" s="159">
        <v>0.16079999506473541</v>
      </c>
      <c r="N103" s="159">
        <v>0.18410000205039978</v>
      </c>
      <c r="O103" s="159">
        <v>0.2159000039100647</v>
      </c>
      <c r="P103" s="159">
        <v>0.25339999794960022</v>
      </c>
      <c r="Q103" s="159">
        <v>0.29730001091957092</v>
      </c>
      <c r="R103" s="159">
        <v>0.34450000524520874</v>
      </c>
      <c r="S103" s="159">
        <v>0.38989999890327454</v>
      </c>
      <c r="T103" s="159">
        <v>0.42429998517036438</v>
      </c>
      <c r="U103" s="159">
        <v>0.46070000529289246</v>
      </c>
      <c r="V103" s="159">
        <f t="shared" si="0"/>
        <v>0.47460000216960907</v>
      </c>
      <c r="W103" s="159">
        <v>0.48849999904632568</v>
      </c>
      <c r="X103" s="159">
        <v>0.49930000305175781</v>
      </c>
      <c r="Y103" s="159">
        <v>0.50800001621246338</v>
      </c>
      <c r="Z103" s="159">
        <v>0.51679998636245728</v>
      </c>
      <c r="AA103" s="159">
        <v>0.5185999870300293</v>
      </c>
      <c r="AB103" s="159">
        <v>0.51910001039505005</v>
      </c>
      <c r="AC103" s="159">
        <v>0.52060002088546753</v>
      </c>
      <c r="AD103" s="159">
        <v>0.5228000283241272</v>
      </c>
      <c r="AE103" s="159">
        <v>0.52539998292922974</v>
      </c>
      <c r="AF103" s="159">
        <v>0.52969998121261597</v>
      </c>
      <c r="AG103" s="157"/>
      <c r="AH103" s="157"/>
      <c r="AI103" s="157"/>
      <c r="AJ103" s="157"/>
      <c r="AK103" s="157"/>
      <c r="AL103" s="157"/>
      <c r="AM103" s="157"/>
      <c r="AN103" s="157"/>
      <c r="AO103" s="157"/>
      <c r="AP103" s="157"/>
      <c r="AQ103" s="157"/>
      <c r="AR103" s="157"/>
      <c r="AS103" s="157"/>
      <c r="AT103" s="157"/>
      <c r="AU103" s="157"/>
      <c r="AV103" s="157"/>
      <c r="AW103" s="157"/>
      <c r="AX103" s="157"/>
      <c r="AY103" s="157"/>
      <c r="AZ103" s="157"/>
      <c r="BA103" s="157"/>
      <c r="BB103" s="157"/>
      <c r="BC103" s="157"/>
      <c r="BD103" s="157"/>
      <c r="BE103" s="157"/>
      <c r="BF103" s="157"/>
      <c r="BG103" s="157"/>
      <c r="BH103" s="157"/>
      <c r="BI103" s="157"/>
      <c r="BJ103" s="157"/>
      <c r="BK103" s="157"/>
    </row>
    <row r="104" spans="1:63" x14ac:dyDescent="0.2">
      <c r="A104" s="135" t="s">
        <v>107</v>
      </c>
      <c r="B104" s="159">
        <v>0.10849999636411667</v>
      </c>
      <c r="C104" s="159">
        <v>0.10859999805688858</v>
      </c>
      <c r="D104" s="159">
        <v>0.10859999805688858</v>
      </c>
      <c r="E104" s="159">
        <v>0.10920000076293945</v>
      </c>
      <c r="F104" s="159">
        <v>0.10999999940395355</v>
      </c>
      <c r="G104" s="159">
        <v>0.1120000034570694</v>
      </c>
      <c r="H104" s="159">
        <v>0.11469999700784683</v>
      </c>
      <c r="I104" s="159">
        <v>0.11909999698400497</v>
      </c>
      <c r="J104" s="159">
        <v>0.12489999830722809</v>
      </c>
      <c r="K104" s="159">
        <v>0.13279999792575836</v>
      </c>
      <c r="L104" s="159">
        <v>0.1437000036239624</v>
      </c>
      <c r="M104" s="159">
        <v>0.15950000286102295</v>
      </c>
      <c r="N104" s="159">
        <v>0.18250000476837158</v>
      </c>
      <c r="O104" s="159">
        <v>0.21379999816417694</v>
      </c>
      <c r="P104" s="159">
        <v>0.25180000066757202</v>
      </c>
      <c r="Q104" s="159">
        <v>0.29670000076293945</v>
      </c>
      <c r="R104" s="159">
        <v>0.34290000796318054</v>
      </c>
      <c r="S104" s="159">
        <v>0.38670000433921814</v>
      </c>
      <c r="T104" s="159">
        <v>0.42410001158714294</v>
      </c>
      <c r="U104" s="159">
        <v>0.46140000224113464</v>
      </c>
      <c r="V104" s="159">
        <f t="shared" ref="V104:V134" si="1">AVERAGE(U104,W104)</f>
        <v>0.47269999980926514</v>
      </c>
      <c r="W104" s="159">
        <v>0.48399999737739563</v>
      </c>
      <c r="X104" s="159">
        <v>0.49340000748634338</v>
      </c>
      <c r="Y104" s="159">
        <v>0.49919998645782471</v>
      </c>
      <c r="Z104" s="159">
        <v>0.506600022315979</v>
      </c>
      <c r="AA104" s="159">
        <v>0.50840002298355103</v>
      </c>
      <c r="AB104" s="159">
        <v>0.50580000877380371</v>
      </c>
      <c r="AC104" s="159">
        <v>0.50809997320175171</v>
      </c>
      <c r="AD104" s="159">
        <v>0.51130002737045288</v>
      </c>
      <c r="AE104" s="159">
        <v>0.51450002193450928</v>
      </c>
      <c r="AF104" s="159">
        <v>0.51719999313354492</v>
      </c>
      <c r="AG104" s="157"/>
      <c r="AH104" s="157"/>
      <c r="AI104" s="157"/>
      <c r="AJ104" s="157"/>
      <c r="AK104" s="157"/>
      <c r="AL104" s="157"/>
      <c r="AM104" s="157"/>
      <c r="AN104" s="157"/>
      <c r="AO104" s="157"/>
      <c r="AP104" s="157"/>
      <c r="AQ104" s="157"/>
      <c r="AR104" s="157"/>
      <c r="AS104" s="157"/>
      <c r="AT104" s="157"/>
      <c r="AU104" s="157"/>
      <c r="AV104" s="157"/>
      <c r="AW104" s="157"/>
      <c r="AX104" s="157"/>
      <c r="AY104" s="157"/>
      <c r="AZ104" s="157"/>
      <c r="BA104" s="157"/>
      <c r="BB104" s="157"/>
      <c r="BC104" s="157"/>
      <c r="BD104" s="157"/>
      <c r="BE104" s="157"/>
      <c r="BF104" s="157"/>
      <c r="BG104" s="157"/>
      <c r="BH104" s="157"/>
      <c r="BI104" s="157"/>
      <c r="BJ104" s="157"/>
      <c r="BK104" s="157"/>
    </row>
    <row r="105" spans="1:63" x14ac:dyDescent="0.2">
      <c r="A105" s="135" t="s">
        <v>108</v>
      </c>
      <c r="B105" s="159">
        <v>0.10819999873638153</v>
      </c>
      <c r="C105" s="159">
        <v>0.10819999873638153</v>
      </c>
      <c r="D105" s="159">
        <v>0.10809999704360962</v>
      </c>
      <c r="E105" s="159">
        <v>0.10899999737739563</v>
      </c>
      <c r="F105" s="159">
        <v>0.10970000177621841</v>
      </c>
      <c r="G105" s="159">
        <v>0.11180000007152557</v>
      </c>
      <c r="H105" s="159">
        <v>0.11479999870061874</v>
      </c>
      <c r="I105" s="159">
        <v>0.11919999867677689</v>
      </c>
      <c r="J105" s="159">
        <v>0.12569999694824219</v>
      </c>
      <c r="K105" s="159">
        <v>0.13490000367164612</v>
      </c>
      <c r="L105" s="159">
        <v>0.14790000021457672</v>
      </c>
      <c r="M105" s="159">
        <v>0.16650000214576721</v>
      </c>
      <c r="N105" s="159">
        <v>0.19269999861717224</v>
      </c>
      <c r="O105" s="159">
        <v>0.22740000486373901</v>
      </c>
      <c r="P105" s="159">
        <v>0.26829999685287476</v>
      </c>
      <c r="Q105" s="159">
        <v>0.31520000100135803</v>
      </c>
      <c r="R105" s="159">
        <v>0.36090001463890076</v>
      </c>
      <c r="S105" s="159">
        <v>0.40250000357627869</v>
      </c>
      <c r="T105" s="159">
        <v>0.43680000305175781</v>
      </c>
      <c r="U105" s="159">
        <v>0.47049999237060547</v>
      </c>
      <c r="V105" s="159">
        <f t="shared" si="1"/>
        <v>0.4804999977350235</v>
      </c>
      <c r="W105" s="159">
        <v>0.49050000309944153</v>
      </c>
      <c r="X105" s="159">
        <v>0.50080001354217529</v>
      </c>
      <c r="Y105" s="159">
        <v>0.50900000333786011</v>
      </c>
      <c r="Z105" s="159">
        <v>0.51510000228881836</v>
      </c>
      <c r="AA105" s="159">
        <v>0.51510000228881836</v>
      </c>
      <c r="AB105" s="159">
        <v>0.51469999551773071</v>
      </c>
      <c r="AC105" s="159">
        <v>0.51520001888275146</v>
      </c>
      <c r="AD105" s="159">
        <v>0.51639997959136963</v>
      </c>
      <c r="AE105" s="159">
        <v>0.5195000171661377</v>
      </c>
      <c r="AF105" s="159">
        <v>0.52380001544952393</v>
      </c>
      <c r="AG105" s="157"/>
      <c r="AH105" s="157"/>
      <c r="AI105" s="157"/>
      <c r="AJ105" s="157"/>
      <c r="AK105" s="157"/>
      <c r="AL105" s="157"/>
      <c r="AM105" s="157"/>
      <c r="AN105" s="157"/>
      <c r="AO105" s="157"/>
      <c r="AP105" s="157"/>
      <c r="AQ105" s="157"/>
      <c r="AR105" s="157"/>
      <c r="AS105" s="157"/>
      <c r="AT105" s="157"/>
      <c r="AU105" s="157"/>
      <c r="AV105" s="157"/>
      <c r="AW105" s="157"/>
      <c r="AX105" s="157"/>
      <c r="AY105" s="157"/>
      <c r="AZ105" s="157"/>
      <c r="BA105" s="157"/>
      <c r="BB105" s="157"/>
      <c r="BC105" s="157"/>
      <c r="BD105" s="157"/>
      <c r="BE105" s="157"/>
      <c r="BF105" s="157"/>
      <c r="BG105" s="157"/>
      <c r="BH105" s="157"/>
      <c r="BI105" s="157"/>
      <c r="BJ105" s="157"/>
      <c r="BK105" s="157"/>
    </row>
    <row r="106" spans="1:63" x14ac:dyDescent="0.2">
      <c r="A106" s="135" t="s">
        <v>109</v>
      </c>
      <c r="B106" s="159">
        <v>0.10890000313520432</v>
      </c>
      <c r="C106" s="159">
        <v>0.10869999974966049</v>
      </c>
      <c r="D106" s="159">
        <v>0.1088000014424324</v>
      </c>
      <c r="E106" s="159">
        <v>0.1096000000834465</v>
      </c>
      <c r="F106" s="159">
        <v>0.11069999635219574</v>
      </c>
      <c r="G106" s="159">
        <v>0.11320000141859055</v>
      </c>
      <c r="H106" s="159">
        <v>0.11729999631643295</v>
      </c>
      <c r="I106" s="159">
        <v>0.1242000013589859</v>
      </c>
      <c r="J106" s="159">
        <v>0.13510000705718994</v>
      </c>
      <c r="K106" s="159">
        <v>0.15080000460147858</v>
      </c>
      <c r="L106" s="159">
        <v>0.17299999296665192</v>
      </c>
      <c r="M106" s="159">
        <v>0.2020999938249588</v>
      </c>
      <c r="N106" s="159">
        <v>0.23770000040531158</v>
      </c>
      <c r="O106" s="159">
        <v>0.27820000052452087</v>
      </c>
      <c r="P106" s="159">
        <v>0.32249999046325684</v>
      </c>
      <c r="Q106" s="159">
        <v>0.36620000004768372</v>
      </c>
      <c r="R106" s="159">
        <v>0.40669998526573181</v>
      </c>
      <c r="S106" s="159">
        <v>0.44220000505447388</v>
      </c>
      <c r="T106" s="159">
        <v>0.47360000014305115</v>
      </c>
      <c r="U106" s="159">
        <v>0.48579999804496765</v>
      </c>
      <c r="V106" s="159">
        <f t="shared" si="1"/>
        <v>0.49620001018047333</v>
      </c>
      <c r="W106" s="159">
        <v>0.506600022315979</v>
      </c>
      <c r="X106" s="159">
        <v>0.51810002326965332</v>
      </c>
      <c r="Y106" s="159">
        <v>0.52609997987747192</v>
      </c>
      <c r="Z106" s="159">
        <v>0.52880001068115234</v>
      </c>
      <c r="AA106" s="159">
        <v>0.53219997882843018</v>
      </c>
      <c r="AB106" s="159">
        <v>0.53710001707077026</v>
      </c>
      <c r="AC106" s="159">
        <v>0.53909999132156372</v>
      </c>
      <c r="AD106" s="159">
        <v>0.54400002956390381</v>
      </c>
      <c r="AE106" s="159">
        <v>0.54759997129440308</v>
      </c>
      <c r="AF106" s="159">
        <v>0.55279999971389771</v>
      </c>
      <c r="AG106" s="157"/>
      <c r="AH106" s="157"/>
      <c r="AI106" s="157"/>
      <c r="AJ106" s="157"/>
      <c r="AK106" s="157"/>
      <c r="AL106" s="157"/>
      <c r="AM106" s="157"/>
      <c r="AN106" s="157"/>
      <c r="AO106" s="157"/>
      <c r="AP106" s="157"/>
      <c r="AQ106" s="157"/>
      <c r="AR106" s="157"/>
      <c r="AS106" s="157"/>
      <c r="AT106" s="157"/>
      <c r="AU106" s="157"/>
      <c r="AV106" s="157"/>
      <c r="AW106" s="157"/>
      <c r="AX106" s="157"/>
      <c r="AY106" s="157"/>
      <c r="AZ106" s="157"/>
      <c r="BA106" s="157"/>
      <c r="BB106" s="157"/>
      <c r="BC106" s="157"/>
      <c r="BD106" s="157"/>
      <c r="BE106" s="157"/>
      <c r="BF106" s="157"/>
      <c r="BG106" s="157"/>
      <c r="BH106" s="157"/>
      <c r="BI106" s="157"/>
      <c r="BJ106" s="157"/>
      <c r="BK106" s="157"/>
    </row>
    <row r="107" spans="1:63" x14ac:dyDescent="0.2">
      <c r="A107" s="135" t="s">
        <v>110</v>
      </c>
      <c r="B107" s="159">
        <v>0.10849999636411667</v>
      </c>
      <c r="C107" s="159">
        <v>0.10840000212192535</v>
      </c>
      <c r="D107" s="159">
        <v>0.10859999805688858</v>
      </c>
      <c r="E107" s="159">
        <v>0.10920000076293945</v>
      </c>
      <c r="F107" s="159">
        <v>0.11020000278949738</v>
      </c>
      <c r="G107" s="159">
        <v>0.11270000040531158</v>
      </c>
      <c r="H107" s="159">
        <v>0.11670000106096268</v>
      </c>
      <c r="I107" s="159">
        <v>0.1234000027179718</v>
      </c>
      <c r="J107" s="159">
        <v>0.13429999351501465</v>
      </c>
      <c r="K107" s="159">
        <v>0.15000000596046448</v>
      </c>
      <c r="L107" s="159">
        <v>0.17239999771118164</v>
      </c>
      <c r="M107" s="159">
        <v>0.2012999951839447</v>
      </c>
      <c r="N107" s="159">
        <v>0.23810000717639923</v>
      </c>
      <c r="O107" s="159">
        <v>0.28060001134872437</v>
      </c>
      <c r="P107" s="159">
        <v>0.32609999179840088</v>
      </c>
      <c r="Q107" s="159">
        <v>0.37160000205039978</v>
      </c>
      <c r="R107" s="159">
        <v>0.41060000658035278</v>
      </c>
      <c r="S107" s="159">
        <v>0.44470000267028809</v>
      </c>
      <c r="T107" s="159">
        <v>0.47440001368522644</v>
      </c>
      <c r="U107" s="159">
        <v>0.48579999804496765</v>
      </c>
      <c r="V107" s="159">
        <f t="shared" si="1"/>
        <v>0.49679999053478241</v>
      </c>
      <c r="W107" s="159">
        <v>0.50779998302459717</v>
      </c>
      <c r="X107" s="159">
        <v>0.51770001649856567</v>
      </c>
      <c r="Y107" s="159">
        <v>0.52670001983642578</v>
      </c>
      <c r="Z107" s="159">
        <v>0.53009998798370361</v>
      </c>
      <c r="AA107" s="159">
        <v>0.53119999170303345</v>
      </c>
      <c r="AB107" s="159">
        <v>0.53530001640319824</v>
      </c>
      <c r="AC107" s="159">
        <v>0.53829997777938843</v>
      </c>
      <c r="AD107" s="159">
        <v>0.54170000553131104</v>
      </c>
      <c r="AE107" s="159">
        <v>0.54579997062683105</v>
      </c>
      <c r="AF107" s="159">
        <v>0.55220001935958862</v>
      </c>
      <c r="AG107" s="157"/>
      <c r="AH107" s="157"/>
      <c r="AI107" s="157"/>
      <c r="AJ107" s="157"/>
      <c r="AK107" s="157"/>
      <c r="AL107" s="157"/>
      <c r="AM107" s="157"/>
      <c r="AN107" s="157"/>
      <c r="AO107" s="157"/>
      <c r="AP107" s="157"/>
      <c r="AQ107" s="157"/>
      <c r="AR107" s="157"/>
      <c r="AS107" s="157"/>
      <c r="AT107" s="157"/>
      <c r="AU107" s="157"/>
      <c r="AV107" s="157"/>
      <c r="AW107" s="157"/>
      <c r="AX107" s="157"/>
      <c r="AY107" s="157"/>
      <c r="AZ107" s="157"/>
      <c r="BA107" s="157"/>
      <c r="BB107" s="157"/>
      <c r="BC107" s="157"/>
      <c r="BD107" s="157"/>
      <c r="BE107" s="157"/>
      <c r="BF107" s="157"/>
      <c r="BG107" s="157"/>
      <c r="BH107" s="157"/>
      <c r="BI107" s="157"/>
      <c r="BJ107" s="157"/>
      <c r="BK107" s="157"/>
    </row>
    <row r="108" spans="1:63" x14ac:dyDescent="0.2">
      <c r="A108" s="135" t="s">
        <v>111</v>
      </c>
      <c r="B108" s="159">
        <v>0.11069999635219574</v>
      </c>
      <c r="C108" s="159">
        <v>0.11069999635219574</v>
      </c>
      <c r="D108" s="159">
        <v>0.11069999635219574</v>
      </c>
      <c r="E108" s="159">
        <v>0.11140000075101852</v>
      </c>
      <c r="F108" s="159">
        <v>0.11249999701976776</v>
      </c>
      <c r="G108" s="159">
        <v>0.11519999802112579</v>
      </c>
      <c r="H108" s="159">
        <v>0.11940000206232071</v>
      </c>
      <c r="I108" s="159">
        <v>0.12649999558925629</v>
      </c>
      <c r="J108" s="159">
        <v>0.13760000467300415</v>
      </c>
      <c r="K108" s="159">
        <v>0.15410000085830688</v>
      </c>
      <c r="L108" s="159">
        <v>0.17769999802112579</v>
      </c>
      <c r="M108" s="159">
        <v>0.20790000259876251</v>
      </c>
      <c r="N108" s="159">
        <v>0.2468000054359436</v>
      </c>
      <c r="O108" s="159">
        <v>0.2937999963760376</v>
      </c>
      <c r="P108" s="159">
        <v>0.34209999442100525</v>
      </c>
      <c r="Q108" s="159">
        <v>0.38820001482963562</v>
      </c>
      <c r="R108" s="159">
        <v>0.43160000443458557</v>
      </c>
      <c r="S108" s="159">
        <v>0.46759998798370361</v>
      </c>
      <c r="T108" s="159">
        <v>0.49779999256134033</v>
      </c>
      <c r="U108" s="159">
        <v>0.50520002841949463</v>
      </c>
      <c r="V108" s="159">
        <f t="shared" si="1"/>
        <v>0.51280000805854797</v>
      </c>
      <c r="W108" s="159">
        <v>0.52039998769760132</v>
      </c>
      <c r="X108" s="159">
        <v>0.53369998931884766</v>
      </c>
      <c r="Y108" s="159">
        <v>0.53939998149871826</v>
      </c>
      <c r="Z108" s="159">
        <v>0.54129999876022339</v>
      </c>
      <c r="AA108" s="159">
        <v>0.54220002889633179</v>
      </c>
      <c r="AB108" s="159">
        <v>0.54269999265670776</v>
      </c>
      <c r="AC108" s="159">
        <v>0.54519999027252197</v>
      </c>
      <c r="AD108" s="159">
        <v>0.55010002851486206</v>
      </c>
      <c r="AE108" s="159">
        <v>0.553600013256073</v>
      </c>
      <c r="AF108" s="159">
        <v>0.55839997529983521</v>
      </c>
      <c r="AG108" s="157"/>
      <c r="AH108" s="157"/>
      <c r="AI108" s="157"/>
      <c r="AJ108" s="157"/>
      <c r="AK108" s="157"/>
      <c r="AL108" s="157"/>
      <c r="AM108" s="157"/>
      <c r="AN108" s="157"/>
      <c r="AO108" s="157"/>
      <c r="AP108" s="157"/>
      <c r="AQ108" s="157"/>
      <c r="AR108" s="157"/>
      <c r="AS108" s="157"/>
      <c r="AT108" s="157"/>
      <c r="AU108" s="157"/>
      <c r="AV108" s="157"/>
      <c r="AW108" s="157"/>
      <c r="AX108" s="157"/>
      <c r="AY108" s="157"/>
      <c r="AZ108" s="157"/>
      <c r="BA108" s="157"/>
      <c r="BB108" s="157"/>
      <c r="BC108" s="157"/>
      <c r="BD108" s="157"/>
      <c r="BE108" s="157"/>
      <c r="BF108" s="157"/>
      <c r="BG108" s="157"/>
      <c r="BH108" s="157"/>
      <c r="BI108" s="157"/>
      <c r="BJ108" s="157"/>
      <c r="BK108" s="157"/>
    </row>
    <row r="109" spans="1:63" x14ac:dyDescent="0.2">
      <c r="A109" s="135" t="s">
        <v>112</v>
      </c>
      <c r="B109" s="159">
        <v>0.10949999839067459</v>
      </c>
      <c r="C109" s="159">
        <v>0.10939999669790268</v>
      </c>
      <c r="D109" s="159">
        <v>0.10939999669790268</v>
      </c>
      <c r="E109" s="159">
        <v>0.11029999703168869</v>
      </c>
      <c r="F109" s="159">
        <v>0.11169999837875366</v>
      </c>
      <c r="G109" s="159">
        <v>0.11479999870061874</v>
      </c>
      <c r="H109" s="159">
        <v>0.11980000138282776</v>
      </c>
      <c r="I109" s="159">
        <v>0.12829999625682831</v>
      </c>
      <c r="J109" s="159">
        <v>0.14149999618530273</v>
      </c>
      <c r="K109" s="159">
        <v>0.16030000150203705</v>
      </c>
      <c r="L109" s="159">
        <v>0.1859000027179718</v>
      </c>
      <c r="M109" s="159">
        <v>0.21860000491142273</v>
      </c>
      <c r="N109" s="159">
        <v>0.25699999928474426</v>
      </c>
      <c r="O109" s="159">
        <v>0.30320000648498535</v>
      </c>
      <c r="P109" s="159">
        <v>0.34959998726844788</v>
      </c>
      <c r="Q109" s="159">
        <v>0.40209999680519104</v>
      </c>
      <c r="R109" s="159">
        <v>0.44209998846054077</v>
      </c>
      <c r="S109" s="159">
        <v>0.47879999876022339</v>
      </c>
      <c r="T109" s="159">
        <v>0.49779999256134033</v>
      </c>
      <c r="U109" s="159">
        <v>0.5065000057220459</v>
      </c>
      <c r="V109" s="159">
        <f t="shared" si="1"/>
        <v>0.51324999332427979</v>
      </c>
      <c r="W109" s="159">
        <v>0.51999998092651367</v>
      </c>
      <c r="X109" s="159">
        <v>0.53130000829696655</v>
      </c>
      <c r="Y109" s="159">
        <v>0.53270000219345093</v>
      </c>
      <c r="Z109" s="159">
        <v>0.53390002250671387</v>
      </c>
      <c r="AA109" s="159">
        <v>0.5372999906539917</v>
      </c>
      <c r="AB109" s="159">
        <v>0.54089999198913574</v>
      </c>
      <c r="AC109" s="159">
        <v>0.544700026512146</v>
      </c>
      <c r="AD109" s="159">
        <v>0.54979997873306274</v>
      </c>
      <c r="AE109" s="159">
        <v>0.55529999732971191</v>
      </c>
      <c r="AF109" s="159">
        <v>0.56089997291564941</v>
      </c>
      <c r="AG109" s="157"/>
      <c r="AH109" s="157"/>
      <c r="AI109" s="157"/>
      <c r="AJ109" s="157"/>
      <c r="AK109" s="157"/>
      <c r="AL109" s="157"/>
      <c r="AM109" s="157"/>
      <c r="AN109" s="157"/>
      <c r="AO109" s="157"/>
      <c r="AP109" s="157"/>
      <c r="AQ109" s="157"/>
      <c r="AR109" s="157"/>
      <c r="AS109" s="157"/>
      <c r="AT109" s="157"/>
      <c r="AU109" s="157"/>
      <c r="AV109" s="157"/>
      <c r="AW109" s="157"/>
      <c r="AX109" s="157"/>
      <c r="AY109" s="157"/>
      <c r="AZ109" s="157"/>
      <c r="BA109" s="157"/>
      <c r="BB109" s="157"/>
      <c r="BC109" s="157"/>
      <c r="BD109" s="157"/>
      <c r="BE109" s="157"/>
      <c r="BF109" s="157"/>
      <c r="BG109" s="157"/>
      <c r="BH109" s="157"/>
      <c r="BI109" s="157"/>
      <c r="BJ109" s="157"/>
      <c r="BK109" s="157"/>
    </row>
    <row r="110" spans="1:63" x14ac:dyDescent="0.2">
      <c r="A110" s="135" t="s">
        <v>113</v>
      </c>
      <c r="B110" s="159">
        <v>0.10639999806880951</v>
      </c>
      <c r="C110" s="159">
        <v>0.10589999705553055</v>
      </c>
      <c r="D110" s="159">
        <v>0.10570000112056732</v>
      </c>
      <c r="E110" s="159">
        <v>0.10570000112056732</v>
      </c>
      <c r="F110" s="159">
        <v>0.1054999977350235</v>
      </c>
      <c r="G110" s="159">
        <v>0.10559999942779541</v>
      </c>
      <c r="H110" s="159">
        <v>0.10540000349283218</v>
      </c>
      <c r="I110" s="159">
        <v>0.10530000180006027</v>
      </c>
      <c r="J110" s="159">
        <v>0.10509999841451645</v>
      </c>
      <c r="K110" s="159">
        <v>0.10520000010728836</v>
      </c>
      <c r="L110" s="159">
        <v>0.10520000010728836</v>
      </c>
      <c r="M110" s="159">
        <v>0.10499999672174454</v>
      </c>
      <c r="N110" s="159">
        <v>0.10480000078678131</v>
      </c>
      <c r="O110" s="159">
        <v>0.10450000315904617</v>
      </c>
      <c r="P110" s="159">
        <v>0.10429999977350235</v>
      </c>
      <c r="Q110" s="159">
        <v>0.10429999977350235</v>
      </c>
      <c r="R110" s="159">
        <v>0.10429999977350235</v>
      </c>
      <c r="S110" s="159">
        <v>0.10440000146627426</v>
      </c>
      <c r="T110" s="159">
        <v>0.10459999740123749</v>
      </c>
      <c r="U110" s="159">
        <v>0.1046999990940094</v>
      </c>
      <c r="V110" s="159">
        <f t="shared" si="1"/>
        <v>0.10520000010728836</v>
      </c>
      <c r="W110" s="159">
        <v>0.10570000112056732</v>
      </c>
      <c r="X110" s="159">
        <v>0.10540000349283218</v>
      </c>
      <c r="Y110" s="159">
        <v>0.10509999841451645</v>
      </c>
      <c r="Z110" s="159">
        <v>0.10499999672174454</v>
      </c>
      <c r="AA110" s="159">
        <v>0.10480000078678131</v>
      </c>
      <c r="AB110" s="159">
        <v>0.1046999990940094</v>
      </c>
      <c r="AC110" s="159">
        <v>0.10459999740123749</v>
      </c>
      <c r="AD110" s="159">
        <v>0.10459999740123749</v>
      </c>
      <c r="AE110" s="159">
        <v>0.1046999990940094</v>
      </c>
      <c r="AF110" s="159">
        <v>0.10400000214576721</v>
      </c>
      <c r="AG110" s="157"/>
      <c r="AH110" s="157"/>
      <c r="AI110" s="157"/>
      <c r="AJ110" s="157"/>
      <c r="AK110" s="157"/>
      <c r="AL110" s="157"/>
      <c r="AM110" s="157"/>
      <c r="AN110" s="157"/>
      <c r="AO110" s="157"/>
      <c r="AP110" s="157"/>
      <c r="AQ110" s="157"/>
      <c r="AR110" s="157"/>
      <c r="AS110" s="157"/>
      <c r="AT110" s="157"/>
      <c r="AU110" s="157"/>
      <c r="AV110" s="157"/>
      <c r="AW110" s="157"/>
      <c r="AX110" s="157"/>
      <c r="AY110" s="157"/>
      <c r="AZ110" s="157"/>
      <c r="BA110" s="157"/>
      <c r="BB110" s="157"/>
      <c r="BC110" s="157"/>
      <c r="BD110" s="157"/>
      <c r="BE110" s="157"/>
      <c r="BF110" s="157"/>
      <c r="BG110" s="157"/>
      <c r="BH110" s="157"/>
      <c r="BI110" s="157"/>
      <c r="BJ110" s="157"/>
      <c r="BK110" s="157"/>
    </row>
    <row r="111" spans="1:63" x14ac:dyDescent="0.2">
      <c r="A111" s="135" t="s">
        <v>114</v>
      </c>
      <c r="B111" s="159">
        <v>0.10719999670982361</v>
      </c>
      <c r="C111" s="159">
        <v>0.10679999738931656</v>
      </c>
      <c r="D111" s="159">
        <v>0.10670000314712524</v>
      </c>
      <c r="E111" s="159">
        <v>0.10660000145435333</v>
      </c>
      <c r="F111" s="159">
        <v>0.10660000145435333</v>
      </c>
      <c r="G111" s="159">
        <v>0.10679999738931656</v>
      </c>
      <c r="H111" s="159">
        <v>0.10670000314712524</v>
      </c>
      <c r="I111" s="159">
        <v>0.10670000314712524</v>
      </c>
      <c r="J111" s="159">
        <v>0.10660000145435333</v>
      </c>
      <c r="K111" s="159">
        <v>0.10679999738931656</v>
      </c>
      <c r="L111" s="159">
        <v>0.10660000145435333</v>
      </c>
      <c r="M111" s="159">
        <v>0.10639999806880951</v>
      </c>
      <c r="N111" s="159">
        <v>0.10620000213384628</v>
      </c>
      <c r="O111" s="159">
        <v>0.10599999874830246</v>
      </c>
      <c r="P111" s="159">
        <v>0.10580000281333923</v>
      </c>
      <c r="Q111" s="159">
        <v>0.10580000281333923</v>
      </c>
      <c r="R111" s="159">
        <v>0.10580000281333923</v>
      </c>
      <c r="S111" s="159">
        <v>0.10599999874830246</v>
      </c>
      <c r="T111" s="159">
        <v>0.10620000213384628</v>
      </c>
      <c r="U111" s="159">
        <v>0.1062999963760376</v>
      </c>
      <c r="V111" s="159">
        <f t="shared" si="1"/>
        <v>0.1062999963760376</v>
      </c>
      <c r="W111" s="159">
        <v>0.1062999963760376</v>
      </c>
      <c r="X111" s="159">
        <v>0.10610000044107437</v>
      </c>
      <c r="Y111" s="159">
        <v>0.10580000281333923</v>
      </c>
      <c r="Z111" s="159">
        <v>0.10559999942779541</v>
      </c>
      <c r="AA111" s="159">
        <v>0.10540000349283218</v>
      </c>
      <c r="AB111" s="159">
        <v>0.10530000180006027</v>
      </c>
      <c r="AC111" s="159">
        <v>0.10520000010728836</v>
      </c>
      <c r="AD111" s="159">
        <v>0.10520000010728836</v>
      </c>
      <c r="AE111" s="159">
        <v>0.10530000180006027</v>
      </c>
      <c r="AF111" s="159">
        <v>0.10530000180006027</v>
      </c>
      <c r="AG111" s="157"/>
      <c r="AH111" s="157"/>
      <c r="AI111" s="157"/>
      <c r="AJ111" s="157"/>
      <c r="AK111" s="157"/>
      <c r="AL111" s="157"/>
      <c r="AM111" s="157"/>
      <c r="AN111" s="157"/>
      <c r="AO111" s="157"/>
      <c r="AP111" s="157"/>
      <c r="AQ111" s="157"/>
      <c r="AR111" s="157"/>
      <c r="AS111" s="157"/>
      <c r="AT111" s="157"/>
      <c r="AU111" s="157"/>
      <c r="AV111" s="157"/>
      <c r="AW111" s="157"/>
      <c r="AX111" s="157"/>
      <c r="AY111" s="157"/>
      <c r="AZ111" s="157"/>
      <c r="BA111" s="157"/>
      <c r="BB111" s="157"/>
      <c r="BC111" s="157"/>
      <c r="BD111" s="157"/>
      <c r="BE111" s="157"/>
      <c r="BF111" s="157"/>
      <c r="BG111" s="157"/>
      <c r="BH111" s="157"/>
      <c r="BI111" s="157"/>
      <c r="BJ111" s="157"/>
      <c r="BK111" s="157"/>
    </row>
    <row r="112" spans="1:63" x14ac:dyDescent="0.2">
      <c r="A112" s="135" t="s">
        <v>115</v>
      </c>
      <c r="B112" s="159">
        <v>0.10859999805688858</v>
      </c>
      <c r="C112" s="159">
        <v>0.10859999805688858</v>
      </c>
      <c r="D112" s="159">
        <v>0.10899999737739563</v>
      </c>
      <c r="E112" s="159">
        <v>0.10930000245571136</v>
      </c>
      <c r="F112" s="159">
        <v>0.11020000278949738</v>
      </c>
      <c r="G112" s="159">
        <v>0.11240000277757645</v>
      </c>
      <c r="H112" s="159">
        <v>0.11590000241994858</v>
      </c>
      <c r="I112" s="159">
        <v>0.12160000205039978</v>
      </c>
      <c r="J112" s="159">
        <v>0.13089999556541443</v>
      </c>
      <c r="K112" s="159">
        <v>0.14460000395774841</v>
      </c>
      <c r="L112" s="159">
        <v>0.16359999775886536</v>
      </c>
      <c r="M112" s="159">
        <v>0.18799999356269836</v>
      </c>
      <c r="N112" s="159">
        <v>0.21639999747276306</v>
      </c>
      <c r="O112" s="159">
        <v>0.24969999492168427</v>
      </c>
      <c r="P112" s="159">
        <v>0.289000004529953</v>
      </c>
      <c r="Q112" s="159">
        <v>0.33140000700950623</v>
      </c>
      <c r="R112" s="159">
        <v>0.37610000371932983</v>
      </c>
      <c r="S112" s="159">
        <v>0.41539999842643738</v>
      </c>
      <c r="T112" s="159">
        <v>0.4546000063419342</v>
      </c>
      <c r="U112" s="159">
        <v>0.47530001401901245</v>
      </c>
      <c r="V112" s="159">
        <f t="shared" si="1"/>
        <v>0.48765000700950623</v>
      </c>
      <c r="W112" s="159">
        <v>0.5</v>
      </c>
      <c r="X112" s="159">
        <v>0.51050001382827759</v>
      </c>
      <c r="Y112" s="159">
        <v>0.52120000123977661</v>
      </c>
      <c r="Z112" s="159">
        <v>0.53259998559951782</v>
      </c>
      <c r="AA112" s="159">
        <v>0.54079997539520264</v>
      </c>
      <c r="AB112" s="159">
        <v>0.54559999704360962</v>
      </c>
      <c r="AC112" s="159">
        <v>0.55220001935958862</v>
      </c>
      <c r="AD112" s="159">
        <v>0.5591999888420105</v>
      </c>
      <c r="AE112" s="159">
        <v>0.56550002098083496</v>
      </c>
      <c r="AF112" s="159">
        <v>0.57209998369216919</v>
      </c>
      <c r="AG112" s="157"/>
      <c r="AH112" s="157"/>
      <c r="AI112" s="157"/>
      <c r="AJ112" s="157"/>
      <c r="AK112" s="157"/>
      <c r="AL112" s="157"/>
      <c r="AM112" s="157"/>
      <c r="AN112" s="157"/>
      <c r="AO112" s="157"/>
      <c r="AP112" s="157"/>
      <c r="AQ112" s="157"/>
      <c r="AR112" s="157"/>
      <c r="AS112" s="157"/>
      <c r="AT112" s="157"/>
      <c r="AU112" s="157"/>
      <c r="AV112" s="157"/>
      <c r="AW112" s="157"/>
      <c r="AX112" s="157"/>
      <c r="AY112" s="157"/>
      <c r="AZ112" s="157"/>
      <c r="BA112" s="157"/>
      <c r="BB112" s="157"/>
      <c r="BC112" s="157"/>
      <c r="BD112" s="157"/>
      <c r="BE112" s="157"/>
      <c r="BF112" s="157"/>
      <c r="BG112" s="157"/>
      <c r="BH112" s="157"/>
      <c r="BI112" s="157"/>
      <c r="BJ112" s="157"/>
      <c r="BK112" s="157"/>
    </row>
    <row r="113" spans="1:63" x14ac:dyDescent="0.2">
      <c r="A113" s="135" t="s">
        <v>116</v>
      </c>
      <c r="B113" s="159">
        <v>0.10819999873638153</v>
      </c>
      <c r="C113" s="159">
        <v>0.10819999873638153</v>
      </c>
      <c r="D113" s="159">
        <v>0.10830000042915344</v>
      </c>
      <c r="E113" s="159">
        <v>0.1088000014424324</v>
      </c>
      <c r="F113" s="159">
        <v>0.10980000346899033</v>
      </c>
      <c r="G113" s="159">
        <v>0.11180000007152557</v>
      </c>
      <c r="H113" s="159">
        <v>0.11519999802112579</v>
      </c>
      <c r="I113" s="159">
        <v>0.12099999934434891</v>
      </c>
      <c r="J113" s="159">
        <v>0.13009999692440033</v>
      </c>
      <c r="K113" s="159">
        <v>0.14360000193119049</v>
      </c>
      <c r="L113" s="159">
        <v>0.16259999573230743</v>
      </c>
      <c r="M113" s="159">
        <v>0.18719999492168427</v>
      </c>
      <c r="N113" s="159">
        <v>0.21529999375343323</v>
      </c>
      <c r="O113" s="159">
        <v>0.24869999289512634</v>
      </c>
      <c r="P113" s="159">
        <v>0.28839999437332153</v>
      </c>
      <c r="Q113" s="159">
        <v>0.33039999008178711</v>
      </c>
      <c r="R113" s="159">
        <v>0.37560001015663147</v>
      </c>
      <c r="S113" s="159">
        <v>0.41490000486373901</v>
      </c>
      <c r="T113" s="159">
        <v>0.45390000939369202</v>
      </c>
      <c r="U113" s="159">
        <v>0.47459998726844788</v>
      </c>
      <c r="V113" s="159">
        <f t="shared" si="1"/>
        <v>0.48709999024868011</v>
      </c>
      <c r="W113" s="159">
        <v>0.49959999322891235</v>
      </c>
      <c r="X113" s="159">
        <v>0.50919997692108154</v>
      </c>
      <c r="Y113" s="159">
        <v>0.52029997110366821</v>
      </c>
      <c r="Z113" s="159">
        <v>0.53140002489089966</v>
      </c>
      <c r="AA113" s="159">
        <v>0.53909999132156372</v>
      </c>
      <c r="AB113" s="159">
        <v>0.54439997673034668</v>
      </c>
      <c r="AC113" s="159">
        <v>0.5504000186920166</v>
      </c>
      <c r="AD113" s="159">
        <v>0.55610001087188721</v>
      </c>
      <c r="AE113" s="159">
        <v>0.56410002708435059</v>
      </c>
      <c r="AF113" s="159">
        <v>0.57039999961853027</v>
      </c>
      <c r="AG113" s="157"/>
      <c r="AH113" s="157"/>
      <c r="AI113" s="157"/>
      <c r="AJ113" s="157"/>
      <c r="AK113" s="157"/>
      <c r="AL113" s="157"/>
      <c r="AM113" s="157"/>
      <c r="AN113" s="157"/>
      <c r="AO113" s="157"/>
      <c r="AP113" s="157"/>
      <c r="AQ113" s="157"/>
      <c r="AR113" s="157"/>
      <c r="AS113" s="157"/>
      <c r="AT113" s="157"/>
      <c r="AU113" s="157"/>
      <c r="AV113" s="157"/>
      <c r="AW113" s="157"/>
      <c r="AX113" s="157"/>
      <c r="AY113" s="157"/>
      <c r="AZ113" s="157"/>
      <c r="BA113" s="157"/>
      <c r="BB113" s="157"/>
      <c r="BC113" s="157"/>
      <c r="BD113" s="157"/>
      <c r="BE113" s="157"/>
      <c r="BF113" s="157"/>
      <c r="BG113" s="157"/>
      <c r="BH113" s="157"/>
      <c r="BI113" s="157"/>
      <c r="BJ113" s="157"/>
      <c r="BK113" s="157"/>
    </row>
    <row r="114" spans="1:63" x14ac:dyDescent="0.2">
      <c r="A114" s="135" t="s">
        <v>117</v>
      </c>
      <c r="B114" s="159">
        <v>0.10840000212192535</v>
      </c>
      <c r="C114" s="159">
        <v>0.10830000042915344</v>
      </c>
      <c r="D114" s="159">
        <v>0.10830000042915344</v>
      </c>
      <c r="E114" s="159">
        <v>0.10890000313520432</v>
      </c>
      <c r="F114" s="159">
        <v>0.10970000177621841</v>
      </c>
      <c r="G114" s="159">
        <v>0.11190000176429749</v>
      </c>
      <c r="H114" s="159">
        <v>0.11509999632835388</v>
      </c>
      <c r="I114" s="159">
        <v>0.120899997651577</v>
      </c>
      <c r="J114" s="159">
        <v>0.12980000674724579</v>
      </c>
      <c r="K114" s="159">
        <v>0.14329999685287476</v>
      </c>
      <c r="L114" s="159">
        <v>0.16210000216960907</v>
      </c>
      <c r="M114" s="159">
        <v>0.1867000013589859</v>
      </c>
      <c r="N114" s="159">
        <v>0.21490000188350677</v>
      </c>
      <c r="O114" s="159">
        <v>0.24740000069141388</v>
      </c>
      <c r="P114" s="159">
        <v>0.28690001368522644</v>
      </c>
      <c r="Q114" s="159">
        <v>0.32989999651908875</v>
      </c>
      <c r="R114" s="159">
        <v>0.37349998950958252</v>
      </c>
      <c r="S114" s="159">
        <v>0.41290000081062317</v>
      </c>
      <c r="T114" s="159">
        <v>0.45230001211166382</v>
      </c>
      <c r="U114" s="159">
        <v>0.4731999933719635</v>
      </c>
      <c r="V114" s="159">
        <f t="shared" si="1"/>
        <v>0.4857499897480011</v>
      </c>
      <c r="W114" s="159">
        <v>0.4982999861240387</v>
      </c>
      <c r="X114" s="159">
        <v>0.50819998979568481</v>
      </c>
      <c r="Y114" s="159">
        <v>0.51829999685287476</v>
      </c>
      <c r="Z114" s="159">
        <v>0.52950000762939453</v>
      </c>
      <c r="AA114" s="159">
        <v>0.53769999742507935</v>
      </c>
      <c r="AB114" s="159">
        <v>0.54180002212524414</v>
      </c>
      <c r="AC114" s="159">
        <v>0.54799997806549072</v>
      </c>
      <c r="AD114" s="159">
        <v>0.55470001697540283</v>
      </c>
      <c r="AE114" s="159">
        <v>0.56209999322891235</v>
      </c>
      <c r="AF114" s="159">
        <v>0.5680999755859375</v>
      </c>
      <c r="AG114" s="157"/>
      <c r="AH114" s="157"/>
      <c r="AI114" s="157"/>
      <c r="AJ114" s="157"/>
      <c r="AK114" s="157"/>
      <c r="AL114" s="157"/>
      <c r="AM114" s="157"/>
      <c r="AN114" s="157"/>
      <c r="AO114" s="157"/>
      <c r="AP114" s="157"/>
      <c r="AQ114" s="157"/>
      <c r="AR114" s="157"/>
      <c r="AS114" s="157"/>
      <c r="AT114" s="157"/>
      <c r="AU114" s="157"/>
      <c r="AV114" s="157"/>
      <c r="AW114" s="157"/>
      <c r="AX114" s="157"/>
      <c r="AY114" s="157"/>
      <c r="AZ114" s="157"/>
      <c r="BA114" s="157"/>
      <c r="BB114" s="157"/>
      <c r="BC114" s="157"/>
      <c r="BD114" s="157"/>
      <c r="BE114" s="157"/>
      <c r="BF114" s="157"/>
      <c r="BG114" s="157"/>
      <c r="BH114" s="157"/>
      <c r="BI114" s="157"/>
      <c r="BJ114" s="157"/>
      <c r="BK114" s="157"/>
    </row>
    <row r="115" spans="1:63" x14ac:dyDescent="0.2">
      <c r="A115" s="135" t="s">
        <v>118</v>
      </c>
      <c r="B115" s="159">
        <v>0.11129999905824661</v>
      </c>
      <c r="C115" s="159">
        <v>0.11289999634027481</v>
      </c>
      <c r="D115" s="159">
        <v>0.11230000108480453</v>
      </c>
      <c r="E115" s="159">
        <v>0.11159999668598175</v>
      </c>
      <c r="F115" s="159">
        <v>0.11259999871253967</v>
      </c>
      <c r="G115" s="159">
        <v>0.11439999938011169</v>
      </c>
      <c r="H115" s="159">
        <v>0.1177000030875206</v>
      </c>
      <c r="I115" s="159">
        <v>0.1234000027179718</v>
      </c>
      <c r="J115" s="159">
        <v>0.13240000605583191</v>
      </c>
      <c r="K115" s="159">
        <v>0.1460999995470047</v>
      </c>
      <c r="L115" s="159">
        <v>0.16519999504089355</v>
      </c>
      <c r="M115" s="159">
        <v>0.19009999930858612</v>
      </c>
      <c r="N115" s="159">
        <v>0.21920000016689301</v>
      </c>
      <c r="O115" s="159">
        <v>0.25350001454353333</v>
      </c>
      <c r="P115" s="159">
        <v>0.29449999332427979</v>
      </c>
      <c r="Q115" s="159">
        <v>0.33919999003410339</v>
      </c>
      <c r="R115" s="159">
        <v>0.38539999723434448</v>
      </c>
      <c r="S115" s="159">
        <v>0.42260000109672546</v>
      </c>
      <c r="T115" s="159">
        <v>0.46070000529289246</v>
      </c>
      <c r="U115" s="159">
        <v>0.48210000991821289</v>
      </c>
      <c r="V115" s="159">
        <f t="shared" si="1"/>
        <v>0.49435001611709595</v>
      </c>
      <c r="W115" s="159">
        <v>0.506600022315979</v>
      </c>
      <c r="X115" s="159">
        <v>0.51700001955032349</v>
      </c>
      <c r="Y115" s="159">
        <v>0.52679997682571411</v>
      </c>
      <c r="Z115" s="159">
        <v>0.53780001401901245</v>
      </c>
      <c r="AA115" s="159">
        <v>0.54369997978210449</v>
      </c>
      <c r="AB115" s="159">
        <v>0.54799997806549072</v>
      </c>
      <c r="AC115" s="159">
        <v>0.55369997024536133</v>
      </c>
      <c r="AD115" s="159">
        <v>0.56029999256134033</v>
      </c>
      <c r="AE115" s="159">
        <v>0.56639999151229858</v>
      </c>
      <c r="AF115" s="159">
        <v>0.57620000839233398</v>
      </c>
      <c r="AG115" s="157"/>
      <c r="AH115" s="157"/>
      <c r="AI115" s="157"/>
      <c r="AJ115" s="157"/>
      <c r="AK115" s="157"/>
      <c r="AL115" s="157"/>
      <c r="AM115" s="157"/>
      <c r="AN115" s="157"/>
      <c r="AO115" s="157"/>
      <c r="AP115" s="157"/>
      <c r="AQ115" s="157"/>
      <c r="AR115" s="157"/>
      <c r="AS115" s="157"/>
      <c r="AT115" s="157"/>
      <c r="AU115" s="157"/>
      <c r="AV115" s="157"/>
      <c r="AW115" s="157"/>
      <c r="AX115" s="157"/>
      <c r="AY115" s="157"/>
      <c r="AZ115" s="157"/>
      <c r="BA115" s="157"/>
      <c r="BB115" s="157"/>
      <c r="BC115" s="157"/>
      <c r="BD115" s="157"/>
      <c r="BE115" s="157"/>
      <c r="BF115" s="157"/>
      <c r="BG115" s="157"/>
      <c r="BH115" s="157"/>
      <c r="BI115" s="157"/>
      <c r="BJ115" s="157"/>
      <c r="BK115" s="157"/>
    </row>
    <row r="116" spans="1:63" x14ac:dyDescent="0.2">
      <c r="A116" s="135" t="s">
        <v>119</v>
      </c>
      <c r="B116" s="159">
        <v>0.10869999974966049</v>
      </c>
      <c r="C116" s="159">
        <v>0.10849999636411667</v>
      </c>
      <c r="D116" s="159">
        <v>0.10859999805688858</v>
      </c>
      <c r="E116" s="159">
        <v>0.10920000076293945</v>
      </c>
      <c r="F116" s="159">
        <v>0.10999999940395355</v>
      </c>
      <c r="G116" s="159">
        <v>0.11240000277757645</v>
      </c>
      <c r="H116" s="159">
        <v>0.11620000004768372</v>
      </c>
      <c r="I116" s="159">
        <v>0.12240000069141388</v>
      </c>
      <c r="J116" s="159">
        <v>0.13259999454021454</v>
      </c>
      <c r="K116" s="159">
        <v>0.14749999344348907</v>
      </c>
      <c r="L116" s="159">
        <v>0.16850000619888306</v>
      </c>
      <c r="M116" s="159">
        <v>0.19539999961853027</v>
      </c>
      <c r="N116" s="159">
        <v>0.22640000283718109</v>
      </c>
      <c r="O116" s="159">
        <v>0.26289999485015869</v>
      </c>
      <c r="P116" s="159">
        <v>0.30649998784065247</v>
      </c>
      <c r="Q116" s="159">
        <v>0.35019999742507935</v>
      </c>
      <c r="R116" s="159">
        <v>0.39480000734329224</v>
      </c>
      <c r="S116" s="159">
        <v>0.43169999122619629</v>
      </c>
      <c r="T116" s="159">
        <v>0.46880000829696655</v>
      </c>
      <c r="U116" s="159">
        <v>0.48480001091957092</v>
      </c>
      <c r="V116" s="159">
        <f t="shared" si="1"/>
        <v>0.49644999206066132</v>
      </c>
      <c r="W116" s="159">
        <v>0.50809997320175171</v>
      </c>
      <c r="X116" s="159">
        <v>0.51700001955032349</v>
      </c>
      <c r="Y116" s="159">
        <v>0.52670001983642578</v>
      </c>
      <c r="Z116" s="159">
        <v>0.53619998693466187</v>
      </c>
      <c r="AA116" s="159">
        <v>0.54030001163482666</v>
      </c>
      <c r="AB116" s="159">
        <v>0.54559999704360962</v>
      </c>
      <c r="AC116" s="159">
        <v>0.5504000186920166</v>
      </c>
      <c r="AD116" s="159">
        <v>0.55540001392364502</v>
      </c>
      <c r="AE116" s="159">
        <v>0.56180000305175781</v>
      </c>
      <c r="AF116" s="159">
        <v>0.56730002164840698</v>
      </c>
      <c r="AG116" s="157"/>
      <c r="AH116" s="157"/>
      <c r="AI116" s="157"/>
      <c r="AJ116" s="157"/>
      <c r="AK116" s="157"/>
      <c r="AL116" s="157"/>
      <c r="AM116" s="157"/>
      <c r="AN116" s="157"/>
      <c r="AO116" s="157"/>
      <c r="AP116" s="157"/>
      <c r="AQ116" s="157"/>
      <c r="AR116" s="157"/>
      <c r="AS116" s="157"/>
      <c r="AT116" s="157"/>
      <c r="AU116" s="157"/>
      <c r="AV116" s="157"/>
      <c r="AW116" s="157"/>
      <c r="AX116" s="157"/>
      <c r="AY116" s="157"/>
      <c r="AZ116" s="157"/>
      <c r="BA116" s="157"/>
      <c r="BB116" s="157"/>
      <c r="BC116" s="157"/>
      <c r="BD116" s="157"/>
      <c r="BE116" s="157"/>
      <c r="BF116" s="157"/>
      <c r="BG116" s="157"/>
      <c r="BH116" s="157"/>
      <c r="BI116" s="157"/>
      <c r="BJ116" s="157"/>
      <c r="BK116" s="157"/>
    </row>
    <row r="117" spans="1:63" x14ac:dyDescent="0.2">
      <c r="A117" s="135" t="s">
        <v>120</v>
      </c>
      <c r="B117" s="159">
        <v>0.10869999974966049</v>
      </c>
      <c r="C117" s="159">
        <v>0.10849999636411667</v>
      </c>
      <c r="D117" s="159">
        <v>0.10859999805688858</v>
      </c>
      <c r="E117" s="159">
        <v>0.10920000076293945</v>
      </c>
      <c r="F117" s="159">
        <v>0.11029999703168869</v>
      </c>
      <c r="G117" s="159">
        <v>0.11270000040531158</v>
      </c>
      <c r="H117" s="159">
        <v>0.11659999936819077</v>
      </c>
      <c r="I117" s="159">
        <v>0.12330000102519989</v>
      </c>
      <c r="J117" s="159">
        <v>0.13379999995231628</v>
      </c>
      <c r="K117" s="159">
        <v>0.14920000731945038</v>
      </c>
      <c r="L117" s="159">
        <v>0.17069999873638153</v>
      </c>
      <c r="M117" s="159">
        <v>0.19820000231266022</v>
      </c>
      <c r="N117" s="159">
        <v>0.2296999990940094</v>
      </c>
      <c r="O117" s="159">
        <v>0.26789999008178711</v>
      </c>
      <c r="P117" s="159">
        <v>0.31159999966621399</v>
      </c>
      <c r="Q117" s="159">
        <v>0.35519999265670776</v>
      </c>
      <c r="R117" s="159">
        <v>0.39770001173019409</v>
      </c>
      <c r="S117" s="159">
        <v>0.43459999561309814</v>
      </c>
      <c r="T117" s="159">
        <v>0.47110000252723694</v>
      </c>
      <c r="U117" s="159">
        <v>0.48390001058578491</v>
      </c>
      <c r="V117" s="159">
        <f t="shared" si="1"/>
        <v>0.49465000629425049</v>
      </c>
      <c r="W117" s="159">
        <v>0.50540000200271606</v>
      </c>
      <c r="X117" s="159">
        <v>0.51520001888275146</v>
      </c>
      <c r="Y117" s="159">
        <v>0.52549999952316284</v>
      </c>
      <c r="Z117" s="159">
        <v>0.53289997577667236</v>
      </c>
      <c r="AA117" s="159">
        <v>0.53719997406005859</v>
      </c>
      <c r="AB117" s="159">
        <v>0.54199999570846558</v>
      </c>
      <c r="AC117" s="159">
        <v>0.54570001363754272</v>
      </c>
      <c r="AD117" s="159">
        <v>0.55229997634887695</v>
      </c>
      <c r="AE117" s="159">
        <v>0.55820000171661377</v>
      </c>
      <c r="AF117" s="159">
        <v>0.56370002031326294</v>
      </c>
      <c r="AG117" s="157"/>
      <c r="AH117" s="157"/>
      <c r="AI117" s="157"/>
      <c r="AJ117" s="157"/>
      <c r="AK117" s="157"/>
      <c r="AL117" s="157"/>
      <c r="AM117" s="157"/>
      <c r="AN117" s="157"/>
      <c r="AO117" s="157"/>
      <c r="AP117" s="157"/>
      <c r="AQ117" s="157"/>
      <c r="AR117" s="157"/>
      <c r="AS117" s="157"/>
      <c r="AT117" s="157"/>
      <c r="AU117" s="157"/>
      <c r="AV117" s="157"/>
      <c r="AW117" s="157"/>
      <c r="AX117" s="157"/>
      <c r="AY117" s="157"/>
      <c r="AZ117" s="157"/>
      <c r="BA117" s="157"/>
      <c r="BB117" s="157"/>
      <c r="BC117" s="157"/>
      <c r="BD117" s="157"/>
      <c r="BE117" s="157"/>
      <c r="BF117" s="157"/>
      <c r="BG117" s="157"/>
      <c r="BH117" s="157"/>
      <c r="BI117" s="157"/>
      <c r="BJ117" s="157"/>
      <c r="BK117" s="157"/>
    </row>
    <row r="118" spans="1:63" x14ac:dyDescent="0.2">
      <c r="A118" s="135" t="s">
        <v>121</v>
      </c>
      <c r="B118" s="159">
        <v>0.10999999940395355</v>
      </c>
      <c r="C118" s="159">
        <v>0.10989999771118164</v>
      </c>
      <c r="D118" s="159">
        <v>0.10989999771118164</v>
      </c>
      <c r="E118" s="159">
        <v>0.11069999635219574</v>
      </c>
      <c r="F118" s="159">
        <v>0.1120000034570694</v>
      </c>
      <c r="G118" s="159">
        <v>0.11500000208616257</v>
      </c>
      <c r="H118" s="159">
        <v>0.11980000138282776</v>
      </c>
      <c r="I118" s="159">
        <v>0.12770000100135803</v>
      </c>
      <c r="J118" s="159">
        <v>0.14030000567436218</v>
      </c>
      <c r="K118" s="159">
        <v>0.15809999406337738</v>
      </c>
      <c r="L118" s="159">
        <v>0.18240000307559967</v>
      </c>
      <c r="M118" s="159">
        <v>0.21310000121593475</v>
      </c>
      <c r="N118" s="159">
        <v>0.24819999933242798</v>
      </c>
      <c r="O118" s="159">
        <v>0.28979998826980591</v>
      </c>
      <c r="P118" s="159">
        <v>0.33180001378059387</v>
      </c>
      <c r="Q118" s="159">
        <v>0.37639999389648438</v>
      </c>
      <c r="R118" s="159">
        <v>0.4154999852180481</v>
      </c>
      <c r="S118" s="159">
        <v>0.45219999551773071</v>
      </c>
      <c r="T118" s="159">
        <v>0.47859999537467957</v>
      </c>
      <c r="U118" s="159">
        <v>0.49290001392364502</v>
      </c>
      <c r="V118" s="159">
        <f t="shared" si="1"/>
        <v>0.5033000111579895</v>
      </c>
      <c r="W118" s="159">
        <v>0.51370000839233398</v>
      </c>
      <c r="X118" s="159">
        <v>0.52359998226165771</v>
      </c>
      <c r="Y118" s="159">
        <v>0.53189998865127563</v>
      </c>
      <c r="Z118" s="159">
        <v>0.53570002317428589</v>
      </c>
      <c r="AA118" s="159">
        <v>0.54000002145767212</v>
      </c>
      <c r="AB118" s="159">
        <v>0.54430001974105835</v>
      </c>
      <c r="AC118" s="159">
        <v>0.55010002851486206</v>
      </c>
      <c r="AD118" s="159">
        <v>0.55479997396469116</v>
      </c>
      <c r="AE118" s="159">
        <v>0.56089997291564941</v>
      </c>
      <c r="AF118" s="159">
        <v>0.56519997119903564</v>
      </c>
      <c r="AG118" s="157"/>
      <c r="AH118" s="157"/>
      <c r="AI118" s="157"/>
      <c r="AJ118" s="157"/>
      <c r="AK118" s="157"/>
      <c r="AL118" s="157"/>
      <c r="AM118" s="157"/>
      <c r="AN118" s="157"/>
      <c r="AO118" s="157"/>
      <c r="AP118" s="157"/>
      <c r="AQ118" s="157"/>
      <c r="AR118" s="157"/>
      <c r="AS118" s="157"/>
      <c r="AT118" s="157"/>
      <c r="AU118" s="157"/>
      <c r="AV118" s="157"/>
      <c r="AW118" s="157"/>
      <c r="AX118" s="157"/>
      <c r="AY118" s="157"/>
      <c r="AZ118" s="157"/>
      <c r="BA118" s="157"/>
      <c r="BB118" s="157"/>
      <c r="BC118" s="157"/>
      <c r="BD118" s="157"/>
      <c r="BE118" s="157"/>
      <c r="BF118" s="157"/>
      <c r="BG118" s="157"/>
      <c r="BH118" s="157"/>
      <c r="BI118" s="157"/>
      <c r="BJ118" s="157"/>
      <c r="BK118" s="157"/>
    </row>
    <row r="119" spans="1:63" x14ac:dyDescent="0.2">
      <c r="A119" s="135" t="s">
        <v>122</v>
      </c>
      <c r="B119" s="159">
        <v>0.10949999839067459</v>
      </c>
      <c r="C119" s="159">
        <v>0.1096000000834465</v>
      </c>
      <c r="D119" s="159">
        <v>0.10999999940395355</v>
      </c>
      <c r="E119" s="159">
        <v>0.11050000041723251</v>
      </c>
      <c r="F119" s="159">
        <v>0.11259999871253967</v>
      </c>
      <c r="G119" s="159">
        <v>0.11490000039339066</v>
      </c>
      <c r="H119" s="159">
        <v>0.1193000003695488</v>
      </c>
      <c r="I119" s="159">
        <v>0.12729999423027039</v>
      </c>
      <c r="J119" s="159">
        <v>0.14030000567436218</v>
      </c>
      <c r="K119" s="159">
        <v>0.15809999406337738</v>
      </c>
      <c r="L119" s="159">
        <v>0.18299999833106995</v>
      </c>
      <c r="M119" s="159">
        <v>0.21310000121593475</v>
      </c>
      <c r="N119" s="159">
        <v>0.24879999458789825</v>
      </c>
      <c r="O119" s="159">
        <v>0.29080000519752502</v>
      </c>
      <c r="P119" s="159">
        <v>0.33509999513626099</v>
      </c>
      <c r="Q119" s="159">
        <v>0.37950000166893005</v>
      </c>
      <c r="R119" s="159">
        <v>0.41670000553131104</v>
      </c>
      <c r="S119" s="159">
        <v>0.45260000228881836</v>
      </c>
      <c r="T119" s="159">
        <v>0.4781000018119812</v>
      </c>
      <c r="U119" s="159">
        <v>0.49340000748634338</v>
      </c>
      <c r="V119" s="159">
        <f t="shared" si="1"/>
        <v>0.50329999625682831</v>
      </c>
      <c r="W119" s="159">
        <v>0.51319998502731323</v>
      </c>
      <c r="X119" s="159">
        <v>0.5228000283241272</v>
      </c>
      <c r="Y119" s="159">
        <v>0.53100001811981201</v>
      </c>
      <c r="Z119" s="159">
        <v>0.53560000658035278</v>
      </c>
      <c r="AA119" s="159">
        <v>0.54129999876022339</v>
      </c>
      <c r="AB119" s="159">
        <v>0.54559999704360962</v>
      </c>
      <c r="AC119" s="159">
        <v>0.54900002479553223</v>
      </c>
      <c r="AD119" s="159">
        <v>0.55460000038146973</v>
      </c>
      <c r="AE119" s="159">
        <v>0.56180000305175781</v>
      </c>
      <c r="AF119" s="159">
        <v>0.56629997491836548</v>
      </c>
      <c r="AG119" s="157"/>
      <c r="AH119" s="157"/>
      <c r="AI119" s="157"/>
      <c r="AJ119" s="157"/>
      <c r="AK119" s="157"/>
      <c r="AL119" s="157"/>
      <c r="AM119" s="157"/>
      <c r="AN119" s="157"/>
      <c r="AO119" s="157"/>
      <c r="AP119" s="157"/>
      <c r="AQ119" s="157"/>
      <c r="AR119" s="157"/>
      <c r="AS119" s="157"/>
      <c r="AT119" s="157"/>
      <c r="AU119" s="157"/>
      <c r="AV119" s="157"/>
      <c r="AW119" s="157"/>
      <c r="AX119" s="157"/>
      <c r="AY119" s="157"/>
      <c r="AZ119" s="157"/>
      <c r="BA119" s="157"/>
      <c r="BB119" s="157"/>
      <c r="BC119" s="157"/>
      <c r="BD119" s="157"/>
      <c r="BE119" s="157"/>
      <c r="BF119" s="157"/>
      <c r="BG119" s="157"/>
      <c r="BH119" s="157"/>
      <c r="BI119" s="157"/>
      <c r="BJ119" s="157"/>
      <c r="BK119" s="157"/>
    </row>
    <row r="120" spans="1:63" x14ac:dyDescent="0.2">
      <c r="A120" s="135" t="s">
        <v>123</v>
      </c>
      <c r="B120" s="159">
        <v>0.10999999940395355</v>
      </c>
      <c r="C120" s="159">
        <v>0.10970000177621841</v>
      </c>
      <c r="D120" s="159">
        <v>0.10980000346899033</v>
      </c>
      <c r="E120" s="159">
        <v>0.11050000041723251</v>
      </c>
      <c r="F120" s="159">
        <v>0.11159999668598175</v>
      </c>
      <c r="G120" s="159">
        <v>0.11429999768733978</v>
      </c>
      <c r="H120" s="159">
        <v>0.11869999766349792</v>
      </c>
      <c r="I120" s="159">
        <v>0.12590000033378601</v>
      </c>
      <c r="J120" s="159">
        <v>0.13740000128746033</v>
      </c>
      <c r="K120" s="159">
        <v>0.15440000593662262</v>
      </c>
      <c r="L120" s="159">
        <v>0.1785999983549118</v>
      </c>
      <c r="M120" s="159">
        <v>0.20800000429153442</v>
      </c>
      <c r="N120" s="159">
        <v>0.24390000104904175</v>
      </c>
      <c r="O120" s="159">
        <v>0.28720000386238098</v>
      </c>
      <c r="P120" s="159">
        <v>0.33410000801086426</v>
      </c>
      <c r="Q120" s="159">
        <v>0.37929999828338623</v>
      </c>
      <c r="R120" s="159">
        <v>0.42590001225471497</v>
      </c>
      <c r="S120" s="159">
        <v>0.46419999003410339</v>
      </c>
      <c r="T120" s="159">
        <v>0.49500000476837158</v>
      </c>
      <c r="U120" s="159">
        <v>0.50349998474121094</v>
      </c>
      <c r="V120" s="159">
        <f t="shared" si="1"/>
        <v>0.51109999418258667</v>
      </c>
      <c r="W120" s="159">
        <v>0.5187000036239624</v>
      </c>
      <c r="X120" s="159">
        <v>0.53189998865127563</v>
      </c>
      <c r="Y120" s="159">
        <v>0.53780001401901245</v>
      </c>
      <c r="Z120" s="159">
        <v>0.53960001468658447</v>
      </c>
      <c r="AA120" s="159">
        <v>0.54250001907348633</v>
      </c>
      <c r="AB120" s="159">
        <v>0.54640001058578491</v>
      </c>
      <c r="AC120" s="159">
        <v>0.54930001497268677</v>
      </c>
      <c r="AD120" s="159">
        <v>0.55470001697540283</v>
      </c>
      <c r="AE120" s="159">
        <v>0.56180000305175781</v>
      </c>
      <c r="AF120" s="159">
        <v>0.56590002775192261</v>
      </c>
      <c r="AG120" s="157"/>
      <c r="AH120" s="157"/>
      <c r="AI120" s="157"/>
      <c r="AJ120" s="157"/>
      <c r="AK120" s="157"/>
      <c r="AL120" s="157"/>
      <c r="AM120" s="157"/>
      <c r="AN120" s="157"/>
      <c r="AO120" s="157"/>
      <c r="AP120" s="157"/>
      <c r="AQ120" s="157"/>
      <c r="AR120" s="157"/>
      <c r="AS120" s="157"/>
      <c r="AT120" s="157"/>
      <c r="AU120" s="157"/>
      <c r="AV120" s="157"/>
      <c r="AW120" s="157"/>
      <c r="AX120" s="157"/>
      <c r="AY120" s="157"/>
      <c r="AZ120" s="157"/>
      <c r="BA120" s="157"/>
      <c r="BB120" s="157"/>
      <c r="BC120" s="157"/>
      <c r="BD120" s="157"/>
      <c r="BE120" s="157"/>
      <c r="BF120" s="157"/>
      <c r="BG120" s="157"/>
      <c r="BH120" s="157"/>
      <c r="BI120" s="157"/>
      <c r="BJ120" s="157"/>
      <c r="BK120" s="157"/>
    </row>
    <row r="121" spans="1:63" x14ac:dyDescent="0.2">
      <c r="A121" s="135" t="s">
        <v>124</v>
      </c>
      <c r="B121" s="159">
        <v>0.10830000042915344</v>
      </c>
      <c r="C121" s="159">
        <v>0.10769999772310257</v>
      </c>
      <c r="D121" s="159">
        <v>0.10779999941587448</v>
      </c>
      <c r="E121" s="159">
        <v>0.10840000212192535</v>
      </c>
      <c r="F121" s="159">
        <v>0.10930000245571136</v>
      </c>
      <c r="G121" s="159">
        <v>0.11159999668598175</v>
      </c>
      <c r="H121" s="159">
        <v>0.11540000140666962</v>
      </c>
      <c r="I121" s="159">
        <v>0.12179999798536301</v>
      </c>
      <c r="J121" s="159">
        <v>0.13189999759197235</v>
      </c>
      <c r="K121" s="159">
        <v>0.14710000157356262</v>
      </c>
      <c r="L121" s="159">
        <v>0.1695999950170517</v>
      </c>
      <c r="M121" s="159">
        <v>0.19650000333786011</v>
      </c>
      <c r="N121" s="159">
        <v>0.23119999468326569</v>
      </c>
      <c r="O121" s="159">
        <v>0.27279999852180481</v>
      </c>
      <c r="P121" s="159">
        <v>0.3190000057220459</v>
      </c>
      <c r="Q121" s="159">
        <v>0.36500000953674316</v>
      </c>
      <c r="R121" s="159">
        <v>0.41010001301765442</v>
      </c>
      <c r="S121" s="159">
        <v>0.45120000839233398</v>
      </c>
      <c r="T121" s="159">
        <v>0.48269999027252197</v>
      </c>
      <c r="U121" s="159">
        <v>0.4918999969959259</v>
      </c>
      <c r="V121" s="159">
        <f t="shared" si="1"/>
        <v>0.50010000169277191</v>
      </c>
      <c r="W121" s="159">
        <v>0.50830000638961792</v>
      </c>
      <c r="X121" s="159">
        <v>0.51709997653961182</v>
      </c>
      <c r="Y121" s="159">
        <v>0.52689999341964722</v>
      </c>
      <c r="Z121" s="159">
        <v>0.53329998254776001</v>
      </c>
      <c r="AA121" s="159">
        <v>0.53670001029968262</v>
      </c>
      <c r="AB121" s="159">
        <v>0.54110002517700195</v>
      </c>
      <c r="AC121" s="159">
        <v>0.544700026512146</v>
      </c>
      <c r="AD121" s="159">
        <v>0.55089998245239258</v>
      </c>
      <c r="AE121" s="159">
        <v>0.55709999799728394</v>
      </c>
      <c r="AF121" s="159">
        <v>0.56279999017715454</v>
      </c>
      <c r="AG121" s="157"/>
      <c r="AH121" s="157"/>
      <c r="AI121" s="157"/>
      <c r="AJ121" s="157"/>
      <c r="AK121" s="157"/>
      <c r="AL121" s="157"/>
      <c r="AM121" s="157"/>
      <c r="AN121" s="157"/>
      <c r="AO121" s="157"/>
      <c r="AP121" s="157"/>
      <c r="AQ121" s="157"/>
      <c r="AR121" s="157"/>
      <c r="AS121" s="157"/>
      <c r="AT121" s="157"/>
      <c r="AU121" s="157"/>
      <c r="AV121" s="157"/>
      <c r="AW121" s="157"/>
      <c r="AX121" s="157"/>
      <c r="AY121" s="157"/>
      <c r="AZ121" s="157"/>
      <c r="BA121" s="157"/>
      <c r="BB121" s="157"/>
      <c r="BC121" s="157"/>
      <c r="BD121" s="157"/>
      <c r="BE121" s="157"/>
      <c r="BF121" s="157"/>
      <c r="BG121" s="157"/>
      <c r="BH121" s="157"/>
      <c r="BI121" s="157"/>
      <c r="BJ121" s="157"/>
      <c r="BK121" s="157"/>
    </row>
    <row r="122" spans="1:63" x14ac:dyDescent="0.2">
      <c r="A122" s="135" t="s">
        <v>125</v>
      </c>
      <c r="B122" s="159">
        <v>0.10719999670982361</v>
      </c>
      <c r="C122" s="159">
        <v>0.10660000145435333</v>
      </c>
      <c r="D122" s="159">
        <v>0.1062999963760376</v>
      </c>
      <c r="E122" s="159">
        <v>0.1062999963760376</v>
      </c>
      <c r="F122" s="159">
        <v>0.10620000213384628</v>
      </c>
      <c r="G122" s="159">
        <v>0.1062999963760376</v>
      </c>
      <c r="H122" s="159">
        <v>0.10620000213384628</v>
      </c>
      <c r="I122" s="159">
        <v>0.10610000044107437</v>
      </c>
      <c r="J122" s="159">
        <v>0.10599999874830246</v>
      </c>
      <c r="K122" s="159">
        <v>0.10599999874830246</v>
      </c>
      <c r="L122" s="159">
        <v>0.10599999874830246</v>
      </c>
      <c r="M122" s="159">
        <v>0.10570000112056732</v>
      </c>
      <c r="N122" s="159">
        <v>0.1054999977350235</v>
      </c>
      <c r="O122" s="159">
        <v>0.10520000010728836</v>
      </c>
      <c r="P122" s="159">
        <v>0.10499999672174454</v>
      </c>
      <c r="Q122" s="159">
        <v>0.10499999672174454</v>
      </c>
      <c r="R122" s="159">
        <v>0.10499999672174454</v>
      </c>
      <c r="S122" s="159">
        <v>0.10520000010728836</v>
      </c>
      <c r="T122" s="159">
        <v>0.10540000349283218</v>
      </c>
      <c r="U122" s="159">
        <v>0.1054999977350235</v>
      </c>
      <c r="V122" s="159">
        <f t="shared" si="1"/>
        <v>0.10545000061392784</v>
      </c>
      <c r="W122" s="159">
        <v>0.10540000349283218</v>
      </c>
      <c r="X122" s="159">
        <v>0.10520000010728836</v>
      </c>
      <c r="Y122" s="159">
        <v>0.10490000247955322</v>
      </c>
      <c r="Z122" s="159">
        <v>0.10459999740123749</v>
      </c>
      <c r="AA122" s="159">
        <v>0.10440000146627426</v>
      </c>
      <c r="AB122" s="159">
        <v>0.10429999977350235</v>
      </c>
      <c r="AC122" s="159">
        <v>0.10419999808073044</v>
      </c>
      <c r="AD122" s="159">
        <v>0.10419999808073044</v>
      </c>
      <c r="AE122" s="159">
        <v>0.10419999808073044</v>
      </c>
      <c r="AF122" s="159">
        <v>0.10440000146627426</v>
      </c>
      <c r="AG122" s="157"/>
      <c r="AH122" s="157"/>
      <c r="AI122" s="157"/>
      <c r="AJ122" s="157"/>
      <c r="AK122" s="157"/>
      <c r="AL122" s="157"/>
      <c r="AM122" s="157"/>
      <c r="AN122" s="157"/>
      <c r="AO122" s="157"/>
      <c r="AP122" s="157"/>
      <c r="AQ122" s="157"/>
      <c r="AR122" s="157"/>
      <c r="AS122" s="157"/>
      <c r="AT122" s="157"/>
      <c r="AU122" s="157"/>
      <c r="AV122" s="157"/>
      <c r="AW122" s="157"/>
      <c r="AX122" s="157"/>
      <c r="AY122" s="157"/>
      <c r="AZ122" s="157"/>
      <c r="BA122" s="157"/>
      <c r="BB122" s="157"/>
      <c r="BC122" s="157"/>
      <c r="BD122" s="157"/>
      <c r="BE122" s="157"/>
      <c r="BF122" s="157"/>
      <c r="BG122" s="157"/>
      <c r="BH122" s="157"/>
      <c r="BI122" s="157"/>
      <c r="BJ122" s="157"/>
      <c r="BK122" s="157"/>
    </row>
    <row r="123" spans="1:63" x14ac:dyDescent="0.2">
      <c r="A123" s="135" t="s">
        <v>126</v>
      </c>
      <c r="B123" s="159">
        <v>0.10769999772310257</v>
      </c>
      <c r="C123" s="159">
        <v>0.10729999840259552</v>
      </c>
      <c r="D123" s="159">
        <v>0.10689999908208847</v>
      </c>
      <c r="E123" s="159">
        <v>0.10689999908208847</v>
      </c>
      <c r="F123" s="159">
        <v>0.10689999908208847</v>
      </c>
      <c r="G123" s="159">
        <v>0.10719999670982361</v>
      </c>
      <c r="H123" s="159">
        <v>0.10710000246763229</v>
      </c>
      <c r="I123" s="159">
        <v>0.10710000246763229</v>
      </c>
      <c r="J123" s="159">
        <v>0.10700000077486038</v>
      </c>
      <c r="K123" s="159">
        <v>0.10700000077486038</v>
      </c>
      <c r="L123" s="159">
        <v>0.10689999908208847</v>
      </c>
      <c r="M123" s="159">
        <v>0.10670000314712524</v>
      </c>
      <c r="N123" s="159">
        <v>0.10639999806880951</v>
      </c>
      <c r="O123" s="159">
        <v>0.10620000213384628</v>
      </c>
      <c r="P123" s="159">
        <v>0.10599999874830246</v>
      </c>
      <c r="Q123" s="159">
        <v>0.10589999705553055</v>
      </c>
      <c r="R123" s="159">
        <v>0.10599999874830246</v>
      </c>
      <c r="S123" s="159">
        <v>0.10620000213384628</v>
      </c>
      <c r="T123" s="159">
        <v>0.10670000314712524</v>
      </c>
      <c r="U123" s="159">
        <v>0.10660000145435333</v>
      </c>
      <c r="V123" s="159">
        <f t="shared" si="1"/>
        <v>0.10660000145435333</v>
      </c>
      <c r="W123" s="159">
        <v>0.10660000145435333</v>
      </c>
      <c r="X123" s="159">
        <v>0.1062999963760376</v>
      </c>
      <c r="Y123" s="159">
        <v>0.10620000213384628</v>
      </c>
      <c r="Z123" s="159">
        <v>0.10559999942779541</v>
      </c>
      <c r="AA123" s="159">
        <v>0.1054999977350235</v>
      </c>
      <c r="AB123" s="159">
        <v>0.10530000180006027</v>
      </c>
      <c r="AC123" s="159">
        <v>0.10509999841451645</v>
      </c>
      <c r="AD123" s="159">
        <v>0.10509999841451645</v>
      </c>
      <c r="AE123" s="159">
        <v>0.10520000010728836</v>
      </c>
      <c r="AF123" s="159">
        <v>0.10530000180006027</v>
      </c>
      <c r="AG123" s="157"/>
      <c r="AH123" s="157"/>
      <c r="AI123" s="157"/>
      <c r="AJ123" s="157"/>
      <c r="AK123" s="157"/>
      <c r="AL123" s="157"/>
      <c r="AM123" s="157"/>
      <c r="AN123" s="157"/>
      <c r="AO123" s="157"/>
      <c r="AP123" s="157"/>
      <c r="AQ123" s="157"/>
      <c r="AR123" s="157"/>
      <c r="AS123" s="157"/>
      <c r="AT123" s="157"/>
      <c r="AU123" s="157"/>
      <c r="AV123" s="157"/>
      <c r="AW123" s="157"/>
      <c r="AX123" s="157"/>
      <c r="AY123" s="157"/>
      <c r="AZ123" s="157"/>
      <c r="BA123" s="157"/>
      <c r="BB123" s="157"/>
      <c r="BC123" s="157"/>
      <c r="BD123" s="157"/>
      <c r="BE123" s="157"/>
      <c r="BF123" s="157"/>
      <c r="BG123" s="157"/>
      <c r="BH123" s="157"/>
      <c r="BI123" s="157"/>
      <c r="BJ123" s="157"/>
      <c r="BK123" s="157"/>
    </row>
    <row r="124" spans="1:63" x14ac:dyDescent="0.2">
      <c r="A124" s="135" t="s">
        <v>127</v>
      </c>
      <c r="B124" s="159">
        <v>0.10710000246763229</v>
      </c>
      <c r="C124" s="159">
        <v>0.10679999738931656</v>
      </c>
      <c r="D124" s="159">
        <v>0.10639999806880951</v>
      </c>
      <c r="E124" s="159">
        <v>0.10639999806880951</v>
      </c>
      <c r="F124" s="159">
        <v>0.1062999963760376</v>
      </c>
      <c r="G124" s="159">
        <v>0.10649999976158142</v>
      </c>
      <c r="H124" s="159">
        <v>0.10639999806880951</v>
      </c>
      <c r="I124" s="159">
        <v>0.1062999963760376</v>
      </c>
      <c r="J124" s="159">
        <v>0.10639999806880951</v>
      </c>
      <c r="K124" s="159">
        <v>0.10620000213384628</v>
      </c>
      <c r="L124" s="159">
        <v>0.10620000213384628</v>
      </c>
      <c r="M124" s="159">
        <v>0.10599999874830246</v>
      </c>
      <c r="N124" s="159">
        <v>0.10580000281333923</v>
      </c>
      <c r="O124" s="159">
        <v>0.1054999977350235</v>
      </c>
      <c r="P124" s="159">
        <v>0.10530000180006027</v>
      </c>
      <c r="Q124" s="159">
        <v>0.10530000180006027</v>
      </c>
      <c r="R124" s="159">
        <v>0.10540000349283218</v>
      </c>
      <c r="S124" s="159">
        <v>0.10559999942779541</v>
      </c>
      <c r="T124" s="159">
        <v>0.10580000281333923</v>
      </c>
      <c r="U124" s="159">
        <v>0.10589999705553055</v>
      </c>
      <c r="V124" s="159">
        <f t="shared" si="1"/>
        <v>0.10589999705553055</v>
      </c>
      <c r="W124" s="159">
        <v>0.10589999705553055</v>
      </c>
      <c r="X124" s="159">
        <v>0.10570000112056732</v>
      </c>
      <c r="Y124" s="159">
        <v>0.10530000180006027</v>
      </c>
      <c r="Z124" s="159">
        <v>0.10509999841451645</v>
      </c>
      <c r="AA124" s="159">
        <v>0.10520000010728836</v>
      </c>
      <c r="AB124" s="159">
        <v>0.10480000078678131</v>
      </c>
      <c r="AC124" s="159">
        <v>0.10459999740123749</v>
      </c>
      <c r="AD124" s="159">
        <v>0.1046999990940094</v>
      </c>
      <c r="AE124" s="159">
        <v>0.1046999990940094</v>
      </c>
      <c r="AF124" s="159">
        <v>0.10509999841451645</v>
      </c>
      <c r="AG124" s="157"/>
      <c r="AH124" s="157"/>
      <c r="AI124" s="157"/>
      <c r="AJ124" s="157"/>
      <c r="AK124" s="157"/>
      <c r="AL124" s="157"/>
      <c r="AM124" s="157"/>
      <c r="AN124" s="157"/>
      <c r="AO124" s="157"/>
      <c r="AP124" s="157"/>
      <c r="AQ124" s="157"/>
      <c r="AR124" s="157"/>
      <c r="AS124" s="157"/>
      <c r="AT124" s="157"/>
      <c r="AU124" s="157"/>
      <c r="AV124" s="157"/>
      <c r="AW124" s="157"/>
      <c r="AX124" s="157"/>
      <c r="AY124" s="157"/>
      <c r="AZ124" s="157"/>
      <c r="BA124" s="157"/>
      <c r="BB124" s="157"/>
      <c r="BC124" s="157"/>
      <c r="BD124" s="157"/>
      <c r="BE124" s="157"/>
      <c r="BF124" s="157"/>
      <c r="BG124" s="157"/>
      <c r="BH124" s="157"/>
      <c r="BI124" s="157"/>
      <c r="BJ124" s="157"/>
      <c r="BK124" s="157"/>
    </row>
    <row r="125" spans="1:63" x14ac:dyDescent="0.2">
      <c r="A125" s="135" t="s">
        <v>128</v>
      </c>
      <c r="B125" s="159">
        <v>0.10719999670982361</v>
      </c>
      <c r="C125" s="159">
        <v>0.10679999738931656</v>
      </c>
      <c r="D125" s="159">
        <v>0.10670000314712524</v>
      </c>
      <c r="E125" s="159">
        <v>0.10649999976158142</v>
      </c>
      <c r="F125" s="159">
        <v>0.10639999806880951</v>
      </c>
      <c r="G125" s="159">
        <v>0.10670000314712524</v>
      </c>
      <c r="H125" s="159">
        <v>0.10660000145435333</v>
      </c>
      <c r="I125" s="159">
        <v>0.10639999806880951</v>
      </c>
      <c r="J125" s="159">
        <v>0.10639999806880951</v>
      </c>
      <c r="K125" s="159">
        <v>0.10639999806880951</v>
      </c>
      <c r="L125" s="159">
        <v>0.10639999806880951</v>
      </c>
      <c r="M125" s="159">
        <v>0.10610000044107437</v>
      </c>
      <c r="N125" s="159">
        <v>0.10580000281333923</v>
      </c>
      <c r="O125" s="159">
        <v>0.10559999942779541</v>
      </c>
      <c r="P125" s="159">
        <v>0.10540000349283218</v>
      </c>
      <c r="Q125" s="159">
        <v>0.10540000349283218</v>
      </c>
      <c r="R125" s="159">
        <v>0.1054999977350235</v>
      </c>
      <c r="S125" s="159">
        <v>0.10559999942779541</v>
      </c>
      <c r="T125" s="159">
        <v>0.10589999705553055</v>
      </c>
      <c r="U125" s="159">
        <v>0.10599999874830246</v>
      </c>
      <c r="V125" s="159">
        <f t="shared" si="1"/>
        <v>0.10604999959468842</v>
      </c>
      <c r="W125" s="159">
        <v>0.10610000044107437</v>
      </c>
      <c r="X125" s="159">
        <v>0.10580000281333923</v>
      </c>
      <c r="Y125" s="159">
        <v>0.1054999977350235</v>
      </c>
      <c r="Z125" s="159">
        <v>0.10520000010728836</v>
      </c>
      <c r="AA125" s="159">
        <v>0.10499999672174454</v>
      </c>
      <c r="AB125" s="159">
        <v>0.10490000247955322</v>
      </c>
      <c r="AC125" s="159">
        <v>0.1046999990940094</v>
      </c>
      <c r="AD125" s="159">
        <v>0.10480000078678131</v>
      </c>
      <c r="AE125" s="159">
        <v>0.10480000078678131</v>
      </c>
      <c r="AF125" s="159">
        <v>0.10499999672174454</v>
      </c>
      <c r="AG125" s="157"/>
      <c r="AH125" s="157"/>
      <c r="AI125" s="157"/>
      <c r="AJ125" s="157"/>
      <c r="AK125" s="157"/>
      <c r="AL125" s="157"/>
      <c r="AM125" s="157"/>
      <c r="AN125" s="157"/>
      <c r="AO125" s="157"/>
      <c r="AP125" s="157"/>
      <c r="AQ125" s="157"/>
      <c r="AR125" s="157"/>
      <c r="AS125" s="157"/>
      <c r="AT125" s="157"/>
      <c r="AU125" s="157"/>
      <c r="AV125" s="157"/>
      <c r="AW125" s="157"/>
      <c r="AX125" s="157"/>
      <c r="AY125" s="157"/>
      <c r="AZ125" s="157"/>
      <c r="BA125" s="157"/>
      <c r="BB125" s="157"/>
      <c r="BC125" s="157"/>
      <c r="BD125" s="157"/>
      <c r="BE125" s="157"/>
      <c r="BF125" s="157"/>
      <c r="BG125" s="157"/>
      <c r="BH125" s="157"/>
      <c r="BI125" s="157"/>
      <c r="BJ125" s="157"/>
      <c r="BK125" s="157"/>
    </row>
    <row r="126" spans="1:63" x14ac:dyDescent="0.2">
      <c r="A126" s="135" t="s">
        <v>129</v>
      </c>
      <c r="B126" s="159">
        <v>0.10639999806880951</v>
      </c>
      <c r="C126" s="159">
        <v>0.10599999874830246</v>
      </c>
      <c r="D126" s="159">
        <v>0.10580000281333923</v>
      </c>
      <c r="E126" s="159">
        <v>0.10580000281333923</v>
      </c>
      <c r="F126" s="159">
        <v>0.10610000044107437</v>
      </c>
      <c r="G126" s="159">
        <v>0.10620000213384628</v>
      </c>
      <c r="H126" s="159">
        <v>0.10610000044107437</v>
      </c>
      <c r="I126" s="159">
        <v>0.10599999874830246</v>
      </c>
      <c r="J126" s="159">
        <v>0.10580000281333923</v>
      </c>
      <c r="K126" s="159">
        <v>0.10580000281333923</v>
      </c>
      <c r="L126" s="159">
        <v>0.10580000281333923</v>
      </c>
      <c r="M126" s="159">
        <v>0.10559999942779541</v>
      </c>
      <c r="N126" s="159">
        <v>0.10530000180006027</v>
      </c>
      <c r="O126" s="159">
        <v>0.10490000247955322</v>
      </c>
      <c r="P126" s="159">
        <v>0.10490000247955322</v>
      </c>
      <c r="Q126" s="159">
        <v>0.10480000078678131</v>
      </c>
      <c r="R126" s="159">
        <v>0.10480000078678131</v>
      </c>
      <c r="S126" s="159">
        <v>0.10509999841451645</v>
      </c>
      <c r="T126" s="159">
        <v>0.10530000180006027</v>
      </c>
      <c r="U126" s="159">
        <v>0.10559999942779541</v>
      </c>
      <c r="V126" s="159">
        <f t="shared" si="1"/>
        <v>0.10619999840855598</v>
      </c>
      <c r="W126" s="159">
        <v>0.10679999738931656</v>
      </c>
      <c r="X126" s="159">
        <v>0.1062999963760376</v>
      </c>
      <c r="Y126" s="159">
        <v>0.10589999705553055</v>
      </c>
      <c r="Z126" s="159">
        <v>0.10580000281333923</v>
      </c>
      <c r="AA126" s="159">
        <v>0.10570000112056732</v>
      </c>
      <c r="AB126" s="159">
        <v>0.10540000349283218</v>
      </c>
      <c r="AC126" s="159">
        <v>0.1054999977350235</v>
      </c>
      <c r="AD126" s="159">
        <v>0.10520000010728836</v>
      </c>
      <c r="AE126" s="159">
        <v>0.10540000349283218</v>
      </c>
      <c r="AF126" s="159">
        <v>0.10480000078678131</v>
      </c>
      <c r="AG126" s="157"/>
      <c r="AH126" s="157"/>
      <c r="AI126" s="157"/>
      <c r="AJ126" s="157"/>
      <c r="AK126" s="157"/>
      <c r="AL126" s="157"/>
      <c r="AM126" s="157"/>
      <c r="AN126" s="157"/>
      <c r="AO126" s="157"/>
      <c r="AP126" s="157"/>
      <c r="AQ126" s="157"/>
      <c r="AR126" s="157"/>
      <c r="AS126" s="157"/>
      <c r="AT126" s="157"/>
      <c r="AU126" s="157"/>
      <c r="AV126" s="157"/>
      <c r="AW126" s="157"/>
      <c r="AX126" s="157"/>
      <c r="AY126" s="157"/>
      <c r="AZ126" s="157"/>
      <c r="BA126" s="157"/>
      <c r="BB126" s="157"/>
      <c r="BC126" s="157"/>
      <c r="BD126" s="157"/>
      <c r="BE126" s="157"/>
      <c r="BF126" s="157"/>
      <c r="BG126" s="157"/>
      <c r="BH126" s="157"/>
      <c r="BI126" s="157"/>
      <c r="BJ126" s="157"/>
      <c r="BK126" s="157"/>
    </row>
    <row r="127" spans="1:63" x14ac:dyDescent="0.2">
      <c r="A127" s="135" t="s">
        <v>130</v>
      </c>
      <c r="B127" s="159">
        <v>0.10670000314712524</v>
      </c>
      <c r="C127" s="159">
        <v>0.1062999963760376</v>
      </c>
      <c r="D127" s="159">
        <v>0.10620000213384628</v>
      </c>
      <c r="E127" s="159">
        <v>0.10610000044107437</v>
      </c>
      <c r="F127" s="159">
        <v>0.10599999874830246</v>
      </c>
      <c r="G127" s="159">
        <v>0.1062999963760376</v>
      </c>
      <c r="H127" s="159">
        <v>0.10620000213384628</v>
      </c>
      <c r="I127" s="159">
        <v>0.10610000044107437</v>
      </c>
      <c r="J127" s="159">
        <v>0.10649999976158142</v>
      </c>
      <c r="K127" s="159">
        <v>0.10599999874830246</v>
      </c>
      <c r="L127" s="159">
        <v>0.10610000044107437</v>
      </c>
      <c r="M127" s="159">
        <v>0.10589999705553055</v>
      </c>
      <c r="N127" s="159">
        <v>0.1054999977350235</v>
      </c>
      <c r="O127" s="159">
        <v>0.10520000010728836</v>
      </c>
      <c r="P127" s="159">
        <v>0.10499999672174454</v>
      </c>
      <c r="Q127" s="159">
        <v>0.10499999672174454</v>
      </c>
      <c r="R127" s="159">
        <v>0.10509999841451645</v>
      </c>
      <c r="S127" s="159">
        <v>0.10520000010728836</v>
      </c>
      <c r="T127" s="159">
        <v>0.1054999977350235</v>
      </c>
      <c r="U127" s="159">
        <v>0.10559999942779541</v>
      </c>
      <c r="V127" s="159">
        <f t="shared" si="1"/>
        <v>0.10559999942779541</v>
      </c>
      <c r="W127" s="159">
        <v>0.10559999942779541</v>
      </c>
      <c r="X127" s="159">
        <v>0.10540000349283218</v>
      </c>
      <c r="Y127" s="159">
        <v>0.10509999841451645</v>
      </c>
      <c r="Z127" s="159">
        <v>0.10480000078678131</v>
      </c>
      <c r="AA127" s="159">
        <v>0.10459999740123749</v>
      </c>
      <c r="AB127" s="159">
        <v>0.10440000146627426</v>
      </c>
      <c r="AC127" s="159">
        <v>0.10429999977350235</v>
      </c>
      <c r="AD127" s="159">
        <v>0.10429999977350235</v>
      </c>
      <c r="AE127" s="159">
        <v>0.10440000146627426</v>
      </c>
      <c r="AF127" s="159">
        <v>0.10459999740123749</v>
      </c>
      <c r="AG127" s="157"/>
      <c r="AH127" s="157"/>
      <c r="AI127" s="157"/>
      <c r="AJ127" s="157"/>
      <c r="AK127" s="157"/>
      <c r="AL127" s="157"/>
      <c r="AM127" s="157"/>
      <c r="AN127" s="157"/>
      <c r="AO127" s="157"/>
      <c r="AP127" s="157"/>
      <c r="AQ127" s="157"/>
      <c r="AR127" s="157"/>
      <c r="AS127" s="157"/>
      <c r="AT127" s="157"/>
      <c r="AU127" s="157"/>
      <c r="AV127" s="157"/>
      <c r="AW127" s="157"/>
      <c r="AX127" s="157"/>
      <c r="AY127" s="157"/>
      <c r="AZ127" s="157"/>
      <c r="BA127" s="157"/>
      <c r="BB127" s="157"/>
      <c r="BC127" s="157"/>
      <c r="BD127" s="157"/>
      <c r="BE127" s="157"/>
      <c r="BF127" s="157"/>
      <c r="BG127" s="157"/>
      <c r="BH127" s="157"/>
      <c r="BI127" s="157"/>
      <c r="BJ127" s="157"/>
      <c r="BK127" s="157"/>
    </row>
    <row r="128" spans="1:63" x14ac:dyDescent="0.2">
      <c r="A128" s="135" t="s">
        <v>131</v>
      </c>
      <c r="B128" s="159">
        <v>0.10679999738931656</v>
      </c>
      <c r="C128" s="159">
        <v>0.10649999976158142</v>
      </c>
      <c r="D128" s="159">
        <v>0.10639999806880951</v>
      </c>
      <c r="E128" s="159">
        <v>0.1062999963760376</v>
      </c>
      <c r="F128" s="159">
        <v>0.10620000213384628</v>
      </c>
      <c r="G128" s="159">
        <v>0.10639999806880951</v>
      </c>
      <c r="H128" s="159">
        <v>0.1062999963760376</v>
      </c>
      <c r="I128" s="159">
        <v>0.10620000213384628</v>
      </c>
      <c r="J128" s="159">
        <v>0.10610000044107437</v>
      </c>
      <c r="K128" s="159">
        <v>0.10610000044107437</v>
      </c>
      <c r="L128" s="159">
        <v>0.10610000044107437</v>
      </c>
      <c r="M128" s="159">
        <v>0.10580000281333923</v>
      </c>
      <c r="N128" s="159">
        <v>0.10559999942779541</v>
      </c>
      <c r="O128" s="159">
        <v>0.1054999977350235</v>
      </c>
      <c r="P128" s="159">
        <v>0.10509999841451645</v>
      </c>
      <c r="Q128" s="159">
        <v>0.10509999841451645</v>
      </c>
      <c r="R128" s="159">
        <v>0.10520000010728836</v>
      </c>
      <c r="S128" s="159">
        <v>0.10530000180006027</v>
      </c>
      <c r="T128" s="159">
        <v>0.10559999942779541</v>
      </c>
      <c r="U128" s="159">
        <v>0.10559999942779541</v>
      </c>
      <c r="V128" s="159">
        <f t="shared" si="1"/>
        <v>0.10565000027418137</v>
      </c>
      <c r="W128" s="159">
        <v>0.10570000112056732</v>
      </c>
      <c r="X128" s="159">
        <v>0.10540000349283218</v>
      </c>
      <c r="Y128" s="159">
        <v>0.10509999841451645</v>
      </c>
      <c r="Z128" s="159">
        <v>0.10490000247955322</v>
      </c>
      <c r="AA128" s="159">
        <v>0.10459999740123749</v>
      </c>
      <c r="AB128" s="159">
        <v>0.10450000315904617</v>
      </c>
      <c r="AC128" s="159">
        <v>0.10440000146627426</v>
      </c>
      <c r="AD128" s="159">
        <v>0.10440000146627426</v>
      </c>
      <c r="AE128" s="159">
        <v>0.10440000146627426</v>
      </c>
      <c r="AF128" s="159">
        <v>0.10459999740123749</v>
      </c>
      <c r="AG128" s="157"/>
      <c r="AH128" s="157"/>
      <c r="AI128" s="157"/>
      <c r="AJ128" s="157"/>
      <c r="AK128" s="157"/>
      <c r="AL128" s="157"/>
      <c r="AM128" s="157"/>
      <c r="AN128" s="157"/>
      <c r="AO128" s="157"/>
      <c r="AP128" s="157"/>
      <c r="AQ128" s="157"/>
      <c r="AR128" s="157"/>
      <c r="AS128" s="157"/>
      <c r="AT128" s="157"/>
      <c r="AU128" s="157"/>
      <c r="AV128" s="157"/>
      <c r="AW128" s="157"/>
      <c r="AX128" s="157"/>
      <c r="AY128" s="157"/>
      <c r="AZ128" s="157"/>
      <c r="BA128" s="157"/>
      <c r="BB128" s="157"/>
      <c r="BC128" s="157"/>
      <c r="BD128" s="157"/>
      <c r="BE128" s="157"/>
      <c r="BF128" s="157"/>
      <c r="BG128" s="157"/>
      <c r="BH128" s="157"/>
      <c r="BI128" s="157"/>
      <c r="BJ128" s="157"/>
      <c r="BK128" s="157"/>
    </row>
    <row r="129" spans="1:63" x14ac:dyDescent="0.2">
      <c r="A129" s="135" t="s">
        <v>132</v>
      </c>
      <c r="B129" s="159">
        <v>0.10679999738931656</v>
      </c>
      <c r="C129" s="159">
        <v>0.1062999963760376</v>
      </c>
      <c r="D129" s="159">
        <v>0.10620000213384628</v>
      </c>
      <c r="E129" s="159">
        <v>0.10610000044107437</v>
      </c>
      <c r="F129" s="159">
        <v>0.10610000044107437</v>
      </c>
      <c r="G129" s="159">
        <v>0.10620000213384628</v>
      </c>
      <c r="H129" s="159">
        <v>0.10620000213384628</v>
      </c>
      <c r="I129" s="159">
        <v>0.10599999874830246</v>
      </c>
      <c r="J129" s="159">
        <v>0.10589999705553055</v>
      </c>
      <c r="K129" s="159">
        <v>0.10589999705553055</v>
      </c>
      <c r="L129" s="159">
        <v>0.10589999705553055</v>
      </c>
      <c r="M129" s="159">
        <v>0.10570000112056732</v>
      </c>
      <c r="N129" s="159">
        <v>0.10540000349283218</v>
      </c>
      <c r="O129" s="159">
        <v>0.10520000010728836</v>
      </c>
      <c r="P129" s="159">
        <v>0.10490000247955322</v>
      </c>
      <c r="Q129" s="159">
        <v>0.10499999672174454</v>
      </c>
      <c r="R129" s="159">
        <v>0.10499999672174454</v>
      </c>
      <c r="S129" s="159">
        <v>0.10520000010728836</v>
      </c>
      <c r="T129" s="159">
        <v>0.1054999977350235</v>
      </c>
      <c r="U129" s="159">
        <v>0.1054999977350235</v>
      </c>
      <c r="V129" s="159">
        <f t="shared" si="1"/>
        <v>0.1054999977350235</v>
      </c>
      <c r="W129" s="159">
        <v>0.1054999977350235</v>
      </c>
      <c r="X129" s="159">
        <v>0.10520000010728836</v>
      </c>
      <c r="Y129" s="159">
        <v>0.10499999672174454</v>
      </c>
      <c r="Z129" s="159">
        <v>0.1046999990940094</v>
      </c>
      <c r="AA129" s="159">
        <v>0.10450000315904617</v>
      </c>
      <c r="AB129" s="159">
        <v>0.10440000146627426</v>
      </c>
      <c r="AC129" s="159">
        <v>0.10429999977350235</v>
      </c>
      <c r="AD129" s="159">
        <v>0.10419999808073044</v>
      </c>
      <c r="AE129" s="159">
        <v>0.10429999977350235</v>
      </c>
      <c r="AF129" s="159">
        <v>0.10450000315904617</v>
      </c>
      <c r="AG129" s="157"/>
      <c r="AH129" s="157"/>
      <c r="AI129" s="157"/>
      <c r="AJ129" s="157"/>
      <c r="AK129" s="157"/>
      <c r="AL129" s="157"/>
      <c r="AM129" s="157"/>
      <c r="AN129" s="157"/>
      <c r="AO129" s="157"/>
      <c r="AP129" s="157"/>
      <c r="AQ129" s="157"/>
      <c r="AR129" s="157"/>
      <c r="AS129" s="157"/>
      <c r="AT129" s="157"/>
      <c r="AU129" s="157"/>
      <c r="AV129" s="157"/>
      <c r="AW129" s="157"/>
      <c r="AX129" s="157"/>
      <c r="AY129" s="157"/>
      <c r="AZ129" s="157"/>
      <c r="BA129" s="157"/>
      <c r="BB129" s="157"/>
      <c r="BC129" s="157"/>
      <c r="BD129" s="157"/>
      <c r="BE129" s="157"/>
      <c r="BF129" s="157"/>
      <c r="BG129" s="157"/>
      <c r="BH129" s="157"/>
      <c r="BI129" s="157"/>
      <c r="BJ129" s="157"/>
      <c r="BK129" s="157"/>
    </row>
    <row r="130" spans="1:63" x14ac:dyDescent="0.2">
      <c r="A130" s="135" t="s">
        <v>133</v>
      </c>
      <c r="B130" s="159">
        <v>0.10649999976158142</v>
      </c>
      <c r="C130" s="159">
        <v>0.10610000044107437</v>
      </c>
      <c r="D130" s="159">
        <v>0.10589999705553055</v>
      </c>
      <c r="E130" s="159">
        <v>0.10589999705553055</v>
      </c>
      <c r="F130" s="159">
        <v>0.10589999705553055</v>
      </c>
      <c r="G130" s="159">
        <v>0.10599999874830246</v>
      </c>
      <c r="H130" s="159">
        <v>0.10620000213384628</v>
      </c>
      <c r="I130" s="159">
        <v>0.10570000112056732</v>
      </c>
      <c r="J130" s="159">
        <v>0.10570000112056732</v>
      </c>
      <c r="K130" s="159">
        <v>0.10559999942779541</v>
      </c>
      <c r="L130" s="159">
        <v>0.10570000112056732</v>
      </c>
      <c r="M130" s="159">
        <v>0.10540000349283218</v>
      </c>
      <c r="N130" s="159">
        <v>0.10520000010728836</v>
      </c>
      <c r="O130" s="159">
        <v>0.10490000247955322</v>
      </c>
      <c r="P130" s="159">
        <v>0.1046999990940094</v>
      </c>
      <c r="Q130" s="159">
        <v>0.1046999990940094</v>
      </c>
      <c r="R130" s="159">
        <v>0.1046999990940094</v>
      </c>
      <c r="S130" s="159">
        <v>0.10509999841451645</v>
      </c>
      <c r="T130" s="159">
        <v>0.10520000010728836</v>
      </c>
      <c r="U130" s="159">
        <v>0.10530000180006027</v>
      </c>
      <c r="V130" s="159">
        <f t="shared" si="1"/>
        <v>0.10530000180006027</v>
      </c>
      <c r="W130" s="159">
        <v>0.10530000180006027</v>
      </c>
      <c r="X130" s="159">
        <v>0.10499999672174454</v>
      </c>
      <c r="Y130" s="159">
        <v>0.10480000078678131</v>
      </c>
      <c r="Z130" s="159">
        <v>0.10450000315904617</v>
      </c>
      <c r="AA130" s="159">
        <v>0.10419999808073044</v>
      </c>
      <c r="AB130" s="159">
        <v>0.10409999638795853</v>
      </c>
      <c r="AC130" s="159">
        <v>0.10400000214576721</v>
      </c>
      <c r="AD130" s="159">
        <v>0.10400000214576721</v>
      </c>
      <c r="AE130" s="159">
        <v>0.10409999638795853</v>
      </c>
      <c r="AF130" s="159">
        <v>0.10419999808073044</v>
      </c>
      <c r="AG130" s="157"/>
      <c r="AH130" s="157"/>
      <c r="AI130" s="157"/>
      <c r="AJ130" s="157"/>
      <c r="AK130" s="157"/>
      <c r="AL130" s="157"/>
      <c r="AM130" s="157"/>
      <c r="AN130" s="157"/>
      <c r="AO130" s="157"/>
      <c r="AP130" s="157"/>
      <c r="AQ130" s="157"/>
      <c r="AR130" s="157"/>
      <c r="AS130" s="157"/>
      <c r="AT130" s="157"/>
      <c r="AU130" s="157"/>
      <c r="AV130" s="157"/>
      <c r="AW130" s="157"/>
      <c r="AX130" s="157"/>
      <c r="AY130" s="157"/>
      <c r="AZ130" s="157"/>
      <c r="BA130" s="157"/>
      <c r="BB130" s="157"/>
      <c r="BC130" s="157"/>
      <c r="BD130" s="157"/>
      <c r="BE130" s="157"/>
      <c r="BF130" s="157"/>
      <c r="BG130" s="157"/>
      <c r="BH130" s="157"/>
      <c r="BI130" s="157"/>
      <c r="BJ130" s="157"/>
      <c r="BK130" s="157"/>
    </row>
    <row r="131" spans="1:63" x14ac:dyDescent="0.2">
      <c r="A131" s="135" t="s">
        <v>134</v>
      </c>
      <c r="B131" s="159">
        <v>0.10740000009536743</v>
      </c>
      <c r="C131" s="159">
        <v>0.10700000077486038</v>
      </c>
      <c r="D131" s="159">
        <v>0.10700000077486038</v>
      </c>
      <c r="E131" s="159">
        <v>0.10670000314712524</v>
      </c>
      <c r="F131" s="159">
        <v>0.10660000145435333</v>
      </c>
      <c r="G131" s="159">
        <v>0.10689999908208847</v>
      </c>
      <c r="H131" s="159">
        <v>0.10670000314712524</v>
      </c>
      <c r="I131" s="159">
        <v>0.10660000145435333</v>
      </c>
      <c r="J131" s="159">
        <v>0.10649999976158142</v>
      </c>
      <c r="K131" s="159">
        <v>0.10649999976158142</v>
      </c>
      <c r="L131" s="159">
        <v>0.10679999738931656</v>
      </c>
      <c r="M131" s="159">
        <v>0.1062999963760376</v>
      </c>
      <c r="N131" s="159">
        <v>0.10599999874830246</v>
      </c>
      <c r="O131" s="159">
        <v>0.10580000281333923</v>
      </c>
      <c r="P131" s="159">
        <v>0.1054999977350235</v>
      </c>
      <c r="Q131" s="159">
        <v>0.1054999977350235</v>
      </c>
      <c r="R131" s="159">
        <v>0.10559999942779541</v>
      </c>
      <c r="S131" s="159">
        <v>0.10570000112056732</v>
      </c>
      <c r="T131" s="159">
        <v>0.10599999874830246</v>
      </c>
      <c r="U131" s="159">
        <v>0.10610000044107437</v>
      </c>
      <c r="V131" s="159">
        <f t="shared" si="1"/>
        <v>0.10610000044107437</v>
      </c>
      <c r="W131" s="159">
        <v>0.10610000044107437</v>
      </c>
      <c r="X131" s="159">
        <v>0.10580000281333923</v>
      </c>
      <c r="Y131" s="159">
        <v>0.1054999977350235</v>
      </c>
      <c r="Z131" s="159">
        <v>0.10530000180006027</v>
      </c>
      <c r="AA131" s="159">
        <v>0.10499999672174454</v>
      </c>
      <c r="AB131" s="159">
        <v>0.10490000247955322</v>
      </c>
      <c r="AC131" s="159">
        <v>0.10480000078678131</v>
      </c>
      <c r="AD131" s="159">
        <v>0.10490000247955322</v>
      </c>
      <c r="AE131" s="159">
        <v>0.10480000078678131</v>
      </c>
      <c r="AF131" s="159">
        <v>0.10499999672174454</v>
      </c>
      <c r="AG131" s="157"/>
      <c r="AH131" s="157"/>
      <c r="AI131" s="157"/>
      <c r="AJ131" s="157"/>
      <c r="AK131" s="157"/>
      <c r="AL131" s="157"/>
      <c r="AM131" s="157"/>
      <c r="AN131" s="157"/>
      <c r="AO131" s="157"/>
      <c r="AP131" s="157"/>
      <c r="AQ131" s="157"/>
      <c r="AR131" s="157"/>
      <c r="AS131" s="157"/>
      <c r="AT131" s="157"/>
      <c r="AU131" s="157"/>
      <c r="AV131" s="157"/>
      <c r="AW131" s="157"/>
      <c r="AX131" s="157"/>
      <c r="AY131" s="157"/>
      <c r="AZ131" s="157"/>
      <c r="BA131" s="157"/>
      <c r="BB131" s="157"/>
      <c r="BC131" s="157"/>
      <c r="BD131" s="157"/>
      <c r="BE131" s="157"/>
      <c r="BF131" s="157"/>
      <c r="BG131" s="157"/>
      <c r="BH131" s="157"/>
      <c r="BI131" s="157"/>
      <c r="BJ131" s="157"/>
      <c r="BK131" s="157"/>
    </row>
    <row r="132" spans="1:63" x14ac:dyDescent="0.2">
      <c r="A132" s="135" t="s">
        <v>135</v>
      </c>
      <c r="B132" s="159">
        <v>0.10719999670982361</v>
      </c>
      <c r="C132" s="159">
        <v>0.10660000145435333</v>
      </c>
      <c r="D132" s="159">
        <v>0.10639999806880951</v>
      </c>
      <c r="E132" s="159">
        <v>0.10639999806880951</v>
      </c>
      <c r="F132" s="159">
        <v>0.10620000213384628</v>
      </c>
      <c r="G132" s="159">
        <v>0.10639999806880951</v>
      </c>
      <c r="H132" s="159">
        <v>0.10620000213384628</v>
      </c>
      <c r="I132" s="159">
        <v>0.10610000044107437</v>
      </c>
      <c r="J132" s="159">
        <v>0.10599999874830246</v>
      </c>
      <c r="K132" s="159">
        <v>0.10610000044107437</v>
      </c>
      <c r="L132" s="159">
        <v>0.10599999874830246</v>
      </c>
      <c r="M132" s="159">
        <v>0.10580000281333923</v>
      </c>
      <c r="N132" s="159">
        <v>0.1054999977350235</v>
      </c>
      <c r="O132" s="159">
        <v>0.10540000349283218</v>
      </c>
      <c r="P132" s="159">
        <v>0.10499999672174454</v>
      </c>
      <c r="Q132" s="159">
        <v>0.10509999841451645</v>
      </c>
      <c r="R132" s="159">
        <v>0.10509999841451645</v>
      </c>
      <c r="S132" s="159">
        <v>0.10520000010728836</v>
      </c>
      <c r="T132" s="159">
        <v>0.1054999977350235</v>
      </c>
      <c r="U132" s="159">
        <v>0.10559999942779541</v>
      </c>
      <c r="V132" s="159">
        <f t="shared" si="1"/>
        <v>0.10559999942779541</v>
      </c>
      <c r="W132" s="159">
        <v>0.10559999942779541</v>
      </c>
      <c r="X132" s="159">
        <v>0.10540000349283218</v>
      </c>
      <c r="Y132" s="159">
        <v>0.10509999841451645</v>
      </c>
      <c r="Z132" s="159">
        <v>0.10490000247955322</v>
      </c>
      <c r="AA132" s="159">
        <v>0.10459999740123749</v>
      </c>
      <c r="AB132" s="159">
        <v>0.10440000146627426</v>
      </c>
      <c r="AC132" s="159">
        <v>0.10440000146627426</v>
      </c>
      <c r="AD132" s="159">
        <v>0.10440000146627426</v>
      </c>
      <c r="AE132" s="159">
        <v>0.10440000146627426</v>
      </c>
      <c r="AF132" s="159">
        <v>0.10459999740123749</v>
      </c>
      <c r="AG132" s="157"/>
      <c r="AH132" s="157"/>
      <c r="AI132" s="157"/>
      <c r="AJ132" s="157"/>
      <c r="AK132" s="157"/>
      <c r="AL132" s="157"/>
      <c r="AM132" s="157"/>
      <c r="AN132" s="157"/>
      <c r="AO132" s="157"/>
      <c r="AP132" s="157"/>
      <c r="AQ132" s="157"/>
      <c r="AR132" s="157"/>
      <c r="AS132" s="157"/>
      <c r="AT132" s="157"/>
      <c r="AU132" s="157"/>
      <c r="AV132" s="157"/>
      <c r="AW132" s="157"/>
      <c r="AX132" s="157"/>
      <c r="AY132" s="157"/>
      <c r="AZ132" s="157"/>
      <c r="BA132" s="157"/>
      <c r="BB132" s="157"/>
      <c r="BC132" s="157"/>
      <c r="BD132" s="157"/>
      <c r="BE132" s="157"/>
      <c r="BF132" s="157"/>
      <c r="BG132" s="157"/>
      <c r="BH132" s="157"/>
      <c r="BI132" s="157"/>
      <c r="BJ132" s="157"/>
      <c r="BK132" s="157"/>
    </row>
    <row r="133" spans="1:63" x14ac:dyDescent="0.2">
      <c r="A133" s="135" t="s">
        <v>136</v>
      </c>
      <c r="B133" s="159">
        <v>0.10740000009536743</v>
      </c>
      <c r="C133" s="159">
        <v>0.10679999738931656</v>
      </c>
      <c r="D133" s="159">
        <v>0.10660000145435333</v>
      </c>
      <c r="E133" s="159">
        <v>0.10639999806880951</v>
      </c>
      <c r="F133" s="159">
        <v>0.1062999963760376</v>
      </c>
      <c r="G133" s="159">
        <v>0.10649999976158142</v>
      </c>
      <c r="H133" s="159">
        <v>0.1062999963760376</v>
      </c>
      <c r="I133" s="159">
        <v>0.10620000213384628</v>
      </c>
      <c r="J133" s="159">
        <v>0.10610000044107437</v>
      </c>
      <c r="K133" s="159">
        <v>0.10610000044107437</v>
      </c>
      <c r="L133" s="159">
        <v>0.10599999874830246</v>
      </c>
      <c r="M133" s="159">
        <v>0.10580000281333923</v>
      </c>
      <c r="N133" s="159">
        <v>0.1054999977350235</v>
      </c>
      <c r="O133" s="159">
        <v>0.10530000180006027</v>
      </c>
      <c r="P133" s="159">
        <v>0.10499999672174454</v>
      </c>
      <c r="Q133" s="159">
        <v>0.10499999672174454</v>
      </c>
      <c r="R133" s="159">
        <v>0.10509999841451645</v>
      </c>
      <c r="S133" s="159">
        <v>0.10520000010728836</v>
      </c>
      <c r="T133" s="159">
        <v>0.1054999977350235</v>
      </c>
      <c r="U133" s="159">
        <v>0.10559999942779541</v>
      </c>
      <c r="V133" s="159">
        <f t="shared" si="1"/>
        <v>0.10559999942779541</v>
      </c>
      <c r="W133" s="159">
        <v>0.10559999942779541</v>
      </c>
      <c r="X133" s="159">
        <v>0.10530000180006027</v>
      </c>
      <c r="Y133" s="159">
        <v>0.10509999841451645</v>
      </c>
      <c r="Z133" s="159">
        <v>0.10480000078678131</v>
      </c>
      <c r="AA133" s="159">
        <v>0.10450000315904617</v>
      </c>
      <c r="AB133" s="159">
        <v>0.10440000146627426</v>
      </c>
      <c r="AC133" s="159">
        <v>0.10429999977350235</v>
      </c>
      <c r="AD133" s="159">
        <v>0.10429999977350235</v>
      </c>
      <c r="AE133" s="159">
        <v>0.10429999977350235</v>
      </c>
      <c r="AF133" s="159">
        <v>0.10450000315904617</v>
      </c>
      <c r="AG133" s="157"/>
      <c r="AH133" s="157"/>
      <c r="AI133" s="157"/>
      <c r="AJ133" s="157"/>
      <c r="AK133" s="157"/>
      <c r="AL133" s="157"/>
      <c r="AM133" s="157"/>
      <c r="AN133" s="157"/>
      <c r="AO133" s="157"/>
      <c r="AP133" s="157"/>
      <c r="AQ133" s="157"/>
      <c r="AR133" s="157"/>
      <c r="AS133" s="157"/>
      <c r="AT133" s="157"/>
      <c r="AU133" s="157"/>
      <c r="AV133" s="157"/>
      <c r="AW133" s="157"/>
      <c r="AX133" s="157"/>
      <c r="AY133" s="157"/>
      <c r="AZ133" s="157"/>
      <c r="BA133" s="157"/>
      <c r="BB133" s="157"/>
      <c r="BC133" s="157"/>
      <c r="BD133" s="157"/>
      <c r="BE133" s="157"/>
      <c r="BF133" s="157"/>
      <c r="BG133" s="157"/>
      <c r="BH133" s="157"/>
      <c r="BI133" s="157"/>
      <c r="BJ133" s="157"/>
      <c r="BK133" s="157"/>
    </row>
    <row r="134" spans="1:63" x14ac:dyDescent="0.2">
      <c r="A134" s="135" t="s">
        <v>137</v>
      </c>
      <c r="B134" s="159">
        <v>0.10750000178813934</v>
      </c>
      <c r="C134" s="159">
        <v>0.10639999806880951</v>
      </c>
      <c r="D134" s="159">
        <v>0.10639999806880951</v>
      </c>
      <c r="E134" s="159">
        <v>0.10670000314712524</v>
      </c>
      <c r="F134" s="159">
        <v>0.10639999806880951</v>
      </c>
      <c r="G134" s="159">
        <v>0.10660000145435333</v>
      </c>
      <c r="H134" s="159">
        <v>0.1062999963760376</v>
      </c>
      <c r="I134" s="159">
        <v>0.10620000213384628</v>
      </c>
      <c r="J134" s="159">
        <v>0.10599999874830246</v>
      </c>
      <c r="K134" s="159">
        <v>0.10599999874830246</v>
      </c>
      <c r="L134" s="159">
        <v>0.10599999874830246</v>
      </c>
      <c r="M134" s="159">
        <v>0.10570000112056732</v>
      </c>
      <c r="N134" s="159">
        <v>0.1054999977350235</v>
      </c>
      <c r="O134" s="159">
        <v>0.10530000180006027</v>
      </c>
      <c r="P134" s="159">
        <v>0.10490000247955322</v>
      </c>
      <c r="Q134" s="159">
        <v>0.10490000247955322</v>
      </c>
      <c r="R134" s="159">
        <v>0.10499999672174454</v>
      </c>
      <c r="S134" s="159">
        <v>0.10509999841451645</v>
      </c>
      <c r="T134" s="159">
        <v>0.10530000180006027</v>
      </c>
      <c r="U134" s="159">
        <v>0.10530000180006027</v>
      </c>
      <c r="V134" s="159">
        <f t="shared" si="1"/>
        <v>0.10530000180006027</v>
      </c>
      <c r="W134" s="159">
        <v>0.10530000180006027</v>
      </c>
      <c r="X134" s="159">
        <v>0.10499999672174454</v>
      </c>
      <c r="Y134" s="159">
        <v>0.1046999990940094</v>
      </c>
      <c r="Z134" s="159">
        <v>0.10450000315904617</v>
      </c>
      <c r="AA134" s="159">
        <v>0.10419999808073044</v>
      </c>
      <c r="AB134" s="159">
        <v>0.10400000214576721</v>
      </c>
      <c r="AC134" s="159">
        <v>0.10400000214576721</v>
      </c>
      <c r="AD134" s="159">
        <v>0.10409999638795853</v>
      </c>
      <c r="AE134" s="159">
        <v>0.1039000004529953</v>
      </c>
      <c r="AF134" s="159">
        <v>0.10350000113248825</v>
      </c>
      <c r="AG134" s="157"/>
      <c r="AH134" s="157"/>
      <c r="AI134" s="157"/>
      <c r="AJ134" s="157"/>
      <c r="AK134" s="157"/>
      <c r="AL134" s="157"/>
      <c r="AM134" s="157"/>
      <c r="AN134" s="157"/>
      <c r="AO134" s="157"/>
      <c r="AP134" s="157"/>
      <c r="AQ134" s="157"/>
      <c r="AR134" s="157"/>
      <c r="AS134" s="157"/>
      <c r="AT134" s="157"/>
      <c r="AU134" s="157"/>
      <c r="AV134" s="157"/>
      <c r="AW134" s="157"/>
      <c r="AX134" s="157"/>
      <c r="AY134" s="157"/>
      <c r="AZ134" s="157"/>
      <c r="BA134" s="157"/>
      <c r="BB134" s="157"/>
      <c r="BC134" s="157"/>
      <c r="BD134" s="157"/>
      <c r="BE134" s="157"/>
      <c r="BF134" s="157"/>
      <c r="BG134" s="157"/>
      <c r="BH134" s="157"/>
      <c r="BI134" s="157"/>
      <c r="BJ134" s="157"/>
      <c r="BK134" s="157"/>
    </row>
    <row r="135" spans="1:63" x14ac:dyDescent="0.2">
      <c r="A135" s="130"/>
      <c r="B135" s="130"/>
      <c r="C135" s="130"/>
      <c r="D135" s="130"/>
      <c r="E135" s="130"/>
      <c r="F135" s="130"/>
      <c r="G135" s="130"/>
      <c r="H135" s="130"/>
      <c r="I135" s="130"/>
      <c r="J135" s="130"/>
      <c r="K135" s="130"/>
      <c r="L135" s="130"/>
      <c r="M135" s="130"/>
      <c r="N135" s="130"/>
      <c r="O135" s="130"/>
      <c r="P135" s="130"/>
      <c r="Q135" s="130"/>
      <c r="R135" s="130"/>
      <c r="S135" s="130"/>
      <c r="T135" s="130"/>
      <c r="U135" s="130"/>
      <c r="V135" s="130"/>
      <c r="W135" s="130"/>
      <c r="X135" s="130"/>
      <c r="Y135" s="130"/>
      <c r="Z135" s="130"/>
      <c r="AA135" s="130"/>
      <c r="AB135" s="130"/>
      <c r="AC135" s="130"/>
      <c r="AD135" s="130"/>
      <c r="AE135" s="130"/>
      <c r="AF135" s="130"/>
      <c r="AG135" s="130"/>
    </row>
    <row r="136" spans="1:63" x14ac:dyDescent="0.2">
      <c r="A136" s="130"/>
      <c r="B136" s="130"/>
      <c r="C136" s="130"/>
      <c r="D136" s="130"/>
      <c r="E136" s="130"/>
      <c r="F136" s="130"/>
      <c r="G136" s="130"/>
      <c r="H136" s="130"/>
      <c r="I136" s="130"/>
      <c r="J136" s="130"/>
      <c r="K136" s="130"/>
      <c r="L136" s="130"/>
      <c r="M136" s="130"/>
      <c r="N136" s="130"/>
      <c r="O136" s="130"/>
      <c r="P136" s="130"/>
      <c r="Q136" s="130"/>
      <c r="R136" s="130"/>
      <c r="S136" s="130"/>
      <c r="T136" s="130"/>
      <c r="U136" s="130"/>
      <c r="V136" s="130"/>
      <c r="W136" s="130"/>
      <c r="X136" s="130"/>
      <c r="Y136" s="130"/>
      <c r="Z136" s="130"/>
      <c r="AA136" s="130"/>
      <c r="AB136" s="130"/>
      <c r="AC136" s="130"/>
      <c r="AD136" s="130"/>
      <c r="AE136" s="130"/>
      <c r="AF136" s="130"/>
      <c r="AG136" s="130"/>
    </row>
    <row r="137" spans="1:63" x14ac:dyDescent="0.2">
      <c r="A137" s="130"/>
      <c r="B137" s="130"/>
      <c r="C137" s="130"/>
      <c r="D137" s="130"/>
      <c r="E137" s="130"/>
      <c r="F137" s="130"/>
      <c r="G137" s="130"/>
      <c r="H137" s="130"/>
      <c r="I137" s="130"/>
      <c r="J137" s="130"/>
      <c r="K137" s="130"/>
      <c r="L137" s="130"/>
      <c r="M137" s="130"/>
      <c r="N137" s="130"/>
      <c r="O137" s="130"/>
      <c r="P137" s="130"/>
      <c r="Q137" s="130"/>
      <c r="R137" s="130"/>
      <c r="S137" s="130"/>
      <c r="T137" s="130"/>
      <c r="U137" s="130"/>
      <c r="V137" s="130"/>
      <c r="W137" s="130"/>
      <c r="X137" s="130"/>
      <c r="Y137" s="130"/>
      <c r="Z137" s="130"/>
      <c r="AA137" s="130"/>
      <c r="AB137" s="130"/>
      <c r="AC137" s="130"/>
      <c r="AD137" s="130"/>
      <c r="AE137" s="130"/>
      <c r="AF137" s="130"/>
      <c r="AG137" s="130"/>
    </row>
    <row r="138" spans="1:63" x14ac:dyDescent="0.2">
      <c r="A138" s="130"/>
      <c r="B138" s="130"/>
      <c r="C138" s="130"/>
      <c r="D138" s="130"/>
      <c r="E138" s="130"/>
      <c r="F138" s="130"/>
      <c r="G138" s="130"/>
      <c r="H138" s="130"/>
      <c r="I138" s="130"/>
      <c r="J138" s="130"/>
      <c r="K138" s="130"/>
      <c r="L138" s="130"/>
      <c r="M138" s="130"/>
      <c r="N138" s="130"/>
      <c r="O138" s="130"/>
      <c r="P138" s="130"/>
      <c r="Q138" s="130"/>
      <c r="R138" s="130"/>
      <c r="S138" s="130"/>
      <c r="T138" s="130"/>
      <c r="U138" s="130"/>
      <c r="V138" s="130"/>
      <c r="W138" s="130"/>
      <c r="X138" s="130"/>
      <c r="Y138" s="130"/>
      <c r="Z138" s="130"/>
      <c r="AA138" s="130"/>
      <c r="AB138" s="130"/>
      <c r="AC138" s="130"/>
      <c r="AD138" s="130"/>
      <c r="AE138" s="130"/>
      <c r="AF138" s="130"/>
      <c r="AG138" s="130"/>
    </row>
    <row r="139" spans="1:63" x14ac:dyDescent="0.2">
      <c r="A139" s="130" t="s">
        <v>138</v>
      </c>
      <c r="B139" s="132">
        <v>43202.713969907411</v>
      </c>
      <c r="C139" s="130"/>
      <c r="D139" s="130"/>
      <c r="E139" s="130"/>
      <c r="F139" s="130"/>
      <c r="G139" s="130"/>
      <c r="H139" s="130"/>
      <c r="I139" s="130"/>
      <c r="J139" s="130"/>
      <c r="K139" s="130"/>
      <c r="L139" s="130"/>
      <c r="M139" s="130"/>
      <c r="N139" s="130"/>
      <c r="O139" s="130"/>
      <c r="P139" s="130"/>
      <c r="Q139" s="130"/>
      <c r="R139" s="130"/>
      <c r="S139" s="130"/>
      <c r="T139" s="130"/>
      <c r="U139" s="130"/>
      <c r="V139" s="130"/>
      <c r="W139" s="130"/>
      <c r="X139" s="130"/>
      <c r="Y139" s="130"/>
      <c r="Z139" s="130"/>
      <c r="AA139" s="130"/>
      <c r="AB139" s="130"/>
      <c r="AC139" s="130"/>
      <c r="AD139" s="130"/>
      <c r="AE139" s="130"/>
      <c r="AF139" s="130"/>
      <c r="AG139" s="130"/>
    </row>
  </sheetData>
  <pageMargins left="0.7" right="0.7" top="0.75" bottom="0.75" header="0.3" footer="0.3"/>
  <pageSetup paperSize="9" orientation="portrait" horizontalDpi="4294967292" verticalDpi="4294967292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10</vt:i4>
      </vt:variant>
    </vt:vector>
  </HeadingPairs>
  <TitlesOfParts>
    <vt:vector size="12" baseType="lpstr">
      <vt:lpstr>Config</vt:lpstr>
      <vt:lpstr>Data</vt:lpstr>
      <vt:lpstr>conditions</vt:lpstr>
      <vt:lpstr>data_first_line</vt:lpstr>
      <vt:lpstr>data_last_line</vt:lpstr>
      <vt:lpstr>data_sheet_name</vt:lpstr>
      <vt:lpstr>experimental_plan_definition</vt:lpstr>
      <vt:lpstr>number_of_cycles</vt:lpstr>
      <vt:lpstr>t_growth_mini</vt:lpstr>
      <vt:lpstr>white_border_definition</vt:lpstr>
      <vt:lpstr>white_inner_application</vt:lpstr>
      <vt:lpstr>white_stats</vt:lpstr>
    </vt:vector>
  </TitlesOfParts>
  <Company>Hospices Civils de Lyon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MOUTON, William</dc:creator>
  <cp:lastModifiedBy>Julien</cp:lastModifiedBy>
  <cp:lastPrinted>2018-03-17T15:52:29Z</cp:lastPrinted>
  <dcterms:created xsi:type="dcterms:W3CDTF">2018-02-13T15:43:19Z</dcterms:created>
  <dcterms:modified xsi:type="dcterms:W3CDTF">2018-05-16T11:06:09Z</dcterms:modified>
</cp:coreProperties>
</file>