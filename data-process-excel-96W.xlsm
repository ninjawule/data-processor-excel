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19" codeName="{51196F13-6AD0-C1B8-E2B4-A1F9AE17003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/Users/julienwan/Downloads/"/>
    </mc:Choice>
  </mc:AlternateContent>
  <xr:revisionPtr revIDLastSave="0" documentId="13_ncr:1_{CDB3C5FD-C4B1-7B42-976A-8AEED5498B97}" xr6:coauthVersionLast="31" xr6:coauthVersionMax="31" xr10:uidLastSave="{00000000-0000-0000-0000-000000000000}"/>
  <bookViews>
    <workbookView xWindow="0" yWindow="440" windowWidth="33600" windowHeight="20560" xr2:uid="{00000000-000D-0000-FFFF-FFFF00000000}"/>
  </bookViews>
  <sheets>
    <sheet name="Config" sheetId="7" r:id="rId1"/>
    <sheet name="Data" sheetId="2" r:id="rId2"/>
    <sheet name="Results" sheetId="443" r:id="rId3"/>
    <sheet name="NSA739std-B" sheetId="446" r:id="rId4"/>
  </sheets>
  <functionGroups builtInGroupCount="19"/>
  <definedNames>
    <definedName name="calibration_max_size">Config!$F$7</definedName>
    <definedName name="calibration_min_size">Config!$F$9</definedName>
    <definedName name="calibration_step">Config!$F$11</definedName>
    <definedName name="conditions">Config!$C$15:$F$42</definedName>
    <definedName name="data_first_line">Config!$D$6</definedName>
    <definedName name="data_last_line">Config!$D$7</definedName>
    <definedName name="data_sheet_name">Config!$D$5</definedName>
    <definedName name="experimental_plan_definition">Config!$J$34:$V$42</definedName>
    <definedName name="number_of_cycles">Config!$D$8</definedName>
    <definedName name="white_border_definition">Config!$J$5:$V$13</definedName>
    <definedName name="white_inner_application">Config!$J$20:$V$28</definedName>
    <definedName name="white_stats">Config!$X$6:$AD$13</definedName>
  </definedNames>
  <calcPr calcId="179017"/>
  <fileRecoveryPr repairLoad="1"/>
</workbook>
</file>

<file path=xl/calcChain.xml><?xml version="1.0" encoding="utf-8"?>
<calcChain xmlns="http://schemas.openxmlformats.org/spreadsheetml/2006/main">
  <c r="AG96" i="446" l="1"/>
  <c r="AF96" i="446"/>
  <c r="AE96" i="446"/>
  <c r="AD96" i="446"/>
  <c r="AC96" i="446"/>
  <c r="AB96" i="446"/>
  <c r="AA96" i="446"/>
  <c r="Z96" i="446"/>
  <c r="Y96" i="446"/>
  <c r="X96" i="446"/>
  <c r="W96" i="446"/>
  <c r="V96" i="446"/>
  <c r="U96" i="446"/>
  <c r="T96" i="446"/>
  <c r="S96" i="446"/>
  <c r="R96" i="446"/>
  <c r="Q96" i="446"/>
  <c r="P96" i="446"/>
  <c r="O96" i="446"/>
  <c r="N96" i="446"/>
  <c r="M96" i="446"/>
  <c r="L96" i="446"/>
  <c r="K96" i="446"/>
  <c r="J96" i="446"/>
  <c r="I96" i="446"/>
  <c r="H96" i="446"/>
  <c r="O99" i="446" s="1"/>
  <c r="G96" i="446"/>
  <c r="F96" i="446"/>
  <c r="E96" i="446"/>
  <c r="D96" i="446"/>
  <c r="C96" i="446"/>
  <c r="B96" i="446"/>
  <c r="AG95" i="446"/>
  <c r="AF95" i="446"/>
  <c r="AE95" i="446"/>
  <c r="AD95" i="446"/>
  <c r="AC95" i="446"/>
  <c r="AB95" i="446"/>
  <c r="AA95" i="446"/>
  <c r="Z95" i="446"/>
  <c r="Y95" i="446"/>
  <c r="X95" i="446"/>
  <c r="W95" i="446"/>
  <c r="V95" i="446"/>
  <c r="U95" i="446"/>
  <c r="T95" i="446"/>
  <c r="S95" i="446"/>
  <c r="R95" i="446"/>
  <c r="Q95" i="446"/>
  <c r="P95" i="446"/>
  <c r="O95" i="446"/>
  <c r="N95" i="446"/>
  <c r="M95" i="446"/>
  <c r="L95" i="446"/>
  <c r="K95" i="446"/>
  <c r="J95" i="446"/>
  <c r="I95" i="446"/>
  <c r="H95" i="446"/>
  <c r="R98" i="446" s="1"/>
  <c r="G95" i="446"/>
  <c r="Q98" i="446" s="1"/>
  <c r="F95" i="446"/>
  <c r="P98" i="446" s="1"/>
  <c r="E95" i="446"/>
  <c r="D95" i="446"/>
  <c r="C95" i="446"/>
  <c r="B95" i="446"/>
  <c r="AG94" i="446"/>
  <c r="AF94" i="446"/>
  <c r="AE94" i="446"/>
  <c r="AD94" i="446"/>
  <c r="AC94" i="446"/>
  <c r="AB94" i="446"/>
  <c r="AA94" i="446"/>
  <c r="Z94" i="446"/>
  <c r="Y94" i="446"/>
  <c r="X94" i="446"/>
  <c r="W94" i="446"/>
  <c r="V94" i="446"/>
  <c r="U94" i="446"/>
  <c r="T94" i="446"/>
  <c r="S94" i="446"/>
  <c r="R94" i="446"/>
  <c r="Q94" i="446"/>
  <c r="P94" i="446"/>
  <c r="O94" i="446"/>
  <c r="N94" i="446"/>
  <c r="M94" i="446"/>
  <c r="L94" i="446"/>
  <c r="K94" i="446"/>
  <c r="J94" i="446"/>
  <c r="I94" i="446"/>
  <c r="H94" i="446"/>
  <c r="R97" i="446" s="1"/>
  <c r="G94" i="446"/>
  <c r="Q97" i="446" s="1"/>
  <c r="F94" i="446"/>
  <c r="P97" i="446" s="1"/>
  <c r="E94" i="446"/>
  <c r="O97" i="446" s="1"/>
  <c r="D94" i="446"/>
  <c r="N97" i="446" s="1"/>
  <c r="C94" i="446"/>
  <c r="M97" i="446" s="1"/>
  <c r="B94" i="446"/>
  <c r="L97" i="446" s="1"/>
  <c r="L99" i="446" l="1"/>
  <c r="L98" i="446"/>
  <c r="J43" i="446" a="1"/>
  <c r="P43" i="446" a="1"/>
  <c r="O98" i="446"/>
  <c r="P99" i="446"/>
  <c r="M99" i="446"/>
  <c r="N99" i="446"/>
  <c r="N98" i="446"/>
  <c r="Q99" i="446"/>
  <c r="V43" i="446" a="1"/>
  <c r="M98" i="446"/>
  <c r="R99" i="446"/>
  <c r="Z6" i="7"/>
  <c r="Z7" i="7"/>
  <c r="Z10" i="7"/>
  <c r="Z11" i="7"/>
  <c r="Z12" i="7"/>
  <c r="Z13" i="7"/>
  <c r="Z8" i="7"/>
  <c r="Z9" i="7"/>
  <c r="AB10" i="7"/>
  <c r="AC11" i="7"/>
  <c r="AB9" i="7"/>
  <c r="AC9" i="7"/>
  <c r="AA7" i="7"/>
  <c r="AC8" i="7"/>
  <c r="AA8" i="7"/>
  <c r="AB7" i="7"/>
  <c r="AA9" i="7"/>
  <c r="AA11" i="7"/>
  <c r="AB8" i="7"/>
  <c r="AB11" i="7"/>
  <c r="AA10" i="7"/>
  <c r="AC7" i="7"/>
  <c r="AC10" i="7"/>
  <c r="Q43" i="446" l="1"/>
  <c r="Q47" i="446"/>
  <c r="P43" i="446"/>
  <c r="P49" i="446" s="1"/>
  <c r="P50" i="446" s="1"/>
  <c r="P51" i="446" s="1"/>
  <c r="E3" i="443" s="1"/>
  <c r="P44" i="446"/>
  <c r="Q44" i="446"/>
  <c r="Q45" i="446"/>
  <c r="P46" i="446"/>
  <c r="P45" i="446"/>
  <c r="F3" i="443" s="1"/>
  <c r="P47" i="446"/>
  <c r="Q46" i="446"/>
  <c r="K43" i="446"/>
  <c r="K47" i="446"/>
  <c r="K45" i="446"/>
  <c r="J47" i="446"/>
  <c r="J44" i="446"/>
  <c r="J43" i="446"/>
  <c r="J49" i="446" s="1"/>
  <c r="J50" i="446" s="1"/>
  <c r="J51" i="446" s="1"/>
  <c r="E2" i="443" s="1"/>
  <c r="K44" i="446"/>
  <c r="J46" i="446"/>
  <c r="J45" i="446"/>
  <c r="F2" i="443" s="1"/>
  <c r="K46" i="446"/>
  <c r="W43" i="446"/>
  <c r="W47" i="446"/>
  <c r="W45" i="446"/>
  <c r="V46" i="446"/>
  <c r="V44" i="446"/>
  <c r="W44" i="446"/>
  <c r="V43" i="446"/>
  <c r="V49" i="446" s="1"/>
  <c r="V50" i="446" s="1"/>
  <c r="V51" i="446" s="1"/>
  <c r="E4" i="443" s="1"/>
  <c r="V45" i="446"/>
  <c r="F4" i="443" s="1"/>
  <c r="W46" i="446"/>
  <c r="V47" i="446"/>
  <c r="D7" i="7"/>
  <c r="AC13" i="7"/>
  <c r="AA12" i="7"/>
  <c r="AD8" i="7"/>
  <c r="AD11" i="7"/>
  <c r="AD7" i="7"/>
  <c r="AC12" i="7"/>
  <c r="AD10" i="7"/>
  <c r="AB13" i="7"/>
  <c r="AA13" i="7"/>
  <c r="AD9" i="7"/>
  <c r="AB12" i="7"/>
  <c r="D8" i="7"/>
  <c r="AC6" i="7" s="1"/>
  <c r="AB6" i="7"/>
  <c r="AA6" i="7"/>
  <c r="R102" i="446" l="1"/>
  <c r="J102" i="446"/>
  <c r="K102" i="446"/>
  <c r="Q102" i="446"/>
  <c r="I102" i="446"/>
  <c r="P102" i="446"/>
  <c r="H102" i="446"/>
  <c r="N102" i="446"/>
  <c r="M102" i="446"/>
  <c r="O102" i="446"/>
  <c r="L102" i="446"/>
  <c r="P100" i="446"/>
  <c r="H100" i="446"/>
  <c r="L100" i="446"/>
  <c r="Q100" i="446"/>
  <c r="I100" i="446"/>
  <c r="O100" i="446"/>
  <c r="K100" i="446"/>
  <c r="J100" i="446"/>
  <c r="N100" i="446"/>
  <c r="M100" i="446"/>
  <c r="R100" i="446"/>
  <c r="M101" i="446"/>
  <c r="Q101" i="446"/>
  <c r="I101" i="446"/>
  <c r="P101" i="446"/>
  <c r="L101" i="446"/>
  <c r="O101" i="446"/>
  <c r="N101" i="446"/>
  <c r="K101" i="446"/>
  <c r="R101" i="446"/>
  <c r="J101" i="446"/>
  <c r="H101" i="446"/>
  <c r="D11" i="7"/>
  <c r="AD12" i="7"/>
  <c r="AD13" i="7"/>
  <c r="AD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Julien</author>
  </authors>
  <commentList>
    <comment ref="L2" authorId="0" shapeId="0" xr:uid="{5A5D2AC9-C259-F54E-A5E6-06893A171B83}">
      <text>
        <r>
          <rPr>
            <sz val="10"/>
            <color rgb="FF000000"/>
            <rFont val="Tahoma"/>
            <family val="2"/>
          </rPr>
          <t>this is where you describe all the white types you used; you have have up to 8 different white types; the table on the right gives you quick stats about your whites; if one of them is screwed up, just disregard it by deleting it, and it will not be taken into account in all the computations made afterwards.</t>
        </r>
      </text>
    </comment>
    <comment ref="D5" authorId="0" shapeId="0" xr:uid="{955DAF0A-8712-3544-89E0-AD8A0865C922}">
      <text>
        <r>
          <rPr>
            <sz val="10"/>
            <color rgb="FF000000"/>
            <rFont val="Tahoma"/>
            <family val="2"/>
          </rPr>
          <t>The name of the sheet containing the data; you can change it, but make sure you also change the sheet name ! Else, the program will not be able to know where the data is.</t>
        </r>
      </text>
    </comment>
    <comment ref="E5" authorId="0" shapeId="0" xr:uid="{A1AB8E38-185E-E14D-8BBE-2B68C9E714F2}">
      <text>
        <r>
          <rPr>
            <sz val="10"/>
            <color rgb="FF000000"/>
            <rFont val="Tahoma"/>
            <family val="2"/>
          </rPr>
          <t xml:space="preserve">auto-calibration allows, for each condition, to search for the largest "Size min" that leads to R2 coefficients above 0.99. This process can take quite some time. It starts from a max "Size min" (configured in cell "search from max"), and decrease the value to a minimal value (cf. cell "down to min") by a step value also onfigured here ("step").  </t>
        </r>
      </text>
    </comment>
    <comment ref="D6" authorId="0" shapeId="0" xr:uid="{CAAD4F61-680F-AF46-9FCD-53B614A444AA}">
      <text>
        <r>
          <rPr>
            <sz val="10"/>
            <color rgb="FF000000"/>
            <rFont val="Tahoma"/>
            <family val="2"/>
          </rPr>
          <t>In the data sheet, where the data begin, i.e. at which row number.</t>
        </r>
      </text>
    </comment>
    <comment ref="D7" authorId="0" shapeId="0" xr:uid="{163076CD-5A27-7941-B73B-F1F09E182016}">
      <text>
        <r>
          <rPr>
            <sz val="10"/>
            <color rgb="FF000000"/>
            <rFont val="Tahoma"/>
            <family val="2"/>
          </rPr>
          <t>In the data sheet, where the data end, i.e. at which row number. Is automatically determined from the data first line, and the number of wells.</t>
        </r>
      </text>
    </comment>
    <comment ref="D8" authorId="0" shapeId="0" xr:uid="{DFEBD0EC-0842-084B-B8BC-26F782755A8A}">
      <text>
        <r>
          <rPr>
            <sz val="10"/>
            <color rgb="FF000000"/>
            <rFont val="Tahoma"/>
            <family val="2"/>
          </rPr>
          <t>The number of cycles in the data. Is automatically detected.</t>
        </r>
      </text>
    </comment>
    <comment ref="D9" authorId="0" shapeId="0" xr:uid="{2A8D9447-2ED7-8F4B-AEF4-5798FBA7E846}">
      <text>
        <r>
          <rPr>
            <sz val="10"/>
            <color rgb="FF000000"/>
            <rFont val="Tahoma"/>
            <family val="2"/>
          </rPr>
          <t>The minimal control temperature for this experiment. The maximal is in the cel just below. This allows to tell if the temperature stayed ok or not.</t>
        </r>
      </text>
    </comment>
    <comment ref="D11" authorId="0" shapeId="0" xr:uid="{81F467FE-79E0-1947-ADF6-1654213BB5C6}">
      <text>
        <r>
          <rPr>
            <sz val="10"/>
            <color rgb="FF000000"/>
            <rFont val="Tahoma"/>
            <family val="2"/>
          </rPr>
          <t>If all the temperatudes stayed between the min and max, it's ok, else it's not ok.</t>
        </r>
      </text>
    </comment>
    <comment ref="C14" authorId="0" shapeId="0" xr:uid="{20F9AC3E-255C-7545-98FA-D153C041E579}">
      <text>
        <r>
          <rPr>
            <sz val="10"/>
            <color rgb="FF000000"/>
            <rFont val="Tahoma"/>
            <family val="2"/>
          </rPr>
          <t>Name your conditions in this column. These names will be the names of the computed sheets.</t>
        </r>
      </text>
    </comment>
    <comment ref="E14" authorId="0" shapeId="0" xr:uid="{21DF4310-A3BC-6645-9660-3856A28DEE30}">
      <text>
        <r>
          <rPr>
            <sz val="10"/>
            <color rgb="FF000000"/>
            <rFont val="Tahoma"/>
            <family val="2"/>
          </rPr>
          <t>This is the minimal period of time you allow (in s) to capture an exponential behaviour in the growth curves. The "best" exponential behaviour observed does not necessarily starts à t = 0, because of the resolution of the reader, which might introduce a kind of latency at the beginning of some growth curves.</t>
        </r>
      </text>
    </comment>
    <comment ref="F14" authorId="0" shapeId="0" xr:uid="{431EF545-3E39-0E43-8BD3-65AC4B66AB36}">
      <text>
        <r>
          <rPr>
            <sz val="10"/>
            <color rgb="FF000000"/>
            <rFont val="Tahoma"/>
            <family val="2"/>
          </rPr>
          <t>This is the time at which you decide that exponential behaviour should have ended. This prevents detecting exponential growth at the end of a curve, rather than near its start !</t>
        </r>
      </text>
    </comment>
    <comment ref="L17" authorId="0" shapeId="0" xr:uid="{CD2780E4-8DAF-1C46-857B-AD19ED6C1E6F}">
      <text>
        <r>
          <rPr>
            <sz val="10"/>
            <color rgb="FF000000"/>
            <rFont val="Tahoma"/>
            <family val="2"/>
          </rPr>
          <t>this is where you indicate which white type is used in each well</t>
        </r>
      </text>
    </comment>
    <comment ref="L31" authorId="0" shapeId="0" xr:uid="{315467EF-7D51-3B4D-9ACB-287CEC3EA8EF}">
      <text>
        <r>
          <rPr>
            <sz val="10"/>
            <color rgb="FF000000"/>
            <rFont val="Tahoma"/>
            <family val="2"/>
          </rPr>
          <t>this is where you configure that this or that well belongs to this or that condition, by entering the condition ID (C1, C2, etc.) in each well.</t>
        </r>
      </text>
    </comment>
    <comment ref="AB35" authorId="0" shapeId="0" xr:uid="{2CB96AB3-74E9-8348-8F98-4B81D9E0BB3A}">
      <text>
        <r>
          <rPr>
            <sz val="10"/>
            <color rgb="FF000000"/>
            <rFont val="Tahoma"/>
            <family val="2"/>
          </rPr>
          <t xml:space="preserve">This computes the first condition configured on the left part of this sheet; this can be used to quickly check it works ! The button on the right computes all the conditions here !
</t>
        </r>
      </text>
    </comment>
    <comment ref="AB41" authorId="0" shapeId="0" xr:uid="{C09F088D-C8D7-264C-B49F-A904B921C40E}">
      <text>
        <r>
          <rPr>
            <sz val="10"/>
            <color rgb="FF000000"/>
            <rFont val="Tahoma"/>
            <family val="2"/>
          </rPr>
          <t>Calibration does the same thing as computation, but re-computes with different "size min" for each condition until a good R2 coefficient is found, or the minimal value allowed is reached.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MOUTON, William</author>
  </authors>
  <commentList>
    <comment ref="E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Tecan.At.Common, 3.9.1.0
Tecan.At.Common.DocumentManagement, 3.9.1.0
Tecan.At.Common.DocumentManagement.Reader, 3.6.1.0
Tecan.At.Common.MCS, 3.9.1.0
Tecan.At.Common.Results, 3.9.1.0
Tecan.At.Common.UI, 3.9.1.0
Tecan.At.Communication.Common, 3.9.1.0
Tecan.At.Communication.Port.IP, 3.9.1.0
Tecan.At.Communication.Port.RS232, 3.9.1.0
Tecan.At.Communication.Port.SIM.Common, 3.9.1.0
Tecan.At.Communication.Port.USB, 3.9.1.0
Tecan.At.Communication.Server, 3.9.1.0
Tecan.At.Communication.SIM.AMR, 3.6.1.0
Tecan.At.Communication.SIM.AMRPlus, 3.6.1.0
Tecan.At.Communication.SIM.Connect, 3.9.1.0
Tecan.At.Communication.SIM.GeniosUltra, 3.6.1.0
Tecan.At.Communication.SIM.Safire3, 3.6.1.0
Tecan.At.Communication.SIM.Safire3Pro, 3.6.1.0
Tecan.At.Communication.SIM.SunriseMini, 3.6.1.0
Tecan.At.Instrument.Common, 3.9.1.0
Tecan.At.Instrument.Common.GCM, 3.9.1.0
Tecan.At.Instrument.Common.Reader, 3.6.1.0
Tecan.At.Instrument.Common.Stacker, 3.9.1.0
Tecan.At.Instrument.Gas.GCM, 3.9.1.0
Tecan.At.Instrument.GCM.Server, 3.9.1.0
Tecan.At.Instrument.Reader.AMR, 3.6.1.0
Tecan.At.Instrument.Reader.AMRPlus, 3.6.1.0
Tecan.At.Instrument.Reader.GeniosUltra, 3.6.1.0
Tecan.At.Instrument.Reader.Safire3, 3.6.1.0
Tecan.At.Instrument.Reader.Safire3Pro, 3.6.1.0
Tecan.At.Instrument.Reader.SunriseMini, 3.6.1.0
Tecan.At.Instrument.Server, 3.9.1.0
Tecan.At.Instrument.Stacker.Connect, 3.9.1.0
Tecan.At.Instrument.Stacker.Server, 3.9.1.0
Tecan.At.Measurement.BuiltInTest.Common, 3.6.1.0
Tecan.At.Measurement.Common, 3.6.1.0
Tecan.At.Measurement.Server, 3.6.1.0
Tecan.At.XFluor, 2.0.10.0
Tecan.At.XFluor.Connect.Reader, 2.0.10.0
Tecan.At.XFluor.Core, 2.0.10.0
Tecan.At.XFluor.Device, 2.0.10.0
Tecan.At.XFluor.Device.AMR, 2.0.10.0
Tecan.At.XFluor.Device.AMRPlus, 2.0.10.0
Tecan.At.XFluor.Device.GeniosUltra, 2.0.10.0
Tecan.At.XFluor.Device.Reader, 2.0.10.0
Tecan.At.XFluor.Device.Safire3, 2.0.10.0
Tecan.At.XFluor.Device.Safire3Pro, 2.0.10.0
Tecan.At.XFluor.Device.SunriseMini, 2.0.10.0
Tecan.At.XFluor.ExcelOutput, 2.0.10.0
Tecan.At.XFluor.NanoQuant, 2.0.10.0
Tecan.At.XFluor.ReaderEditor, 2.0.10.0
</t>
        </r>
      </text>
    </comment>
    <comment ref="E3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EHC, V_5.26_10/17_InfiniteRX (Oct 19 2017/13.54.43)
MTP, V_5.26_10/17_InfiniteRX (Oct 19 2017/13.54.43)
HCP, V_5.26_10/17_InfiniteRX (Oct 19 2017/13.54.43)
MEM, V_3.00_09/11_MCR (Sep 27 2011/15.05.45)
MEX, V_3.00_09/11_MCR (Sep 27 2011/15.05.10)
ZSCAN, V_5.26_10/17_InfiniteRX (Oct 19 2017/13.54.43)
</t>
        </r>
      </text>
    </comment>
  </commentList>
</comments>
</file>

<file path=xl/sharedStrings.xml><?xml version="1.0" encoding="utf-8"?>
<sst xmlns="http://schemas.openxmlformats.org/spreadsheetml/2006/main" count="517" uniqueCount="297">
  <si>
    <t>Application: Tecan i-control</t>
  </si>
  <si>
    <t>Tecan i-control , 2.0.10.0</t>
  </si>
  <si>
    <t>Device: infinite 200Pro</t>
  </si>
  <si>
    <t>Serial number: 1710002559</t>
  </si>
  <si>
    <t>Serial number of connected stacker:</t>
  </si>
  <si>
    <t>Firmware: V_5.26_10/17_InfiniteRX (Oct 19 2017/13.54.43)</t>
  </si>
  <si>
    <t>MAI, V_5.26_10/17_InfiniteRX (Oct 19 2017/13.54.43)</t>
  </si>
  <si>
    <t>Date:</t>
  </si>
  <si>
    <t>Time:</t>
  </si>
  <si>
    <t>System</t>
  </si>
  <si>
    <t>CR103095</t>
  </si>
  <si>
    <t>User</t>
  </si>
  <si>
    <t>CHU-LYON\moutonwi</t>
  </si>
  <si>
    <t>Plate</t>
  </si>
  <si>
    <t>Greiner 96 Flat Bottom Transparent Polystyrene Cat. No.: 655101/655161/655192 [GRE96ft.pdfx]</t>
  </si>
  <si>
    <t>Plate-ID (Stacker)</t>
  </si>
  <si>
    <t>Wait (Plate)</t>
  </si>
  <si>
    <t>On</t>
  </si>
  <si>
    <t>Target Temperature: 37 °C</t>
  </si>
  <si>
    <t>Wait (Plate Temperature)</t>
  </si>
  <si>
    <t>Valid Range: 36.5 - 37.5 °C</t>
  </si>
  <si>
    <t>List of actions in this measurement script:</t>
  </si>
  <si>
    <t>Kinetic</t>
  </si>
  <si>
    <t>Shaking (Orbital) Duration:</t>
  </si>
  <si>
    <t>s</t>
  </si>
  <si>
    <t>Shaking (Orbital) Amplitude:</t>
  </si>
  <si>
    <t>mm</t>
  </si>
  <si>
    <t>Absorbance</t>
  </si>
  <si>
    <t>Label: Label1</t>
  </si>
  <si>
    <t>Kinetic Measurement</t>
  </si>
  <si>
    <t>Kinetic Cycles</t>
  </si>
  <si>
    <t>Interval Time</t>
  </si>
  <si>
    <t>Measurement Wavelength</t>
  </si>
  <si>
    <t>nm</t>
  </si>
  <si>
    <t>Bandwidth</t>
  </si>
  <si>
    <t>Number of Flashes</t>
  </si>
  <si>
    <t>Settle Time</t>
  </si>
  <si>
    <t>ms</t>
  </si>
  <si>
    <t>Start Time:</t>
  </si>
  <si>
    <t>Cycle Nr.</t>
  </si>
  <si>
    <t>Time [s]</t>
  </si>
  <si>
    <t>Temp. [°C]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</si>
  <si>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</si>
  <si>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</si>
  <si>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</si>
  <si>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</si>
  <si>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</si>
  <si>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</si>
  <si>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</si>
  <si>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</si>
  <si>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</si>
  <si>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</si>
  <si>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</si>
  <si>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</si>
  <si>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</si>
  <si>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</si>
  <si>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</si>
  <si>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</si>
  <si>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</si>
  <si>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</si>
  <si>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</si>
  <si>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</si>
  <si>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</si>
  <si>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</si>
  <si>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</si>
  <si>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</si>
  <si>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</si>
  <si>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</si>
  <si>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</si>
  <si>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</si>
  <si>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</si>
  <si>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</si>
  <si>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</si>
  <si>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</si>
  <si>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</si>
  <si>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</si>
  <si>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</si>
  <si>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</si>
  <si>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</si>
  <si>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</si>
  <si>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</si>
  <si>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</si>
  <si>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</si>
  <si>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</si>
  <si>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</si>
  <si>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</si>
  <si>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</si>
  <si>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</si>
  <si>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</si>
  <si>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</si>
  <si>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</si>
  <si>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</si>
  <si>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</si>
  <si>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</si>
  <si>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</si>
  <si>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</si>
  <si>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</si>
  <si>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</si>
  <si>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</si>
  <si>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</si>
  <si>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</si>
  <si>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</si>
  <si>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</si>
  <si>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</si>
  <si>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</si>
  <si>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</si>
  <si>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</si>
  <si>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</si>
  <si>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</si>
  <si>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</si>
  <si>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</si>
  <si>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</si>
  <si>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</si>
  <si>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</si>
  <si>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</si>
  <si>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</si>
  <si>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</si>
  <si>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</si>
  <si>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</si>
  <si>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</si>
  <si>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</si>
  <si>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</si>
  <si>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</si>
  <si>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</si>
  <si>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</si>
  <si>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</si>
  <si>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</si>
  <si>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</si>
  <si>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</si>
  <si>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</si>
  <si>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</si>
  <si>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</si>
  <si>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</si>
  <si>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</si>
  <si>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</si>
  <si>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</si>
  <si>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</si>
  <si>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</si>
  <si>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End Time:</t>
  </si>
  <si>
    <t>A</t>
  </si>
  <si>
    <t>B</t>
  </si>
  <si>
    <t>C</t>
  </si>
  <si>
    <t>D</t>
  </si>
  <si>
    <t>E</t>
  </si>
  <si>
    <t>F</t>
  </si>
  <si>
    <t>G</t>
  </si>
  <si>
    <t>H</t>
  </si>
  <si>
    <t>type 1</t>
  </si>
  <si>
    <t>type 2</t>
  </si>
  <si>
    <t>W1</t>
  </si>
  <si>
    <t>W2</t>
  </si>
  <si>
    <t>W3</t>
  </si>
  <si>
    <t>type 3</t>
  </si>
  <si>
    <t>W4</t>
  </si>
  <si>
    <t>type 4</t>
  </si>
  <si>
    <t>white border definition</t>
  </si>
  <si>
    <t>white inner application</t>
  </si>
  <si>
    <t>Data sheet name</t>
  </si>
  <si>
    <t>Number of cycles</t>
  </si>
  <si>
    <t>Data</t>
  </si>
  <si>
    <t>type</t>
  </si>
  <si>
    <t>nb</t>
  </si>
  <si>
    <t>average</t>
  </si>
  <si>
    <t>min</t>
  </si>
  <si>
    <t>max</t>
  </si>
  <si>
    <t>Data last line @</t>
  </si>
  <si>
    <t>std dev</t>
  </si>
  <si>
    <t>experimental plan definition</t>
  </si>
  <si>
    <t>Condition name</t>
  </si>
  <si>
    <t>C13</t>
  </si>
  <si>
    <t>C14</t>
  </si>
  <si>
    <t>C15</t>
  </si>
  <si>
    <t>ID</t>
  </si>
  <si>
    <t>general configuration</t>
  </si>
  <si>
    <t>C16</t>
  </si>
  <si>
    <t>C17</t>
  </si>
  <si>
    <t>C18</t>
  </si>
  <si>
    <t>C24</t>
  </si>
  <si>
    <t>C26</t>
  </si>
  <si>
    <t>C25</t>
  </si>
  <si>
    <t>C19</t>
  </si>
  <si>
    <t>C20</t>
  </si>
  <si>
    <t>C21</t>
  </si>
  <si>
    <t>C22</t>
  </si>
  <si>
    <t>C23</t>
  </si>
  <si>
    <t>C27</t>
  </si>
  <si>
    <t>C28</t>
  </si>
  <si>
    <t>Data first line @</t>
  </si>
  <si>
    <t>W5</t>
  </si>
  <si>
    <t>W6</t>
  </si>
  <si>
    <t>type 5</t>
  </si>
  <si>
    <t>W7</t>
  </si>
  <si>
    <t>type 6</t>
  </si>
  <si>
    <t>W8</t>
  </si>
  <si>
    <t>type 7</t>
  </si>
  <si>
    <t>type 8</t>
  </si>
  <si>
    <t>T° Mini</t>
  </si>
  <si>
    <t>T° Maxi</t>
  </si>
  <si>
    <t>Temperature ?</t>
  </si>
  <si>
    <t>NSA739std-B</t>
  </si>
  <si>
    <t>NSA739std-H10</t>
  </si>
  <si>
    <t>NSA739std-H13</t>
  </si>
  <si>
    <t>NSA739std-SH10</t>
  </si>
  <si>
    <t>NSA739std-SH13</t>
  </si>
  <si>
    <t>NSA739std-CH13</t>
  </si>
  <si>
    <t>NSA739std-CH10</t>
  </si>
  <si>
    <t>1077std-B</t>
  </si>
  <si>
    <t>1077std-H10</t>
  </si>
  <si>
    <t>1077std-H13</t>
  </si>
  <si>
    <t>1077std-SH10</t>
  </si>
  <si>
    <t>1077std-SH13</t>
  </si>
  <si>
    <t>1077std-CH10</t>
  </si>
  <si>
    <t>1077std-CH13</t>
  </si>
  <si>
    <t>7475std-B</t>
  </si>
  <si>
    <t>7475std-H10</t>
  </si>
  <si>
    <t>7475std-H13</t>
  </si>
  <si>
    <t>7475std-SH10</t>
  </si>
  <si>
    <t>7475std-SH13</t>
  </si>
  <si>
    <t>7475std-CH13</t>
  </si>
  <si>
    <t>7475std-CH10</t>
  </si>
  <si>
    <t>Cut max</t>
  </si>
  <si>
    <t>Size min</t>
  </si>
  <si>
    <t>Exp. Reg config (s)</t>
  </si>
  <si>
    <t>&lt;- ?</t>
  </si>
  <si>
    <t xml:space="preserve">search from max </t>
  </si>
  <si>
    <t>down to min</t>
  </si>
  <si>
    <t>auto-calibration :</t>
  </si>
  <si>
    <t>&lt;- ? -&gt;</t>
  </si>
  <si>
    <t>step (in s)</t>
  </si>
  <si>
    <t>Index</t>
  </si>
  <si>
    <t>X-Axis</t>
  </si>
  <si>
    <t>Condition</t>
  </si>
  <si>
    <t>Well</t>
  </si>
  <si>
    <t>T x2 (min)</t>
  </si>
  <si>
    <t>R2 of fit</t>
  </si>
  <si>
    <t>Time</t>
  </si>
  <si>
    <t>Raw B2</t>
  </si>
  <si>
    <t>Raw B3</t>
  </si>
  <si>
    <t>Raw B4</t>
  </si>
  <si>
    <t>White @ A1</t>
  </si>
  <si>
    <t>White @ A2</t>
  </si>
  <si>
    <t>White @ A3</t>
  </si>
  <si>
    <t>White @ A4</t>
  </si>
  <si>
    <t>White @ A5</t>
  </si>
  <si>
    <t>White @ A6</t>
  </si>
  <si>
    <t>White @ A7</t>
  </si>
  <si>
    <t>White @ A8</t>
  </si>
  <si>
    <t>White @ A9</t>
  </si>
  <si>
    <t>White @ A10</t>
  </si>
  <si>
    <t>White @ A11</t>
  </si>
  <si>
    <t>White @ A12</t>
  </si>
  <si>
    <t>White @ B1</t>
  </si>
  <si>
    <t>White @ B12</t>
  </si>
  <si>
    <t>White @ C1</t>
  </si>
  <si>
    <t>White @ C12</t>
  </si>
  <si>
    <t>White @ D1</t>
  </si>
  <si>
    <t>White @ D12</t>
  </si>
  <si>
    <t>White @ E1</t>
  </si>
  <si>
    <t>White @ E12</t>
  </si>
  <si>
    <t>White @ F1</t>
  </si>
  <si>
    <t>White @ F12</t>
  </si>
  <si>
    <t>White @ G1</t>
  </si>
  <si>
    <t>White @ G12</t>
  </si>
  <si>
    <t>White @ H1</t>
  </si>
  <si>
    <t>White @ H2</t>
  </si>
  <si>
    <t>White @ H3</t>
  </si>
  <si>
    <t>White @ H4</t>
  </si>
  <si>
    <t>White @ H5</t>
  </si>
  <si>
    <t>White @ H6</t>
  </si>
  <si>
    <t>White @ H7</t>
  </si>
  <si>
    <t>White @ H8</t>
  </si>
  <si>
    <t>White @ H9</t>
  </si>
  <si>
    <t>White @ H10</t>
  </si>
  <si>
    <t>White @ H11</t>
  </si>
  <si>
    <t>White @ H12</t>
  </si>
  <si>
    <t>B2 (-W1)</t>
  </si>
  <si>
    <t>B3 (-W1)</t>
  </si>
  <si>
    <t>B4 (-W1)</t>
  </si>
  <si>
    <t>B2 prog R2</t>
  </si>
  <si>
    <t>B3 prog R2</t>
  </si>
  <si>
    <t>B4 prog R2</t>
  </si>
  <si>
    <t>y = b * m^t</t>
  </si>
  <si>
    <t>m</t>
  </si>
  <si>
    <t>std err(m)</t>
  </si>
  <si>
    <t>R2</t>
  </si>
  <si>
    <t>F stat</t>
  </si>
  <si>
    <t>sum2 regress.</t>
  </si>
  <si>
    <t>b</t>
  </si>
  <si>
    <t>std err(b)</t>
  </si>
  <si>
    <t>std err(y)</t>
  </si>
  <si>
    <t>deg. freedom</t>
  </si>
  <si>
    <t>sum2 resid.</t>
  </si>
  <si>
    <t>mu</t>
  </si>
  <si>
    <t>T x2 (s)</t>
  </si>
  <si>
    <t>B2 (model)</t>
  </si>
  <si>
    <t>B3 (model)</t>
  </si>
  <si>
    <t>B4 (model)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</si>
</sst>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"/>
    <numFmt numFmtId="165" formatCode="0.0"/>
  </numFmts>
  <fonts count="25" x14ac:knownFonts="1"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2"/>
      <color rgb="FF000000"/>
      <name val="Calibri"/>
      <family val="2"/>
    </font>
    <font>
      <sz val="16"/>
      <color rgb="FF000000"/>
      <name val="Lucida Grande"/>
      <family val="2"/>
    </font>
    <font>
      <sz val="10"/>
      <color rgb="FF000000"/>
      <name val="Tahoma"/>
      <family val="2"/>
    </font>
    <font>
      <b/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4"/>
      <color rgb="FF000000"/>
      <name val="Calibri"/>
      <family val="2"/>
      <scheme val="minor"/>
    </font>
    <font>
      <b/>
      <sz val="11"/>
      <color indexed="48"/>
      <name val="Calibri"/>
      <family val="2"/>
      <scheme val="minor"/>
    </font>
    <font>
      <b/>
      <sz val="11"/>
      <color indexed="21"/>
      <name val="Calibri"/>
      <family val="2"/>
      <scheme val="minor"/>
    </font>
    <font>
      <b/>
      <sz val="11"/>
      <color indexed="53"/>
      <name val="Calibri"/>
      <family val="2"/>
      <scheme val="minor"/>
    </font>
    <font>
      <i/>
      <sz val="11"/>
      <color rgb="FF000000"/>
      <name val="Calibri"/>
      <family val="2"/>
      <scheme val="minor"/>
    </font>
    <font>
      <i/>
      <sz val="11"/>
      <color indexed="48"/>
      <name val="Calibri"/>
      <family val="2"/>
      <scheme val="minor"/>
    </font>
    <font>
      <i/>
      <sz val="11"/>
      <color indexed="21"/>
      <name val="Calibri"/>
      <family val="2"/>
      <scheme val="minor"/>
    </font>
    <font>
      <i/>
      <sz val="11"/>
      <color indexed="53"/>
      <name val="Calibri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96FF"/>
        <bgColor indexed="64"/>
      </patternFill>
    </fill>
    <fill>
      <patternFill patternType="solid">
        <fgColor rgb="FFCFEEFA"/>
        <bgColor indexed="64"/>
      </patternFill>
    </fill>
    <fill>
      <patternFill patternType="solid">
        <fgColor rgb="FF6AF5F5"/>
        <bgColor indexed="64"/>
      </patternFill>
    </fill>
    <fill>
      <patternFill patternType="solid">
        <fgColor rgb="FF2EA5F0"/>
        <bgColor indexed="64"/>
      </patternFill>
    </fill>
    <fill>
      <patternFill patternType="solid">
        <fgColor rgb="FF5147EB"/>
        <bgColor indexed="64"/>
      </patternFill>
    </fill>
    <fill>
      <patternFill patternType="solid">
        <fgColor rgb="FFB431E6"/>
        <bgColor indexed="64"/>
      </patternFill>
    </fill>
    <fill>
      <patternFill patternType="solid">
        <fgColor rgb="FFFB79E1"/>
        <bgColor indexed="64"/>
      </patternFill>
    </fill>
    <fill>
      <patternFill patternType="solid">
        <fgColor rgb="FFE5DBDC"/>
        <bgColor indexed="64"/>
      </patternFill>
    </fill>
    <fill>
      <patternFill patternType="solid">
        <fgColor rgb="FF87FED7"/>
        <bgColor indexed="64"/>
      </patternFill>
    </fill>
    <fill>
      <patternFill patternType="solid">
        <fgColor rgb="FF36C1D2"/>
        <bgColor indexed="64"/>
      </patternFill>
    </fill>
    <fill>
      <patternFill patternType="solid">
        <fgColor rgb="FF3E5DCD"/>
        <bgColor indexed="64"/>
      </patternFill>
    </fill>
    <fill>
      <patternFill patternType="solid">
        <fgColor rgb="FF962DC8"/>
        <bgColor indexed="64"/>
      </patternFill>
    </fill>
    <fill>
      <patternFill patternType="solid">
        <fgColor rgb="FFEF5EC3"/>
        <bgColor indexed="64"/>
      </patternFill>
    </fill>
    <fill>
      <patternFill patternType="solid">
        <fgColor rgb="FFF5C2BE"/>
        <bgColor indexed="64"/>
      </patternFill>
    </fill>
    <fill>
      <patternFill patternType="solid">
        <fgColor rgb="FFA4FEB9"/>
        <bgColor indexed="64"/>
      </patternFill>
    </fill>
    <fill>
      <patternFill patternType="solid">
        <fgColor rgb="FF46DAB4"/>
        <bgColor indexed="64"/>
      </patternFill>
    </fill>
    <fill>
      <patternFill patternType="solid">
        <fgColor rgb="FF3178AF"/>
        <bgColor indexed="64"/>
      </patternFill>
    </fill>
    <fill>
      <patternFill patternType="solid">
        <fgColor rgb="FF7931AA"/>
        <bgColor indexed="64"/>
      </patternFill>
    </fill>
    <fill>
      <patternFill patternType="solid">
        <fgColor rgb="FFDB47A5"/>
        <bgColor indexed="64"/>
      </patternFill>
    </fill>
    <fill>
      <patternFill patternType="solid">
        <fgColor rgb="FFFEA6A0"/>
        <bgColor indexed="64"/>
      </patternFill>
    </fill>
    <fill>
      <patternFill patternType="solid">
        <fgColor rgb="FFC1F69B"/>
        <bgColor indexed="64"/>
      </patternFill>
    </fill>
    <fill>
      <patternFill patternType="solid">
        <fgColor rgb="FF5CEE96"/>
        <bgColor indexed="64"/>
      </patternFill>
    </fill>
    <fill>
      <patternFill patternType="solid">
        <fgColor rgb="FF2D9591"/>
        <bgColor indexed="64"/>
      </patternFill>
    </fill>
    <fill>
      <patternFill patternType="solid">
        <fgColor rgb="FF5E3D8C"/>
        <bgColor indexed="64"/>
      </patternFill>
    </fill>
    <fill>
      <patternFill patternType="solid">
        <fgColor rgb="FFC33787"/>
        <bgColor indexed="64"/>
      </patternFill>
    </fill>
    <fill>
      <patternFill patternType="solid">
        <fgColor rgb="FFFE8882"/>
        <bgColor indexed="64"/>
      </patternFill>
    </fill>
    <fill>
      <patternFill patternType="solid">
        <fgColor rgb="FFDAE67D"/>
        <bgColor indexed="64"/>
      </patternFill>
    </fill>
    <fill>
      <patternFill patternType="solid">
        <fgColor rgb="FF77FA78"/>
        <bgColor indexed="64"/>
      </patternFill>
    </fill>
    <fill>
      <patternFill patternType="solid">
        <fgColor rgb="FFFDE9D9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DB4E2"/>
        <bgColor rgb="FF000000"/>
      </patternFill>
    </fill>
    <fill>
      <patternFill patternType="solid">
        <fgColor rgb="FFCCC0DA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6" tint="0.39997558519241921"/>
        <bgColor rgb="FF000000"/>
      </patternFill>
    </fill>
    <fill>
      <patternFill patternType="solid">
        <fgColor theme="2" tint="-0.499984740745262"/>
        <bgColor rgb="FF000000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rgb="FFADFF2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87FED7"/>
        <bgColor rgb="FF000000"/>
      </patternFill>
    </fill>
    <fill>
      <patternFill patternType="solid">
        <fgColor rgb="FF36C1D2"/>
        <bgColor rgb="FF000000"/>
      </patternFill>
    </fill>
    <fill>
      <patternFill patternType="solid">
        <fgColor rgb="FF3E5DCD"/>
        <bgColor rgb="FF000000"/>
      </patternFill>
    </fill>
    <fill>
      <patternFill patternType="solid">
        <fgColor rgb="FFE4DFEC"/>
        <bgColor rgb="FF000000"/>
      </patternFill>
    </fill>
    <fill>
      <patternFill patternType="solid">
        <fgColor rgb="FFF2DCDB"/>
        <bgColor rgb="FF000000"/>
      </patternFill>
    </fill>
    <fill>
      <patternFill patternType="solid">
        <fgColor indexed="31"/>
        <bgColor indexed="64"/>
      </patternFill>
    </fill>
    <fill>
      <patternFill patternType="solid">
        <fgColor indexed="50"/>
        <bgColor indexed="64"/>
      </patternFill>
    </fill>
  </fills>
  <borders count="37">
    <border>
      <left/>
      <right/>
      <top/>
      <bottom/>
      <diagonal/>
    </border>
    <border>
      <left/>
      <right style="thin">
        <color theme="9" tint="0.59999389629810485"/>
      </right>
      <top/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/>
      <diagonal/>
    </border>
    <border>
      <left style="thin">
        <color theme="9" tint="0.59999389629810485"/>
      </left>
      <right/>
      <top/>
      <bottom style="thin">
        <color theme="9" tint="0.79998168889431442"/>
      </bottom>
      <diagonal/>
    </border>
    <border>
      <left/>
      <right/>
      <top/>
      <bottom style="thin">
        <color theme="9" tint="0.59999389629810485"/>
      </bottom>
      <diagonal/>
    </border>
    <border>
      <left/>
      <right/>
      <top/>
      <bottom style="thin">
        <color theme="9" tint="0.79998168889431442"/>
      </bottom>
      <diagonal/>
    </border>
    <border>
      <left/>
      <right/>
      <top style="thin">
        <color theme="9" tint="0.79998168889431442"/>
      </top>
      <bottom/>
      <diagonal/>
    </border>
    <border>
      <left/>
      <right/>
      <top style="thin">
        <color theme="9" tint="0.79998168889431442"/>
      </top>
      <bottom style="thin">
        <color theme="9" tint="0.7999816888943144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/>
    </border>
    <border>
      <left style="thin">
        <color rgb="FFCCC0DA"/>
      </left>
      <right style="thin">
        <color rgb="FFCCC0DA"/>
      </right>
      <top style="thin">
        <color rgb="FFCCC0DA"/>
      </top>
      <bottom style="thin">
        <color rgb="FFCCC0DA"/>
      </bottom>
      <diagonal/>
    </border>
    <border>
      <left/>
      <right style="thin">
        <color rgb="FFCCC0DA"/>
      </right>
      <top style="thin">
        <color rgb="FFCCC0DA"/>
      </top>
      <bottom style="thin">
        <color rgb="FFCCC0DA"/>
      </bottom>
      <diagonal/>
    </border>
    <border>
      <left/>
      <right style="thin">
        <color rgb="FFFCD5B4"/>
      </right>
      <top style="thin">
        <color rgb="FFFCD5B4"/>
      </top>
      <bottom/>
      <diagonal/>
    </border>
    <border>
      <left/>
      <right/>
      <top/>
      <bottom style="medium">
        <color rgb="FF808080"/>
      </bottom>
      <diagonal/>
    </border>
    <border>
      <left style="thin">
        <color rgb="FFD8E4BC"/>
      </left>
      <right style="thin">
        <color rgb="FFD8E4BC"/>
      </right>
      <top style="thin">
        <color rgb="FFD8E4BC"/>
      </top>
      <bottom style="thin">
        <color rgb="FFD8E4BC"/>
      </bottom>
      <diagonal/>
    </border>
    <border>
      <left/>
      <right style="thin">
        <color rgb="FFFCD5B4"/>
      </right>
      <top style="thin">
        <color rgb="FFFCD5B4"/>
      </top>
      <bottom style="thin">
        <color rgb="FFFCD5B4"/>
      </bottom>
      <diagonal/>
    </border>
    <border>
      <left/>
      <right style="thin">
        <color rgb="FFFCD5B4"/>
      </right>
      <top/>
      <bottom style="thin">
        <color rgb="FFFCD5B4"/>
      </bottom>
      <diagonal/>
    </border>
    <border>
      <left style="thin">
        <color rgb="FFE6B8B7"/>
      </left>
      <right style="thin">
        <color rgb="FFE6B8B7"/>
      </right>
      <top style="thin">
        <color rgb="FFE6B8B7"/>
      </top>
      <bottom style="thin">
        <color rgb="FFE6B8B7"/>
      </bottom>
      <diagonal/>
    </border>
    <border>
      <left/>
      <right style="thin">
        <color rgb="FFE6B8B7"/>
      </right>
      <top style="thin">
        <color rgb="FFE6B8B7"/>
      </top>
      <bottom style="thin">
        <color rgb="FFE6B8B7"/>
      </bottom>
      <diagonal/>
    </border>
    <border>
      <left/>
      <right style="thin">
        <color rgb="FFFCD5B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00">
    <xf numFmtId="0" fontId="0" fillId="0" borderId="0"/>
    <xf numFmtId="0" fontId="1" fillId="2" borderId="0"/>
    <xf numFmtId="0" fontId="2" fillId="3" borderId="0"/>
    <xf numFmtId="0" fontId="2" fillId="4" borderId="0"/>
    <xf numFmtId="0" fontId="2" fillId="5" borderId="0"/>
    <xf numFmtId="0" fontId="2" fillId="6" borderId="0"/>
    <xf numFmtId="0" fontId="2" fillId="7" borderId="0"/>
    <xf numFmtId="0" fontId="2" fillId="8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79">
    <xf numFmtId="0" fontId="0" fillId="0" borderId="0" xfId="0"/>
    <xf numFmtId="0" fontId="1" fillId="9" borderId="0" xfId="0" applyFont="1" applyFill="1"/>
    <xf numFmtId="0" fontId="0" fillId="0" borderId="0" xfId="0" applyAlignment="1">
      <alignment horizontal="center"/>
    </xf>
    <xf numFmtId="0" fontId="5" fillId="11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0" fillId="12" borderId="0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7" fillId="10" borderId="0" xfId="0" applyFont="1" applyFill="1" applyBorder="1" applyAlignment="1">
      <alignment horizontal="center"/>
    </xf>
    <xf numFmtId="0" fontId="0" fillId="17" borderId="0" xfId="0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0" fillId="12" borderId="9" xfId="0" applyFill="1" applyBorder="1" applyAlignment="1"/>
    <xf numFmtId="0" fontId="0" fillId="12" borderId="10" xfId="0" applyFill="1" applyBorder="1" applyAlignment="1"/>
    <xf numFmtId="0" fontId="0" fillId="12" borderId="11" xfId="0" applyFill="1" applyBorder="1" applyAlignment="1"/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9" xfId="0" applyFill="1" applyBorder="1" applyAlignment="1"/>
    <xf numFmtId="0" fontId="0" fillId="13" borderId="10" xfId="0" applyFill="1" applyBorder="1" applyAlignment="1"/>
    <xf numFmtId="0" fontId="0" fillId="13" borderId="11" xfId="0" applyFill="1" applyBorder="1" applyAlignment="1"/>
    <xf numFmtId="0" fontId="0" fillId="17" borderId="9" xfId="0" applyFill="1" applyBorder="1" applyAlignment="1"/>
    <xf numFmtId="0" fontId="0" fillId="17" borderId="10" xfId="0" applyFill="1" applyBorder="1" applyAlignment="1"/>
    <xf numFmtId="0" fontId="0" fillId="17" borderId="11" xfId="0" applyFill="1" applyBorder="1" applyAlignment="1"/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17" borderId="16" xfId="0" applyFill="1" applyBorder="1" applyAlignment="1">
      <alignment horizontal="center"/>
    </xf>
    <xf numFmtId="0" fontId="0" fillId="17" borderId="17" xfId="0" applyFill="1" applyBorder="1" applyAlignment="1">
      <alignment horizontal="center"/>
    </xf>
    <xf numFmtId="0" fontId="0" fillId="17" borderId="18" xfId="0" applyFill="1" applyBorder="1" applyAlignment="1">
      <alignment horizontal="center"/>
    </xf>
    <xf numFmtId="0" fontId="0" fillId="17" borderId="19" xfId="0" applyFill="1" applyBorder="1" applyAlignment="1">
      <alignment horizontal="center"/>
    </xf>
    <xf numFmtId="0" fontId="0" fillId="10" borderId="12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16" xfId="0" applyFill="1" applyBorder="1" applyAlignment="1">
      <alignment horizontal="center"/>
    </xf>
    <xf numFmtId="0" fontId="2" fillId="16" borderId="15" xfId="0" applyFont="1" applyFill="1" applyBorder="1" applyAlignment="1">
      <alignment horizontal="center"/>
    </xf>
    <xf numFmtId="0" fontId="2" fillId="16" borderId="16" xfId="0" applyFont="1" applyFill="1" applyBorder="1" applyAlignment="1">
      <alignment horizontal="center"/>
    </xf>
    <xf numFmtId="0" fontId="0" fillId="10" borderId="17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15" borderId="20" xfId="0" applyFill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10" borderId="9" xfId="0" applyFill="1" applyBorder="1" applyAlignment="1"/>
    <xf numFmtId="0" fontId="0" fillId="10" borderId="10" xfId="0" applyFill="1" applyBorder="1" applyAlignment="1"/>
    <xf numFmtId="0" fontId="0" fillId="10" borderId="11" xfId="0" applyFill="1" applyBorder="1" applyAlignment="1"/>
    <xf numFmtId="0" fontId="0" fillId="8" borderId="22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0" fillId="19" borderId="4" xfId="0" applyFill="1" applyBorder="1" applyAlignment="1">
      <alignment horizontal="center"/>
    </xf>
    <xf numFmtId="0" fontId="0" fillId="20" borderId="4" xfId="0" applyFill="1" applyBorder="1" applyAlignment="1">
      <alignment horizontal="center"/>
    </xf>
    <xf numFmtId="0" fontId="0" fillId="21" borderId="4" xfId="0" applyFill="1" applyBorder="1" applyAlignment="1">
      <alignment horizontal="center"/>
    </xf>
    <xf numFmtId="0" fontId="0" fillId="22" borderId="4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6" borderId="4" xfId="0" applyFill="1" applyBorder="1" applyAlignment="1">
      <alignment horizontal="center"/>
    </xf>
    <xf numFmtId="0" fontId="0" fillId="27" borderId="4" xfId="0" applyFill="1" applyBorder="1" applyAlignment="1">
      <alignment horizontal="center"/>
    </xf>
    <xf numFmtId="0" fontId="0" fillId="28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0" fillId="30" borderId="4" xfId="0" applyFill="1" applyBorder="1" applyAlignment="1">
      <alignment horizontal="center"/>
    </xf>
    <xf numFmtId="0" fontId="0" fillId="31" borderId="4" xfId="0" applyFill="1" applyBorder="1" applyAlignment="1">
      <alignment horizontal="center"/>
    </xf>
    <xf numFmtId="0" fontId="0" fillId="32" borderId="4" xfId="0" applyFill="1" applyBorder="1" applyAlignment="1">
      <alignment horizontal="center"/>
    </xf>
    <xf numFmtId="0" fontId="0" fillId="33" borderId="4" xfId="0" applyFill="1" applyBorder="1" applyAlignment="1">
      <alignment horizontal="center"/>
    </xf>
    <xf numFmtId="0" fontId="0" fillId="34" borderId="4" xfId="0" applyFill="1" applyBorder="1" applyAlignment="1">
      <alignment horizontal="center"/>
    </xf>
    <xf numFmtId="0" fontId="0" fillId="35" borderId="4" xfId="0" applyFill="1" applyBorder="1" applyAlignment="1">
      <alignment horizontal="center"/>
    </xf>
    <xf numFmtId="0" fontId="0" fillId="36" borderId="4" xfId="0" applyFill="1" applyBorder="1" applyAlignment="1">
      <alignment horizontal="center"/>
    </xf>
    <xf numFmtId="0" fontId="0" fillId="37" borderId="4" xfId="0" applyFill="1" applyBorder="1" applyAlignment="1">
      <alignment horizontal="center"/>
    </xf>
    <xf numFmtId="0" fontId="0" fillId="38" borderId="4" xfId="0" applyFill="1" applyBorder="1" applyAlignment="1">
      <alignment horizontal="center"/>
    </xf>
    <xf numFmtId="0" fontId="0" fillId="39" borderId="4" xfId="0" applyFill="1" applyBorder="1" applyAlignment="1">
      <alignment horizontal="center"/>
    </xf>
    <xf numFmtId="0" fontId="0" fillId="40" borderId="4" xfId="0" applyFill="1" applyBorder="1" applyAlignment="1">
      <alignment horizontal="center"/>
    </xf>
    <xf numFmtId="0" fontId="0" fillId="41" borderId="4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0" fontId="0" fillId="44" borderId="4" xfId="0" applyFill="1" applyBorder="1" applyAlignment="1">
      <alignment horizontal="center"/>
    </xf>
    <xf numFmtId="0" fontId="0" fillId="45" borderId="4" xfId="0" applyFill="1" applyBorder="1" applyAlignment="1">
      <alignment horizontal="center"/>
    </xf>
    <xf numFmtId="0" fontId="0" fillId="19" borderId="22" xfId="0" applyFill="1" applyBorder="1" applyAlignment="1">
      <alignment horizontal="center"/>
    </xf>
    <xf numFmtId="0" fontId="0" fillId="20" borderId="22" xfId="0" applyFill="1" applyBorder="1" applyAlignment="1">
      <alignment horizontal="center"/>
    </xf>
    <xf numFmtId="0" fontId="0" fillId="21" borderId="22" xfId="0" applyFill="1" applyBorder="1" applyAlignment="1">
      <alignment horizontal="center"/>
    </xf>
    <xf numFmtId="0" fontId="0" fillId="22" borderId="22" xfId="0" applyFill="1" applyBorder="1" applyAlignment="1">
      <alignment horizontal="center"/>
    </xf>
    <xf numFmtId="0" fontId="0" fillId="23" borderId="22" xfId="0" applyFill="1" applyBorder="1" applyAlignment="1">
      <alignment horizontal="center"/>
    </xf>
    <xf numFmtId="0" fontId="0" fillId="24" borderId="22" xfId="0" applyFill="1" applyBorder="1" applyAlignment="1">
      <alignment horizontal="center"/>
    </xf>
    <xf numFmtId="0" fontId="0" fillId="25" borderId="22" xfId="0" applyFill="1" applyBorder="1" applyAlignment="1">
      <alignment horizontal="center"/>
    </xf>
    <xf numFmtId="0" fontId="0" fillId="29" borderId="22" xfId="0" applyFill="1" applyBorder="1" applyAlignment="1">
      <alignment horizontal="center"/>
    </xf>
    <xf numFmtId="0" fontId="0" fillId="30" borderId="22" xfId="0" applyFill="1" applyBorder="1" applyAlignment="1">
      <alignment horizontal="center"/>
    </xf>
    <xf numFmtId="0" fontId="0" fillId="32" borderId="22" xfId="0" applyFill="1" applyBorder="1" applyAlignment="1">
      <alignment horizontal="center"/>
    </xf>
    <xf numFmtId="0" fontId="2" fillId="16" borderId="26" xfId="0" applyFont="1" applyFill="1" applyBorder="1" applyAlignment="1">
      <alignment horizontal="center"/>
    </xf>
    <xf numFmtId="164" fontId="7" fillId="0" borderId="20" xfId="0" applyNumberFormat="1" applyFont="1" applyBorder="1" applyAlignment="1"/>
    <xf numFmtId="164" fontId="0" fillId="0" borderId="20" xfId="0" applyNumberFormat="1" applyFont="1" applyBorder="1" applyAlignment="1"/>
    <xf numFmtId="164" fontId="0" fillId="0" borderId="20" xfId="0" applyNumberFormat="1" applyBorder="1" applyAlignment="1"/>
    <xf numFmtId="0" fontId="0" fillId="11" borderId="0" xfId="0" applyFill="1"/>
    <xf numFmtId="0" fontId="10" fillId="16" borderId="0" xfId="0" applyFont="1" applyFill="1" applyAlignment="1">
      <alignment horizontal="center"/>
    </xf>
    <xf numFmtId="0" fontId="2" fillId="47" borderId="0" xfId="0" applyFont="1" applyFill="1" applyBorder="1" applyAlignment="1">
      <alignment horizontal="center"/>
    </xf>
    <xf numFmtId="0" fontId="7" fillId="10" borderId="0" xfId="0" applyFont="1" applyFill="1" applyBorder="1" applyAlignment="1">
      <alignment horizontal="right" vertical="center"/>
    </xf>
    <xf numFmtId="0" fontId="0" fillId="10" borderId="8" xfId="0" applyFill="1" applyBorder="1" applyAlignment="1">
      <alignment horizontal="right" vertical="center"/>
    </xf>
    <xf numFmtId="0" fontId="0" fillId="10" borderId="7" xfId="0" applyFill="1" applyBorder="1" applyAlignment="1">
      <alignment horizontal="right" vertical="center"/>
    </xf>
    <xf numFmtId="0" fontId="2" fillId="16" borderId="0" xfId="0" applyFont="1" applyFill="1" applyAlignment="1">
      <alignment horizontal="right" vertical="center"/>
    </xf>
    <xf numFmtId="0" fontId="0" fillId="10" borderId="0" xfId="0" applyFill="1" applyBorder="1" applyAlignment="1">
      <alignment horizontal="right" vertical="center"/>
    </xf>
    <xf numFmtId="0" fontId="2" fillId="16" borderId="0" xfId="0" applyFont="1" applyFill="1" applyBorder="1" applyAlignment="1">
      <alignment horizontal="right" vertical="center"/>
    </xf>
    <xf numFmtId="0" fontId="0" fillId="14" borderId="0" xfId="0" applyFont="1" applyFill="1" applyBorder="1" applyAlignment="1">
      <alignment horizontal="center"/>
    </xf>
    <xf numFmtId="0" fontId="2" fillId="48" borderId="23" xfId="0" applyFont="1" applyFill="1" applyBorder="1" applyAlignment="1">
      <alignment horizontal="center"/>
    </xf>
    <xf numFmtId="0" fontId="2" fillId="48" borderId="24" xfId="0" applyFont="1" applyFill="1" applyBorder="1" applyAlignment="1">
      <alignment horizontal="center"/>
    </xf>
    <xf numFmtId="0" fontId="10" fillId="48" borderId="24" xfId="0" applyFont="1" applyFill="1" applyBorder="1" applyAlignment="1">
      <alignment horizontal="center" vertical="center"/>
    </xf>
    <xf numFmtId="0" fontId="2" fillId="48" borderId="24" xfId="0" applyFont="1" applyFill="1" applyBorder="1" applyAlignment="1">
      <alignment horizontal="center" vertical="center"/>
    </xf>
    <xf numFmtId="0" fontId="1" fillId="49" borderId="23" xfId="0" applyFont="1" applyFill="1" applyBorder="1" applyAlignment="1">
      <alignment horizontal="center"/>
    </xf>
    <xf numFmtId="0" fontId="11" fillId="16" borderId="23" xfId="0" applyFont="1" applyFill="1" applyBorder="1" applyAlignment="1">
      <alignment horizontal="center"/>
    </xf>
    <xf numFmtId="0" fontId="11" fillId="50" borderId="23" xfId="0" applyFont="1" applyFill="1" applyBorder="1" applyAlignment="1">
      <alignment horizontal="center"/>
    </xf>
    <xf numFmtId="0" fontId="11" fillId="51" borderId="23" xfId="0" applyFont="1" applyFill="1" applyBorder="1" applyAlignment="1">
      <alignment horizontal="center"/>
    </xf>
    <xf numFmtId="0" fontId="11" fillId="52" borderId="23" xfId="0" applyFont="1" applyFill="1" applyBorder="1" applyAlignment="1">
      <alignment horizontal="center"/>
    </xf>
    <xf numFmtId="0" fontId="11" fillId="53" borderId="23" xfId="0" applyFont="1" applyFill="1" applyBorder="1" applyAlignment="1">
      <alignment horizontal="center"/>
    </xf>
    <xf numFmtId="0" fontId="11" fillId="54" borderId="23" xfId="0" applyFont="1" applyFill="1" applyBorder="1" applyAlignment="1">
      <alignment horizontal="center"/>
    </xf>
    <xf numFmtId="0" fontId="11" fillId="55" borderId="23" xfId="0" applyFont="1" applyFill="1" applyBorder="1" applyAlignment="1">
      <alignment horizontal="center"/>
    </xf>
    <xf numFmtId="0" fontId="0" fillId="14" borderId="1" xfId="0" applyFont="1" applyFill="1" applyBorder="1" applyAlignment="1">
      <alignment horizontal="center"/>
    </xf>
    <xf numFmtId="0" fontId="0" fillId="14" borderId="2" xfId="0" applyFont="1" applyFill="1" applyBorder="1" applyAlignment="1">
      <alignment horizontal="center"/>
    </xf>
    <xf numFmtId="0" fontId="0" fillId="14" borderId="3" xfId="0" applyFont="1" applyFill="1" applyBorder="1" applyAlignment="1">
      <alignment horizontal="center"/>
    </xf>
    <xf numFmtId="0" fontId="2" fillId="46" borderId="25" xfId="0" applyFont="1" applyFill="1" applyBorder="1" applyAlignment="1">
      <alignment horizontal="center"/>
    </xf>
    <xf numFmtId="0" fontId="0" fillId="31" borderId="22" xfId="0" applyFill="1" applyBorder="1" applyAlignment="1">
      <alignment horizontal="center"/>
    </xf>
    <xf numFmtId="0" fontId="2" fillId="0" borderId="0" xfId="0" applyFont="1"/>
    <xf numFmtId="14" fontId="2" fillId="0" borderId="0" xfId="0" applyNumberFormat="1" applyFont="1"/>
    <xf numFmtId="0" fontId="2" fillId="0" borderId="0" xfId="0" applyNumberFormat="1" applyFont="1"/>
    <xf numFmtId="0" fontId="2" fillId="56" borderId="0" xfId="0" applyFont="1" applyFill="1"/>
    <xf numFmtId="21" fontId="2" fillId="0" borderId="0" xfId="0" applyNumberFormat="1" applyFont="1"/>
    <xf numFmtId="0" fontId="1" fillId="57" borderId="0" xfId="0" applyFont="1" applyFill="1"/>
    <xf numFmtId="0" fontId="1" fillId="49" borderId="27" xfId="0" applyFont="1" applyFill="1" applyBorder="1" applyAlignment="1">
      <alignment horizontal="center"/>
    </xf>
    <xf numFmtId="0" fontId="2" fillId="46" borderId="28" xfId="0" applyFont="1" applyFill="1" applyBorder="1" applyAlignment="1">
      <alignment horizontal="center"/>
    </xf>
    <xf numFmtId="0" fontId="2" fillId="46" borderId="29" xfId="0" applyFont="1" applyFill="1" applyBorder="1" applyAlignment="1">
      <alignment horizontal="center"/>
    </xf>
    <xf numFmtId="0" fontId="2" fillId="58" borderId="30" xfId="0" applyFont="1" applyFill="1" applyBorder="1" applyAlignment="1">
      <alignment horizontal="center"/>
    </xf>
    <xf numFmtId="0" fontId="2" fillId="58" borderId="31" xfId="0" applyFont="1" applyFill="1" applyBorder="1" applyAlignment="1">
      <alignment horizontal="center"/>
    </xf>
    <xf numFmtId="0" fontId="2" fillId="59" borderId="30" xfId="0" applyFont="1" applyFill="1" applyBorder="1" applyAlignment="1">
      <alignment horizontal="center"/>
    </xf>
    <xf numFmtId="0" fontId="2" fillId="59" borderId="31" xfId="0" applyFont="1" applyFill="1" applyBorder="1" applyAlignment="1">
      <alignment horizontal="center"/>
    </xf>
    <xf numFmtId="0" fontId="2" fillId="60" borderId="30" xfId="0" applyFont="1" applyFill="1" applyBorder="1" applyAlignment="1">
      <alignment horizontal="center"/>
    </xf>
    <xf numFmtId="0" fontId="2" fillId="60" borderId="31" xfId="0" applyFont="1" applyFill="1" applyBorder="1" applyAlignment="1">
      <alignment horizontal="center"/>
    </xf>
    <xf numFmtId="0" fontId="0" fillId="33" borderId="22" xfId="0" applyFill="1" applyBorder="1" applyAlignment="1">
      <alignment horizontal="center"/>
    </xf>
    <xf numFmtId="0" fontId="0" fillId="34" borderId="22" xfId="0" applyFill="1" applyBorder="1" applyAlignment="1">
      <alignment horizontal="center"/>
    </xf>
    <xf numFmtId="0" fontId="0" fillId="35" borderId="22" xfId="0" applyFill="1" applyBorder="1" applyAlignment="1">
      <alignment horizontal="center"/>
    </xf>
    <xf numFmtId="0" fontId="0" fillId="36" borderId="22" xfId="0" applyFill="1" applyBorder="1" applyAlignment="1">
      <alignment horizontal="center"/>
    </xf>
    <xf numFmtId="0" fontId="0" fillId="37" borderId="22" xfId="0" applyFill="1" applyBorder="1" applyAlignment="1">
      <alignment horizontal="center"/>
    </xf>
    <xf numFmtId="0" fontId="0" fillId="38" borderId="22" xfId="0" applyFill="1" applyBorder="1" applyAlignment="1">
      <alignment horizontal="center"/>
    </xf>
    <xf numFmtId="0" fontId="2" fillId="61" borderId="0" xfId="0" applyFont="1" applyFill="1" applyAlignment="1">
      <alignment horizontal="center"/>
    </xf>
    <xf numFmtId="0" fontId="0" fillId="14" borderId="6" xfId="0" applyFill="1" applyBorder="1" applyAlignment="1">
      <alignment horizontal="center"/>
    </xf>
    <xf numFmtId="165" fontId="2" fillId="0" borderId="0" xfId="0" applyNumberFormat="1" applyFont="1"/>
    <xf numFmtId="0" fontId="2" fillId="46" borderId="32" xfId="0" applyFont="1" applyFill="1" applyBorder="1" applyAlignment="1">
      <alignment horizontal="center"/>
    </xf>
    <xf numFmtId="0" fontId="10" fillId="16" borderId="35" xfId="0" applyFont="1" applyFill="1" applyBorder="1" applyAlignment="1">
      <alignment horizontal="center"/>
    </xf>
    <xf numFmtId="0" fontId="10" fillId="16" borderId="36" xfId="0" applyFont="1" applyFill="1" applyBorder="1" applyAlignment="1">
      <alignment horizontal="center"/>
    </xf>
    <xf numFmtId="0" fontId="2" fillId="16" borderId="0" xfId="0" applyFont="1" applyFill="1" applyAlignment="1"/>
    <xf numFmtId="0" fontId="2" fillId="47" borderId="0" xfId="0" applyFont="1" applyFill="1" applyAlignment="1"/>
    <xf numFmtId="0" fontId="2" fillId="46" borderId="0" xfId="0" applyFont="1" applyFill="1"/>
    <xf numFmtId="0" fontId="7" fillId="0" borderId="0" xfId="0" applyFont="1"/>
    <xf numFmtId="0" fontId="18" fillId="0" borderId="0" xfId="0" applyFont="1"/>
    <xf numFmtId="0" fontId="19" fillId="0" borderId="0" xfId="0" applyFont="1"/>
    <xf numFmtId="0" fontId="20" fillId="0" borderId="0" xfId="0" applyFont="1"/>
    <xf numFmtId="0" fontId="8" fillId="0" borderId="0" xfId="0" applyFont="1"/>
    <xf numFmtId="0" fontId="21" fillId="0" borderId="0" xfId="0" applyFont="1"/>
    <xf numFmtId="0" fontId="0" fillId="63" borderId="0" xfId="0" applyFill="1"/>
    <xf numFmtId="0" fontId="7" fillId="63" borderId="0" xfId="0" applyFont="1" applyFill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0" fillId="64" borderId="0" xfId="0" applyFill="1"/>
    <xf numFmtId="0" fontId="10" fillId="16" borderId="0" xfId="0" applyFont="1" applyFill="1" applyAlignment="1">
      <alignment horizontal="right"/>
    </xf>
    <xf numFmtId="0" fontId="17" fillId="62" borderId="0" xfId="0" applyFont="1" applyFill="1" applyAlignment="1">
      <alignment horizontal="center" vertical="center"/>
    </xf>
    <xf numFmtId="0" fontId="0" fillId="10" borderId="33" xfId="0" applyFont="1" applyFill="1" applyBorder="1" applyAlignment="1">
      <alignment horizontal="center"/>
    </xf>
    <xf numFmtId="0" fontId="0" fillId="10" borderId="34" xfId="0" applyFont="1" applyFill="1" applyBorder="1" applyAlignment="1">
      <alignment horizontal="center"/>
    </xf>
    <xf numFmtId="0" fontId="15" fillId="17" borderId="0" xfId="0" applyFont="1" applyFill="1" applyBorder="1" applyAlignment="1">
      <alignment horizontal="center" vertical="center"/>
    </xf>
    <xf numFmtId="0" fontId="2" fillId="16" borderId="0" xfId="0" applyFont="1" applyFill="1" applyAlignment="1">
      <alignment horizontal="right"/>
    </xf>
  </cellXfs>
  <cellStyles count="300"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Normal" xfId="0" builtinId="0"/>
    <cellStyle name="Tecan.At.Excel.Attenuation" xfId="6" xr:uid="{00000000-0005-0000-0000-000025010000}"/>
    <cellStyle name="Tecan.At.Excel.AutoGain_0" xfId="7" xr:uid="{00000000-0005-0000-0000-000026010000}"/>
    <cellStyle name="Tecan.At.Excel.Error" xfId="1" xr:uid="{00000000-0005-0000-0000-000027010000}"/>
    <cellStyle name="Tecan.At.Excel.GFactorAndMeasurementBlank" xfId="5" xr:uid="{00000000-0005-0000-0000-000028010000}"/>
    <cellStyle name="Tecan.At.Excel.GFactorBlank" xfId="3" xr:uid="{00000000-0005-0000-0000-000029010000}"/>
    <cellStyle name="Tecan.At.Excel.GFactorReference" xfId="4" xr:uid="{00000000-0005-0000-0000-00002A010000}"/>
    <cellStyle name="Tecan.At.Excel.MeasurementBlank" xfId="2" xr:uid="{00000000-0005-0000-0000-00002B010000}"/>
  </cellStyles>
  <dxfs count="21"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BCD1E7"/>
      <color rgb="FFD795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</c:marker>
          <c:dLbls>
            <c:dLbl>
              <c:idx val="0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NSA739std-B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7F9-714E-BB54-9EA82B3C1A60}"/>
                </c:ext>
              </c:extLst>
            </c:dLbl>
            <c:dLbl>
              <c:idx val="1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NSA739std-B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F9-714E-BB54-9EA82B3C1A60}"/>
                </c:ext>
              </c:extLst>
            </c:dLbl>
            <c:dLbl>
              <c:idx val="2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NSA739std-B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F9-714E-BB54-9EA82B3C1A6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Results!$A$2:$A$4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xVal>
          <c:yVal>
            <c:numRef>
              <c:f>Results!$B$2:$B$4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7F9-714E-BB54-9EA82B3C1A60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50B4FF"/>
              </a:solidFill>
              <a:ln>
                <a:solidFill>
                  <a:srgbClr val="50B4FF"/>
                </a:solidFill>
                <a:prstDash val="solid"/>
              </a:ln>
            </c:spPr>
          </c:marker>
          <c:xVal>
            <c:numRef>
              <c:f>Results!$A$2:$A$4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xVal>
          <c:yVal>
            <c:numRef>
              <c:f>Results!$E$2:$E$4</c:f>
              <c:numCache>
                <c:formatCode>General</c:formatCode>
                <c:ptCount val="3"/>
                <c:pt idx="0">
                  <c:v>29.9</c:v>
                </c:pt>
                <c:pt idx="1">
                  <c:v>29.5</c:v>
                </c:pt>
                <c:pt idx="2">
                  <c:v>31.6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7F9-714E-BB54-9EA82B3C1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916207"/>
        <c:axId val="1773016431"/>
      </c:scatterChart>
      <c:valAx>
        <c:axId val="1245916207"/>
        <c:scaling>
          <c:orientation val="minMax"/>
        </c:scaling>
        <c:delete val="0"/>
        <c:axPos val="b"/>
        <c:majorGridlines>
          <c:spPr>
            <a:ln w="12700">
              <a:solidFill>
                <a:srgbClr val="B4B4B4"/>
              </a:solidFill>
              <a:prstDash val="sysDash"/>
            </a:ln>
          </c:spPr>
        </c:majorGridlines>
        <c:numFmt formatCode="General" sourceLinked="1"/>
        <c:majorTickMark val="none"/>
        <c:minorTickMark val="none"/>
        <c:tickLblPos val="none"/>
        <c:spPr>
          <a:ln w="9525">
            <a:noFill/>
          </a:ln>
        </c:spPr>
        <c:crossAx val="1773016431"/>
        <c:crosses val="autoZero"/>
        <c:crossBetween val="midCat"/>
        <c:majorUnit val="1"/>
      </c:valAx>
      <c:valAx>
        <c:axId val="177301643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5916207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B2 (-W1)</c:v>
          </c:tx>
          <c:spPr>
            <a:ln w="28575">
              <a:noFill/>
            </a:ln>
          </c:spPr>
          <c:marker>
            <c:spPr>
              <a:solidFill>
                <a:srgbClr val="3366FF"/>
              </a:solidFill>
              <a:ln>
                <a:solidFill>
                  <a:srgbClr val="3366FF"/>
                </a:solidFill>
                <a:prstDash val="solid"/>
              </a:ln>
            </c:spPr>
          </c:marker>
          <c:xVal>
            <c:numRef>
              <c:f>'NSA739std-B'!$B$54:$AG$54</c:f>
              <c:numCache>
                <c:formatCode>General</c:formatCode>
                <c:ptCount val="32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13501.6</c:v>
                </c:pt>
                <c:pt idx="16">
                  <c:v>14401.7</c:v>
                </c:pt>
                <c:pt idx="17">
                  <c:v>15301.8</c:v>
                </c:pt>
                <c:pt idx="18">
                  <c:v>16201.9</c:v>
                </c:pt>
                <c:pt idx="19">
                  <c:v>17102</c:v>
                </c:pt>
                <c:pt idx="20">
                  <c:v>18002.099999999999</c:v>
                </c:pt>
                <c:pt idx="21">
                  <c:v>18902.2</c:v>
                </c:pt>
                <c:pt idx="22">
                  <c:v>19802.3</c:v>
                </c:pt>
                <c:pt idx="23">
                  <c:v>20702.400000000001</c:v>
                </c:pt>
                <c:pt idx="24">
                  <c:v>21602.5</c:v>
                </c:pt>
                <c:pt idx="25">
                  <c:v>22502.6</c:v>
                </c:pt>
                <c:pt idx="26">
                  <c:v>23402.7</c:v>
                </c:pt>
                <c:pt idx="27">
                  <c:v>24302.799999999999</c:v>
                </c:pt>
                <c:pt idx="28">
                  <c:v>25202.9</c:v>
                </c:pt>
                <c:pt idx="29">
                  <c:v>26103</c:v>
                </c:pt>
                <c:pt idx="30">
                  <c:v>27003.1</c:v>
                </c:pt>
                <c:pt idx="31" formatCode="0.0">
                  <c:v>27903.200000000001</c:v>
                </c:pt>
              </c:numCache>
            </c:numRef>
          </c:xVal>
          <c:yVal>
            <c:numRef>
              <c:f>'NSA739std-B'!$B$94:$AG$94</c:f>
              <c:numCache>
                <c:formatCode>General</c:formatCode>
                <c:ptCount val="32"/>
                <c:pt idx="0">
                  <c:v>2.9000000000000276E-3</c:v>
                </c:pt>
                <c:pt idx="1">
                  <c:v>3.2818181818181774E-3</c:v>
                </c:pt>
                <c:pt idx="2">
                  <c:v>3.4181818181818063E-3</c:v>
                </c:pt>
                <c:pt idx="3">
                  <c:v>3.472727272727294E-3</c:v>
                </c:pt>
                <c:pt idx="4">
                  <c:v>3.8848484848484771E-3</c:v>
                </c:pt>
                <c:pt idx="5">
                  <c:v>4.44242424242422E-3</c:v>
                </c:pt>
                <c:pt idx="6">
                  <c:v>5.2696969696969798E-3</c:v>
                </c:pt>
                <c:pt idx="7">
                  <c:v>6.8575757575757706E-3</c:v>
                </c:pt>
                <c:pt idx="8">
                  <c:v>9.0181818181818002E-3</c:v>
                </c:pt>
                <c:pt idx="9">
                  <c:v>1.2866666666666651E-2</c:v>
                </c:pt>
                <c:pt idx="10">
                  <c:v>1.880303030303028E-2</c:v>
                </c:pt>
                <c:pt idx="11">
                  <c:v>2.7648484848484825E-2</c:v>
                </c:pt>
                <c:pt idx="12">
                  <c:v>4.1003030303030291E-2</c:v>
                </c:pt>
                <c:pt idx="13">
                  <c:v>5.9903030303030305E-2</c:v>
                </c:pt>
                <c:pt idx="14">
                  <c:v>8.3660596060606052E-2</c:v>
                </c:pt>
                <c:pt idx="15">
                  <c:v>0.11163637363636363</c:v>
                </c:pt>
                <c:pt idx="16">
                  <c:v>0.14516060606060605</c:v>
                </c:pt>
                <c:pt idx="17">
                  <c:v>0.18528483848484845</c:v>
                </c:pt>
                <c:pt idx="18">
                  <c:v>0.23039089909090907</c:v>
                </c:pt>
                <c:pt idx="19">
                  <c:v>0.27849695969696964</c:v>
                </c:pt>
                <c:pt idx="20">
                  <c:v>0.33078483848484846</c:v>
                </c:pt>
                <c:pt idx="21">
                  <c:v>0.38164243424242422</c:v>
                </c:pt>
                <c:pt idx="22">
                  <c:v>0.42458784878787881</c:v>
                </c:pt>
                <c:pt idx="23">
                  <c:v>0.45751215121212119</c:v>
                </c:pt>
                <c:pt idx="24">
                  <c:v>0.47319695969696968</c:v>
                </c:pt>
                <c:pt idx="25">
                  <c:v>0.4895181918181819</c:v>
                </c:pt>
                <c:pt idx="26">
                  <c:v>0.50651209121212115</c:v>
                </c:pt>
                <c:pt idx="27">
                  <c:v>0.5216091109090909</c:v>
                </c:pt>
                <c:pt idx="28">
                  <c:v>0.53880001</c:v>
                </c:pt>
                <c:pt idx="29">
                  <c:v>0.55469697969696963</c:v>
                </c:pt>
                <c:pt idx="30">
                  <c:v>0.57114243424242417</c:v>
                </c:pt>
                <c:pt idx="31">
                  <c:v>0.58417574757575752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AD-4D40-9559-BD07CC05907C}"/>
            </c:ext>
          </c:extLst>
        </c:ser>
        <c:ser>
          <c:idx val="1"/>
          <c:order val="1"/>
          <c:tx>
            <c:v>B3 (-W1)</c:v>
          </c:tx>
          <c:spPr>
            <a:ln w="28575">
              <a:noFill/>
            </a:ln>
          </c:spPr>
          <c:marker>
            <c:spPr>
              <a:solidFill>
                <a:srgbClr val="008080"/>
              </a:solidFill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'NSA739std-B'!$B$54:$AG$54</c:f>
              <c:numCache>
                <c:formatCode>General</c:formatCode>
                <c:ptCount val="32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13501.6</c:v>
                </c:pt>
                <c:pt idx="16">
                  <c:v>14401.7</c:v>
                </c:pt>
                <c:pt idx="17">
                  <c:v>15301.8</c:v>
                </c:pt>
                <c:pt idx="18">
                  <c:v>16201.9</c:v>
                </c:pt>
                <c:pt idx="19">
                  <c:v>17102</c:v>
                </c:pt>
                <c:pt idx="20">
                  <c:v>18002.099999999999</c:v>
                </c:pt>
                <c:pt idx="21">
                  <c:v>18902.2</c:v>
                </c:pt>
                <c:pt idx="22">
                  <c:v>19802.3</c:v>
                </c:pt>
                <c:pt idx="23">
                  <c:v>20702.400000000001</c:v>
                </c:pt>
                <c:pt idx="24">
                  <c:v>21602.5</c:v>
                </c:pt>
                <c:pt idx="25">
                  <c:v>22502.6</c:v>
                </c:pt>
                <c:pt idx="26">
                  <c:v>23402.7</c:v>
                </c:pt>
                <c:pt idx="27">
                  <c:v>24302.799999999999</c:v>
                </c:pt>
                <c:pt idx="28">
                  <c:v>25202.9</c:v>
                </c:pt>
                <c:pt idx="29">
                  <c:v>26103</c:v>
                </c:pt>
                <c:pt idx="30">
                  <c:v>27003.1</c:v>
                </c:pt>
                <c:pt idx="31" formatCode="0.0">
                  <c:v>27903.200000000001</c:v>
                </c:pt>
              </c:numCache>
            </c:numRef>
          </c:xVal>
          <c:yVal>
            <c:numRef>
              <c:f>'NSA739std-B'!$B$95:$AG$95</c:f>
              <c:numCache>
                <c:formatCode>General</c:formatCode>
                <c:ptCount val="32"/>
                <c:pt idx="0">
                  <c:v>2.9000000000000276E-3</c:v>
                </c:pt>
                <c:pt idx="1">
                  <c:v>3.0818181818181856E-3</c:v>
                </c:pt>
                <c:pt idx="2">
                  <c:v>3.3181818181818173E-3</c:v>
                </c:pt>
                <c:pt idx="3">
                  <c:v>3.2727272727272883E-3</c:v>
                </c:pt>
                <c:pt idx="4">
                  <c:v>3.6848484848484714E-3</c:v>
                </c:pt>
                <c:pt idx="5">
                  <c:v>4.3424242424242171E-3</c:v>
                </c:pt>
                <c:pt idx="6">
                  <c:v>5.0696969696969879E-3</c:v>
                </c:pt>
                <c:pt idx="7">
                  <c:v>6.5575757575757621E-3</c:v>
                </c:pt>
                <c:pt idx="8">
                  <c:v>8.9181818181817973E-3</c:v>
                </c:pt>
                <c:pt idx="9">
                  <c:v>1.246666666666664E-2</c:v>
                </c:pt>
                <c:pt idx="10">
                  <c:v>1.9503030303030286E-2</c:v>
                </c:pt>
                <c:pt idx="11">
                  <c:v>2.7748484848484828E-2</c:v>
                </c:pt>
                <c:pt idx="12">
                  <c:v>4.0803020303030291E-2</c:v>
                </c:pt>
                <c:pt idx="13">
                  <c:v>5.9703030303030299E-2</c:v>
                </c:pt>
                <c:pt idx="14">
                  <c:v>8.4160606060606047E-2</c:v>
                </c:pt>
                <c:pt idx="15">
                  <c:v>0.11183635363636361</c:v>
                </c:pt>
                <c:pt idx="16">
                  <c:v>0.14526060606060603</c:v>
                </c:pt>
                <c:pt idx="17">
                  <c:v>0.18558485848484846</c:v>
                </c:pt>
                <c:pt idx="18">
                  <c:v>0.23059090909090904</c:v>
                </c:pt>
                <c:pt idx="19">
                  <c:v>0.27999696969696963</c:v>
                </c:pt>
                <c:pt idx="20">
                  <c:v>0.33278484848484846</c:v>
                </c:pt>
                <c:pt idx="21">
                  <c:v>0.38294243424242425</c:v>
                </c:pt>
                <c:pt idx="22">
                  <c:v>0.42798787878787881</c:v>
                </c:pt>
                <c:pt idx="23">
                  <c:v>0.46031213121212122</c:v>
                </c:pt>
                <c:pt idx="24">
                  <c:v>0.47529694969696973</c:v>
                </c:pt>
                <c:pt idx="25">
                  <c:v>0.49381819181818187</c:v>
                </c:pt>
                <c:pt idx="26">
                  <c:v>0.50981211121212122</c:v>
                </c:pt>
                <c:pt idx="27">
                  <c:v>0.52500908090909093</c:v>
                </c:pt>
                <c:pt idx="28">
                  <c:v>0.54200001000000009</c:v>
                </c:pt>
                <c:pt idx="29">
                  <c:v>0.55669695969696964</c:v>
                </c:pt>
                <c:pt idx="30">
                  <c:v>0.57434242424242421</c:v>
                </c:pt>
                <c:pt idx="31">
                  <c:v>0.5880757375757576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AD-4D40-9559-BD07CC05907C}"/>
            </c:ext>
          </c:extLst>
        </c:ser>
        <c:ser>
          <c:idx val="2"/>
          <c:order val="2"/>
          <c:tx>
            <c:v>B4 (-W1)</c:v>
          </c:tx>
          <c:spPr>
            <a:ln w="28575">
              <a:noFill/>
            </a:ln>
          </c:spPr>
          <c:marker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'NSA739std-B'!$B$54:$AG$54</c:f>
              <c:numCache>
                <c:formatCode>General</c:formatCode>
                <c:ptCount val="32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13501.6</c:v>
                </c:pt>
                <c:pt idx="16">
                  <c:v>14401.7</c:v>
                </c:pt>
                <c:pt idx="17">
                  <c:v>15301.8</c:v>
                </c:pt>
                <c:pt idx="18">
                  <c:v>16201.9</c:v>
                </c:pt>
                <c:pt idx="19">
                  <c:v>17102</c:v>
                </c:pt>
                <c:pt idx="20">
                  <c:v>18002.099999999999</c:v>
                </c:pt>
                <c:pt idx="21">
                  <c:v>18902.2</c:v>
                </c:pt>
                <c:pt idx="22">
                  <c:v>19802.3</c:v>
                </c:pt>
                <c:pt idx="23">
                  <c:v>20702.400000000001</c:v>
                </c:pt>
                <c:pt idx="24">
                  <c:v>21602.5</c:v>
                </c:pt>
                <c:pt idx="25">
                  <c:v>22502.6</c:v>
                </c:pt>
                <c:pt idx="26">
                  <c:v>23402.7</c:v>
                </c:pt>
                <c:pt idx="27">
                  <c:v>24302.799999999999</c:v>
                </c:pt>
                <c:pt idx="28">
                  <c:v>25202.9</c:v>
                </c:pt>
                <c:pt idx="29">
                  <c:v>26103</c:v>
                </c:pt>
                <c:pt idx="30">
                  <c:v>27003.1</c:v>
                </c:pt>
                <c:pt idx="31" formatCode="0.0">
                  <c:v>27903.200000000001</c:v>
                </c:pt>
              </c:numCache>
            </c:numRef>
          </c:xVal>
          <c:yVal>
            <c:numRef>
              <c:f>'NSA739std-B'!$B$96:$AG$96</c:f>
              <c:numCache>
                <c:formatCode>General</c:formatCode>
                <c:ptCount val="32"/>
                <c:pt idx="0">
                  <c:v>5.0441176470588656E-3</c:v>
                </c:pt>
                <c:pt idx="1">
                  <c:v>5.1205882352941268E-3</c:v>
                </c:pt>
                <c:pt idx="2">
                  <c:v>4.5382352941176485E-3</c:v>
                </c:pt>
                <c:pt idx="3">
                  <c:v>4.5617647058823624E-3</c:v>
                </c:pt>
                <c:pt idx="4">
                  <c:v>4.8705882352941127E-3</c:v>
                </c:pt>
                <c:pt idx="5">
                  <c:v>6.1647058823529194E-3</c:v>
                </c:pt>
                <c:pt idx="6">
                  <c:v>6.4323529411764863E-3</c:v>
                </c:pt>
                <c:pt idx="7">
                  <c:v>7.9058823529411792E-3</c:v>
                </c:pt>
                <c:pt idx="8">
                  <c:v>9.9058823529411533E-3</c:v>
                </c:pt>
                <c:pt idx="9">
                  <c:v>1.3767647058823523E-2</c:v>
                </c:pt>
                <c:pt idx="10">
                  <c:v>1.9349999999999978E-2</c:v>
                </c:pt>
                <c:pt idx="11">
                  <c:v>2.7982352941176472E-2</c:v>
                </c:pt>
                <c:pt idx="12">
                  <c:v>4.3905882352941128E-2</c:v>
                </c:pt>
                <c:pt idx="13">
                  <c:v>6.0241176470588242E-2</c:v>
                </c:pt>
                <c:pt idx="14">
                  <c:v>8.2417647058823512E-2</c:v>
                </c:pt>
                <c:pt idx="15">
                  <c:v>0.11018823529411763</c:v>
                </c:pt>
                <c:pt idx="16">
                  <c:v>0.14282352941176468</c:v>
                </c:pt>
                <c:pt idx="17">
                  <c:v>0.18314411764705879</c:v>
                </c:pt>
                <c:pt idx="18">
                  <c:v>0.22764116647058824</c:v>
                </c:pt>
                <c:pt idx="19">
                  <c:v>0.2771529511764706</c:v>
                </c:pt>
                <c:pt idx="20">
                  <c:v>0.32992353941176472</c:v>
                </c:pt>
                <c:pt idx="21">
                  <c:v>0.38071177470588236</c:v>
                </c:pt>
                <c:pt idx="22">
                  <c:v>0.4253558723529412</c:v>
                </c:pt>
                <c:pt idx="23">
                  <c:v>0.46387353941176468</c:v>
                </c:pt>
                <c:pt idx="24">
                  <c:v>0.47486468588235287</c:v>
                </c:pt>
                <c:pt idx="25">
                  <c:v>0.49448824529411772</c:v>
                </c:pt>
                <c:pt idx="26">
                  <c:v>0.50877941176470587</c:v>
                </c:pt>
                <c:pt idx="27">
                  <c:v>0.52697354941176466</c:v>
                </c:pt>
                <c:pt idx="28">
                  <c:v>0.54037056823529406</c:v>
                </c:pt>
                <c:pt idx="29">
                  <c:v>0.55827648058823531</c:v>
                </c:pt>
                <c:pt idx="30">
                  <c:v>0.57351763705882353</c:v>
                </c:pt>
                <c:pt idx="31">
                  <c:v>0.58745294117647051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AD-4D40-9559-BD07CC059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0829167"/>
        <c:axId val="1270792943"/>
      </c:scatterChart>
      <c:valAx>
        <c:axId val="12708291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70792943"/>
        <c:crosses val="autoZero"/>
        <c:crossBetween val="midCat"/>
      </c:valAx>
      <c:valAx>
        <c:axId val="12707929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70829167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B2</c:v>
          </c:tx>
          <c:spPr>
            <a:ln w="28575">
              <a:noFill/>
            </a:ln>
          </c:spPr>
          <c:xVal>
            <c:numRef>
              <c:f>'NSA739std-B'!$H$54:$R$54</c:f>
              <c:numCache>
                <c:formatCode>General</c:formatCode>
                <c:ptCount val="11"/>
                <c:pt idx="0">
                  <c:v>5400.6</c:v>
                </c:pt>
                <c:pt idx="1">
                  <c:v>6300.7</c:v>
                </c:pt>
                <c:pt idx="2">
                  <c:v>7200.8</c:v>
                </c:pt>
                <c:pt idx="3">
                  <c:v>8100.9</c:v>
                </c:pt>
                <c:pt idx="4">
                  <c:v>9001</c:v>
                </c:pt>
                <c:pt idx="5">
                  <c:v>9901.1</c:v>
                </c:pt>
                <c:pt idx="6">
                  <c:v>10801.2</c:v>
                </c:pt>
                <c:pt idx="7">
                  <c:v>11701.3</c:v>
                </c:pt>
                <c:pt idx="8">
                  <c:v>12601.4</c:v>
                </c:pt>
                <c:pt idx="9">
                  <c:v>13501.6</c:v>
                </c:pt>
                <c:pt idx="10">
                  <c:v>14401.7</c:v>
                </c:pt>
              </c:numCache>
            </c:numRef>
          </c:xVal>
          <c:yVal>
            <c:numRef>
              <c:f>'NSA739std-B'!$H$94:$R$94</c:f>
              <c:numCache>
                <c:formatCode>General</c:formatCode>
                <c:ptCount val="11"/>
                <c:pt idx="0">
                  <c:v>5.2696969696969798E-3</c:v>
                </c:pt>
                <c:pt idx="1">
                  <c:v>6.8575757575757706E-3</c:v>
                </c:pt>
                <c:pt idx="2">
                  <c:v>9.0181818181818002E-3</c:v>
                </c:pt>
                <c:pt idx="3">
                  <c:v>1.2866666666666651E-2</c:v>
                </c:pt>
                <c:pt idx="4">
                  <c:v>1.880303030303028E-2</c:v>
                </c:pt>
                <c:pt idx="5">
                  <c:v>2.7648484848484825E-2</c:v>
                </c:pt>
                <c:pt idx="6">
                  <c:v>4.1003030303030291E-2</c:v>
                </c:pt>
                <c:pt idx="7">
                  <c:v>5.9903030303030305E-2</c:v>
                </c:pt>
                <c:pt idx="8">
                  <c:v>8.3660596060606052E-2</c:v>
                </c:pt>
                <c:pt idx="9">
                  <c:v>0.11163637363636363</c:v>
                </c:pt>
                <c:pt idx="10">
                  <c:v>0.14516060606060605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A-0C40-91CD-0940C8720988}"/>
            </c:ext>
          </c:extLst>
        </c:ser>
        <c:ser>
          <c:idx val="1"/>
          <c:order val="1"/>
          <c:tx>
            <c:v>Model: B2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'NSA739std-B'!$H$54:$R$54</c:f>
              <c:numCache>
                <c:formatCode>General</c:formatCode>
                <c:ptCount val="11"/>
                <c:pt idx="0">
                  <c:v>5400.6</c:v>
                </c:pt>
                <c:pt idx="1">
                  <c:v>6300.7</c:v>
                </c:pt>
                <c:pt idx="2">
                  <c:v>7200.8</c:v>
                </c:pt>
                <c:pt idx="3">
                  <c:v>8100.9</c:v>
                </c:pt>
                <c:pt idx="4">
                  <c:v>9001</c:v>
                </c:pt>
                <c:pt idx="5">
                  <c:v>9901.1</c:v>
                </c:pt>
                <c:pt idx="6">
                  <c:v>10801.2</c:v>
                </c:pt>
                <c:pt idx="7">
                  <c:v>11701.3</c:v>
                </c:pt>
                <c:pt idx="8">
                  <c:v>12601.4</c:v>
                </c:pt>
                <c:pt idx="9">
                  <c:v>13501.6</c:v>
                </c:pt>
                <c:pt idx="10">
                  <c:v>14401.7</c:v>
                </c:pt>
              </c:numCache>
            </c:numRef>
          </c:xVal>
          <c:yVal>
            <c:numRef>
              <c:f>'NSA739std-B'!$H$100:$R$100</c:f>
              <c:numCache>
                <c:formatCode>General</c:formatCode>
                <c:ptCount val="11"/>
                <c:pt idx="0">
                  <c:v>4.8560521477006794E-3</c:v>
                </c:pt>
                <c:pt idx="1">
                  <c:v>6.8771058912207939E-3</c:v>
                </c:pt>
                <c:pt idx="2">
                  <c:v>9.7393075693096819E-3</c:v>
                </c:pt>
                <c:pt idx="3">
                  <c:v>1.3792736861984648E-2</c:v>
                </c:pt>
                <c:pt idx="4">
                  <c:v>1.9533174077326552E-2</c:v>
                </c:pt>
                <c:pt idx="5">
                  <c:v>2.7662739697931225E-2</c:v>
                </c:pt>
                <c:pt idx="6">
                  <c:v>3.9175771667531986E-2</c:v>
                </c:pt>
                <c:pt idx="7">
                  <c:v>5.548044418251815E-2</c:v>
                </c:pt>
                <c:pt idx="8">
                  <c:v>7.8571003343899812E-2</c:v>
                </c:pt>
                <c:pt idx="9">
                  <c:v>0.11127598780617487</c:v>
                </c:pt>
                <c:pt idx="10">
                  <c:v>0.15758824823485573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9A-0C40-91CD-0940C8720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0292927"/>
        <c:axId val="1771582991"/>
      </c:scatterChart>
      <c:valAx>
        <c:axId val="12702929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71582991"/>
        <c:crosses val="autoZero"/>
        <c:crossBetween val="midCat"/>
      </c:valAx>
      <c:valAx>
        <c:axId val="17715829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70292927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B3</c:v>
          </c:tx>
          <c:spPr>
            <a:ln w="28575">
              <a:noFill/>
            </a:ln>
          </c:spPr>
          <c:xVal>
            <c:numRef>
              <c:f>'NSA739std-B'!$H$54:$R$54</c:f>
              <c:numCache>
                <c:formatCode>General</c:formatCode>
                <c:ptCount val="11"/>
                <c:pt idx="0">
                  <c:v>5400.6</c:v>
                </c:pt>
                <c:pt idx="1">
                  <c:v>6300.7</c:v>
                </c:pt>
                <c:pt idx="2">
                  <c:v>7200.8</c:v>
                </c:pt>
                <c:pt idx="3">
                  <c:v>8100.9</c:v>
                </c:pt>
                <c:pt idx="4">
                  <c:v>9001</c:v>
                </c:pt>
                <c:pt idx="5">
                  <c:v>9901.1</c:v>
                </c:pt>
                <c:pt idx="6">
                  <c:v>10801.2</c:v>
                </c:pt>
                <c:pt idx="7">
                  <c:v>11701.3</c:v>
                </c:pt>
                <c:pt idx="8">
                  <c:v>12601.4</c:v>
                </c:pt>
                <c:pt idx="9">
                  <c:v>13501.6</c:v>
                </c:pt>
                <c:pt idx="10">
                  <c:v>14401.7</c:v>
                </c:pt>
              </c:numCache>
            </c:numRef>
          </c:xVal>
          <c:yVal>
            <c:numRef>
              <c:f>'NSA739std-B'!$H$95:$R$95</c:f>
              <c:numCache>
                <c:formatCode>General</c:formatCode>
                <c:ptCount val="11"/>
                <c:pt idx="0">
                  <c:v>5.0696969696969879E-3</c:v>
                </c:pt>
                <c:pt idx="1">
                  <c:v>6.5575757575757621E-3</c:v>
                </c:pt>
                <c:pt idx="2">
                  <c:v>8.9181818181817973E-3</c:v>
                </c:pt>
                <c:pt idx="3">
                  <c:v>1.246666666666664E-2</c:v>
                </c:pt>
                <c:pt idx="4">
                  <c:v>1.9503030303030286E-2</c:v>
                </c:pt>
                <c:pt idx="5">
                  <c:v>2.7748484848484828E-2</c:v>
                </c:pt>
                <c:pt idx="6">
                  <c:v>4.0803020303030291E-2</c:v>
                </c:pt>
                <c:pt idx="7">
                  <c:v>5.9703030303030299E-2</c:v>
                </c:pt>
                <c:pt idx="8">
                  <c:v>8.4160606060606047E-2</c:v>
                </c:pt>
                <c:pt idx="9">
                  <c:v>0.11183635363636361</c:v>
                </c:pt>
                <c:pt idx="10">
                  <c:v>0.14526060606060603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B8-1F48-9627-95FDDA2F7CA3}"/>
            </c:ext>
          </c:extLst>
        </c:ser>
        <c:ser>
          <c:idx val="1"/>
          <c:order val="1"/>
          <c:tx>
            <c:v>Model: B3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'NSA739std-B'!$H$54:$R$54</c:f>
              <c:numCache>
                <c:formatCode>General</c:formatCode>
                <c:ptCount val="11"/>
                <c:pt idx="0">
                  <c:v>5400.6</c:v>
                </c:pt>
                <c:pt idx="1">
                  <c:v>6300.7</c:v>
                </c:pt>
                <c:pt idx="2">
                  <c:v>7200.8</c:v>
                </c:pt>
                <c:pt idx="3">
                  <c:v>8100.9</c:v>
                </c:pt>
                <c:pt idx="4">
                  <c:v>9001</c:v>
                </c:pt>
                <c:pt idx="5">
                  <c:v>9901.1</c:v>
                </c:pt>
                <c:pt idx="6">
                  <c:v>10801.2</c:v>
                </c:pt>
                <c:pt idx="7">
                  <c:v>11701.3</c:v>
                </c:pt>
                <c:pt idx="8">
                  <c:v>12601.4</c:v>
                </c:pt>
                <c:pt idx="9">
                  <c:v>13501.6</c:v>
                </c:pt>
                <c:pt idx="10">
                  <c:v>14401.7</c:v>
                </c:pt>
              </c:numCache>
            </c:numRef>
          </c:xVal>
          <c:yVal>
            <c:numRef>
              <c:f>'NSA739std-B'!$H$101:$R$101</c:f>
              <c:numCache>
                <c:formatCode>General</c:formatCode>
                <c:ptCount val="11"/>
                <c:pt idx="0">
                  <c:v>4.7209097165290996E-3</c:v>
                </c:pt>
                <c:pt idx="1">
                  <c:v>6.7130850883504569E-3</c:v>
                </c:pt>
                <c:pt idx="2">
                  <c:v>9.5459379885295195E-3</c:v>
                </c:pt>
                <c:pt idx="3">
                  <c:v>1.357422569229527E-2</c:v>
                </c:pt>
                <c:pt idx="4">
                  <c:v>1.9302409398298716E-2</c:v>
                </c:pt>
                <c:pt idx="5">
                  <c:v>2.7447827745416729E-2</c:v>
                </c:pt>
                <c:pt idx="6">
                  <c:v>3.903052890425536E-2</c:v>
                </c:pt>
                <c:pt idx="7">
                  <c:v>5.5501010887839333E-2</c:v>
                </c:pt>
                <c:pt idx="8">
                  <c:v>7.8921866960307119E-2</c:v>
                </c:pt>
                <c:pt idx="9">
                  <c:v>0.11223047313783943</c:v>
                </c:pt>
                <c:pt idx="10">
                  <c:v>0.1595905791297508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B8-1F48-9627-95FDDA2F7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1785311"/>
        <c:axId val="1371787007"/>
      </c:scatterChart>
      <c:valAx>
        <c:axId val="13717853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71787007"/>
        <c:crosses val="autoZero"/>
        <c:crossBetween val="midCat"/>
      </c:valAx>
      <c:valAx>
        <c:axId val="13717870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1785311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B4</c:v>
          </c:tx>
          <c:spPr>
            <a:ln w="28575">
              <a:noFill/>
            </a:ln>
          </c:spPr>
          <c:xVal>
            <c:numRef>
              <c:f>'NSA739std-B'!$H$54:$R$54</c:f>
              <c:numCache>
                <c:formatCode>General</c:formatCode>
                <c:ptCount val="11"/>
                <c:pt idx="0">
                  <c:v>5400.6</c:v>
                </c:pt>
                <c:pt idx="1">
                  <c:v>6300.7</c:v>
                </c:pt>
                <c:pt idx="2">
                  <c:v>7200.8</c:v>
                </c:pt>
                <c:pt idx="3">
                  <c:v>8100.9</c:v>
                </c:pt>
                <c:pt idx="4">
                  <c:v>9001</c:v>
                </c:pt>
                <c:pt idx="5">
                  <c:v>9901.1</c:v>
                </c:pt>
                <c:pt idx="6">
                  <c:v>10801.2</c:v>
                </c:pt>
                <c:pt idx="7">
                  <c:v>11701.3</c:v>
                </c:pt>
                <c:pt idx="8">
                  <c:v>12601.4</c:v>
                </c:pt>
                <c:pt idx="9">
                  <c:v>13501.6</c:v>
                </c:pt>
                <c:pt idx="10">
                  <c:v>14401.7</c:v>
                </c:pt>
              </c:numCache>
            </c:numRef>
          </c:xVal>
          <c:yVal>
            <c:numRef>
              <c:f>'NSA739std-B'!$H$96:$R$96</c:f>
              <c:numCache>
                <c:formatCode>General</c:formatCode>
                <c:ptCount val="11"/>
                <c:pt idx="0">
                  <c:v>6.4323529411764863E-3</c:v>
                </c:pt>
                <c:pt idx="1">
                  <c:v>7.9058823529411792E-3</c:v>
                </c:pt>
                <c:pt idx="2">
                  <c:v>9.9058823529411533E-3</c:v>
                </c:pt>
                <c:pt idx="3">
                  <c:v>1.3767647058823523E-2</c:v>
                </c:pt>
                <c:pt idx="4">
                  <c:v>1.9349999999999978E-2</c:v>
                </c:pt>
                <c:pt idx="5">
                  <c:v>2.7982352941176472E-2</c:v>
                </c:pt>
                <c:pt idx="6">
                  <c:v>4.3905882352941128E-2</c:v>
                </c:pt>
                <c:pt idx="7">
                  <c:v>6.0241176470588242E-2</c:v>
                </c:pt>
                <c:pt idx="8">
                  <c:v>8.2417647058823512E-2</c:v>
                </c:pt>
                <c:pt idx="9">
                  <c:v>0.11018823529411763</c:v>
                </c:pt>
                <c:pt idx="10">
                  <c:v>0.14282352941176468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CB-104F-B126-C184B03089A6}"/>
            </c:ext>
          </c:extLst>
        </c:ser>
        <c:ser>
          <c:idx val="1"/>
          <c:order val="1"/>
          <c:tx>
            <c:v>Model: B4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'NSA739std-B'!$H$54:$R$54</c:f>
              <c:numCache>
                <c:formatCode>General</c:formatCode>
                <c:ptCount val="11"/>
                <c:pt idx="0">
                  <c:v>5400.6</c:v>
                </c:pt>
                <c:pt idx="1">
                  <c:v>6300.7</c:v>
                </c:pt>
                <c:pt idx="2">
                  <c:v>7200.8</c:v>
                </c:pt>
                <c:pt idx="3">
                  <c:v>8100.9</c:v>
                </c:pt>
                <c:pt idx="4">
                  <c:v>9001</c:v>
                </c:pt>
                <c:pt idx="5">
                  <c:v>9901.1</c:v>
                </c:pt>
                <c:pt idx="6">
                  <c:v>10801.2</c:v>
                </c:pt>
                <c:pt idx="7">
                  <c:v>11701.3</c:v>
                </c:pt>
                <c:pt idx="8">
                  <c:v>12601.4</c:v>
                </c:pt>
                <c:pt idx="9">
                  <c:v>13501.6</c:v>
                </c:pt>
                <c:pt idx="10">
                  <c:v>14401.7</c:v>
                </c:pt>
              </c:numCache>
            </c:numRef>
          </c:xVal>
          <c:yVal>
            <c:numRef>
              <c:f>'NSA739std-B'!$H$102:$R$102</c:f>
              <c:numCache>
                <c:formatCode>General</c:formatCode>
                <c:ptCount val="11"/>
                <c:pt idx="0">
                  <c:v>5.6310233617016649E-3</c:v>
                </c:pt>
                <c:pt idx="1">
                  <c:v>7.8230940772835884E-3</c:v>
                </c:pt>
                <c:pt idx="2">
                  <c:v>1.0868504179591084E-2</c:v>
                </c:pt>
                <c:pt idx="3">
                  <c:v>1.5099445556304136E-2</c:v>
                </c:pt>
                <c:pt idx="4">
                  <c:v>2.0977427283500449E-2</c:v>
                </c:pt>
                <c:pt idx="5">
                  <c:v>2.9143616816501173E-2</c:v>
                </c:pt>
                <c:pt idx="6">
                  <c:v>4.048877823140383E-2</c:v>
                </c:pt>
                <c:pt idx="7">
                  <c:v>5.6250436347474939E-2</c:v>
                </c:pt>
                <c:pt idx="8">
                  <c:v>7.8147865346729337E-2</c:v>
                </c:pt>
                <c:pt idx="9">
                  <c:v>0.10857359229396801</c:v>
                </c:pt>
                <c:pt idx="10">
                  <c:v>0.15083962048554991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CB-104F-B126-C184B0308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1819343"/>
        <c:axId val="1371821039"/>
      </c:scatterChart>
      <c:valAx>
        <c:axId val="13718193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71821039"/>
        <c:crosses val="autoZero"/>
        <c:crossBetween val="midCat"/>
      </c:valAx>
      <c:valAx>
        <c:axId val="137182103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1819343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139700</xdr:colOff>
          <xdr:row>34</xdr:row>
          <xdr:rowOff>12700</xdr:rowOff>
        </xdr:from>
        <xdr:to>
          <xdr:col>26</xdr:col>
          <xdr:colOff>749300</xdr:colOff>
          <xdr:row>36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compute 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58420</xdr:colOff>
          <xdr:row>34</xdr:row>
          <xdr:rowOff>22860</xdr:rowOff>
        </xdr:from>
        <xdr:to>
          <xdr:col>29</xdr:col>
          <xdr:colOff>609600</xdr:colOff>
          <xdr:row>36</xdr:row>
          <xdr:rowOff>10160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compute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63500</xdr:colOff>
          <xdr:row>3</xdr:row>
          <xdr:rowOff>114300</xdr:rowOff>
        </xdr:from>
        <xdr:to>
          <xdr:col>23</xdr:col>
          <xdr:colOff>393700</xdr:colOff>
          <xdr:row>4</xdr:row>
          <xdr:rowOff>152400</xdr:rowOff>
        </xdr:to>
        <xdr:sp macro="" textlink="">
          <xdr:nvSpPr>
            <xdr:cNvPr id="5129" name="Button 9" descr="calc.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144780</xdr:colOff>
          <xdr:row>37</xdr:row>
          <xdr:rowOff>7620</xdr:rowOff>
        </xdr:from>
        <xdr:to>
          <xdr:col>29</xdr:col>
          <xdr:colOff>619760</xdr:colOff>
          <xdr:row>38</xdr:row>
          <xdr:rowOff>187960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0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all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152400</xdr:colOff>
          <xdr:row>40</xdr:row>
          <xdr:rowOff>12700</xdr:rowOff>
        </xdr:from>
        <xdr:to>
          <xdr:col>26</xdr:col>
          <xdr:colOff>749300</xdr:colOff>
          <xdr:row>42</xdr:row>
          <xdr:rowOff>0</xdr:rowOff>
        </xdr:to>
        <xdr:sp macro="" textlink="">
          <xdr:nvSpPr>
            <xdr:cNvPr id="5153" name="Button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0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calibrate 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88900</xdr:colOff>
          <xdr:row>40</xdr:row>
          <xdr:rowOff>25400</xdr:rowOff>
        </xdr:from>
        <xdr:to>
          <xdr:col>29</xdr:col>
          <xdr:colOff>622300</xdr:colOff>
          <xdr:row>42</xdr:row>
          <xdr:rowOff>12700</xdr:rowOff>
        </xdr:to>
        <xdr:sp macro="" textlink="">
          <xdr:nvSpPr>
            <xdr:cNvPr id="5154" name="Button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0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calibrate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12700</xdr:rowOff>
    </xdr:from>
    <xdr:to>
      <xdr:col>24</xdr:col>
      <xdr:colOff>101600</xdr:colOff>
      <xdr:row>51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222AD5A-5C3D-4A41-9929-60ACD29FA2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52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9275C3A-AB8A-E047-84E5-79982ED0AF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13</xdr:col>
      <xdr:colOff>12700</xdr:colOff>
      <xdr:row>40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544C2E-1EBF-C040-AF8A-3A06178BE5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0</xdr:row>
      <xdr:rowOff>0</xdr:rowOff>
    </xdr:from>
    <xdr:to>
      <xdr:col>19</xdr:col>
      <xdr:colOff>12700</xdr:colOff>
      <xdr:row>40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E3CB3BE-5FB4-3F4D-8405-475FECC3A3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25</xdr:col>
      <xdr:colOff>12700</xdr:colOff>
      <xdr:row>40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3F40766-67AB-6343-8B9C-5763010EC4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DI222"/>
  <sheetViews>
    <sheetView tabSelected="1" zoomScale="125" zoomScaleNormal="125" zoomScalePageLayoutView="125" workbookViewId="0">
      <selection activeCell="F9" sqref="F9"/>
    </sheetView>
  </sheetViews>
  <sheetFormatPr baseColWidth="10" defaultColWidth="7" defaultRowHeight="15" customHeight="1" x14ac:dyDescent="0.2"/>
  <cols>
    <col min="1" max="1" width="3.33203125" style="4" customWidth="1"/>
    <col min="2" max="2" width="3" style="4" customWidth="1"/>
    <col min="3" max="3" width="16" style="4" customWidth="1"/>
    <col min="4" max="4" width="7.6640625" style="4" bestFit="1" customWidth="1"/>
    <col min="5" max="5" width="8.6640625" style="4" customWidth="1"/>
    <col min="6" max="6" width="7.6640625" style="4" customWidth="1"/>
    <col min="7" max="7" width="3" style="4" customWidth="1"/>
    <col min="8" max="8" width="3.5" style="4" customWidth="1"/>
    <col min="9" max="9" width="3.1640625" style="2" customWidth="1"/>
    <col min="10" max="12" width="7" style="2"/>
    <col min="13" max="13" width="7.6640625" style="2" bestFit="1" customWidth="1"/>
    <col min="14" max="22" width="7" style="2"/>
    <col min="23" max="23" width="3.1640625" style="2" customWidth="1"/>
    <col min="24" max="24" width="5.6640625" style="2" customWidth="1"/>
    <col min="25" max="25" width="7.6640625" style="2" customWidth="1"/>
    <col min="26" max="26" width="5.1640625" style="2" customWidth="1"/>
    <col min="27" max="30" width="11.83203125" style="2" customWidth="1"/>
    <col min="31" max="31" width="2.83203125" style="2" customWidth="1"/>
    <col min="32" max="32" width="11.83203125" style="4" customWidth="1"/>
    <col min="33" max="113" width="7" style="4"/>
    <col min="114" max="16384" width="7" style="2"/>
  </cols>
  <sheetData>
    <row r="1" spans="2:32" s="3" customFormat="1" ht="15" customHeight="1" thickBot="1" x14ac:dyDescent="0.25"/>
    <row r="2" spans="2:32" ht="15" customHeight="1" thickBot="1" x14ac:dyDescent="0.25">
      <c r="B2" s="58"/>
      <c r="C2" s="59" t="s">
        <v>173</v>
      </c>
      <c r="D2" s="59"/>
      <c r="E2" s="59"/>
      <c r="F2" s="59"/>
      <c r="G2" s="60"/>
      <c r="I2" s="11"/>
      <c r="J2" s="12" t="s">
        <v>155</v>
      </c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3"/>
    </row>
    <row r="3" spans="2:32" s="4" customFormat="1" ht="15" customHeight="1" thickBot="1" x14ac:dyDescent="0.25"/>
    <row r="4" spans="2:32" ht="15" customHeight="1" x14ac:dyDescent="0.2">
      <c r="B4" s="44"/>
      <c r="C4" s="45"/>
      <c r="D4" s="45"/>
      <c r="E4" s="45"/>
      <c r="F4" s="45"/>
      <c r="G4" s="46"/>
      <c r="I4" s="14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6"/>
      <c r="AF4" s="104"/>
    </row>
    <row r="5" spans="2:32" ht="15" customHeight="1" x14ac:dyDescent="0.2">
      <c r="B5" s="47"/>
      <c r="C5" s="107" t="s">
        <v>157</v>
      </c>
      <c r="D5" s="9" t="s">
        <v>159</v>
      </c>
      <c r="E5" s="173" t="s">
        <v>226</v>
      </c>
      <c r="F5" s="173"/>
      <c r="G5" s="48"/>
      <c r="I5" s="17"/>
      <c r="J5" s="5"/>
      <c r="K5" s="5">
        <v>1</v>
      </c>
      <c r="L5" s="5">
        <v>2</v>
      </c>
      <c r="M5" s="5">
        <v>3</v>
      </c>
      <c r="N5" s="5">
        <v>4</v>
      </c>
      <c r="O5" s="5">
        <v>5</v>
      </c>
      <c r="P5" s="5">
        <v>6</v>
      </c>
      <c r="Q5" s="5">
        <v>7</v>
      </c>
      <c r="R5" s="5">
        <v>8</v>
      </c>
      <c r="S5" s="5">
        <v>9</v>
      </c>
      <c r="T5" s="5">
        <v>10</v>
      </c>
      <c r="U5" s="5">
        <v>11</v>
      </c>
      <c r="V5" s="5">
        <v>12</v>
      </c>
      <c r="W5" s="5"/>
      <c r="X5" s="5"/>
      <c r="Y5" s="114" t="s">
        <v>160</v>
      </c>
      <c r="Z5" s="115" t="s">
        <v>161</v>
      </c>
      <c r="AA5" s="116" t="s">
        <v>162</v>
      </c>
      <c r="AB5" s="117" t="s">
        <v>163</v>
      </c>
      <c r="AC5" s="117" t="s">
        <v>164</v>
      </c>
      <c r="AD5" s="117" t="s">
        <v>166</v>
      </c>
      <c r="AE5" s="18"/>
      <c r="AF5" s="104"/>
    </row>
    <row r="6" spans="2:32" ht="15" customHeight="1" x14ac:dyDescent="0.2">
      <c r="B6" s="47"/>
      <c r="C6" s="108" t="s">
        <v>187</v>
      </c>
      <c r="D6" s="153">
        <v>37</v>
      </c>
      <c r="E6" s="178" t="s">
        <v>224</v>
      </c>
      <c r="F6" s="178"/>
      <c r="G6" s="48"/>
      <c r="I6" s="17"/>
      <c r="J6" s="5" t="s">
        <v>139</v>
      </c>
      <c r="K6" s="118" t="s">
        <v>149</v>
      </c>
      <c r="L6" s="53" t="s">
        <v>149</v>
      </c>
      <c r="M6" s="53" t="s">
        <v>149</v>
      </c>
      <c r="N6" s="53" t="s">
        <v>149</v>
      </c>
      <c r="O6" s="53" t="s">
        <v>149</v>
      </c>
      <c r="P6" s="53" t="s">
        <v>149</v>
      </c>
      <c r="Q6" s="53" t="s">
        <v>149</v>
      </c>
      <c r="R6" s="53" t="s">
        <v>149</v>
      </c>
      <c r="S6" s="53" t="s">
        <v>149</v>
      </c>
      <c r="T6" s="53" t="s">
        <v>149</v>
      </c>
      <c r="U6" s="53" t="s">
        <v>149</v>
      </c>
      <c r="V6" s="53" t="s">
        <v>149</v>
      </c>
      <c r="W6" s="5"/>
      <c r="X6" s="118" t="s">
        <v>149</v>
      </c>
      <c r="Y6" s="54" t="s">
        <v>147</v>
      </c>
      <c r="Z6" s="55">
        <f t="shared" ref="Z6:Z13" si="0">COUNTIF(white_border_definition,X6)</f>
        <v>36</v>
      </c>
      <c r="AA6" s="101">
        <f t="shared" ref="AA6:AA13" ca="1" si="1">compute_white_average($X6, white_border_definition)</f>
        <v>9.3340017361111124E-2</v>
      </c>
      <c r="AB6" s="102">
        <f t="shared" ref="AB6:AB13" ca="1" si="2">compute_white_min($X6, white_border_definition)</f>
        <v>9.1499999999999998E-2</v>
      </c>
      <c r="AC6" s="103">
        <f t="shared" ref="AC6:AC13" ca="1" si="3">compute_white_max($X6, white_border_definition)</f>
        <v>0.10100000000000001</v>
      </c>
      <c r="AD6" s="103">
        <f t="shared" ref="AD6:AD13" ca="1" si="4">compute_white_std($X6, white_border_definition,$AA6)</f>
        <v>1.1684623472179201E-3</v>
      </c>
      <c r="AE6" s="18"/>
      <c r="AF6" s="104"/>
    </row>
    <row r="7" spans="2:32" ht="15" customHeight="1" x14ac:dyDescent="0.2">
      <c r="B7" s="47"/>
      <c r="C7" s="109" t="s">
        <v>165</v>
      </c>
      <c r="D7" s="10">
        <f>D6+96+2-1</f>
        <v>134</v>
      </c>
      <c r="E7" s="158"/>
      <c r="F7" s="159">
        <v>10000</v>
      </c>
      <c r="G7" s="48"/>
      <c r="I7" s="17"/>
      <c r="J7" s="5" t="s">
        <v>140</v>
      </c>
      <c r="K7" s="53" t="s">
        <v>149</v>
      </c>
      <c r="L7" s="53"/>
      <c r="M7" s="53"/>
      <c r="N7" s="53"/>
      <c r="O7" s="53"/>
      <c r="P7" s="53"/>
      <c r="Q7" s="53"/>
      <c r="R7" s="53"/>
      <c r="S7" s="53"/>
      <c r="T7" s="53"/>
      <c r="U7" s="53"/>
      <c r="V7" s="53" t="s">
        <v>149</v>
      </c>
      <c r="W7" s="5"/>
      <c r="X7" s="119" t="s">
        <v>150</v>
      </c>
      <c r="Y7" s="54" t="s">
        <v>148</v>
      </c>
      <c r="Z7" s="55">
        <f t="shared" si="0"/>
        <v>0</v>
      </c>
      <c r="AA7" s="101">
        <f t="shared" si="1"/>
        <v>0</v>
      </c>
      <c r="AB7" s="102">
        <f t="shared" si="2"/>
        <v>0</v>
      </c>
      <c r="AC7" s="103">
        <f t="shared" si="3"/>
        <v>0</v>
      </c>
      <c r="AD7" s="103">
        <f t="shared" si="4"/>
        <v>0</v>
      </c>
      <c r="AE7" s="18"/>
      <c r="AF7" s="104"/>
    </row>
    <row r="8" spans="2:32" ht="15" customHeight="1" x14ac:dyDescent="0.2">
      <c r="B8" s="47"/>
      <c r="C8" s="110" t="s">
        <v>158</v>
      </c>
      <c r="D8" s="105">
        <f ca="1">COUNTA(INDIRECT(data_sheet_name&amp;"!A"&amp;$D$6&amp;":ZZ"&amp;$D$6))-1</f>
        <v>32</v>
      </c>
      <c r="E8" s="178" t="s">
        <v>225</v>
      </c>
      <c r="F8" s="178"/>
      <c r="G8" s="48"/>
      <c r="I8" s="17"/>
      <c r="J8" s="5" t="s">
        <v>141</v>
      </c>
      <c r="K8" s="53" t="s">
        <v>149</v>
      </c>
      <c r="L8" s="53"/>
      <c r="M8" s="53"/>
      <c r="N8" s="53"/>
      <c r="O8" s="53"/>
      <c r="P8" s="53"/>
      <c r="Q8" s="53"/>
      <c r="R8" s="53"/>
      <c r="S8" s="53"/>
      <c r="T8" s="53"/>
      <c r="U8" s="53"/>
      <c r="V8" s="53" t="s">
        <v>149</v>
      </c>
      <c r="W8" s="5"/>
      <c r="X8" s="120" t="s">
        <v>151</v>
      </c>
      <c r="Y8" s="54" t="s">
        <v>152</v>
      </c>
      <c r="Z8" s="55">
        <f t="shared" si="0"/>
        <v>0</v>
      </c>
      <c r="AA8" s="101">
        <f t="shared" si="1"/>
        <v>0</v>
      </c>
      <c r="AB8" s="102">
        <f t="shared" si="2"/>
        <v>0</v>
      </c>
      <c r="AC8" s="103">
        <f t="shared" si="3"/>
        <v>0</v>
      </c>
      <c r="AD8" s="103">
        <f t="shared" si="4"/>
        <v>0</v>
      </c>
      <c r="AE8" s="18"/>
    </row>
    <row r="9" spans="2:32" ht="15" customHeight="1" x14ac:dyDescent="0.2">
      <c r="B9" s="47"/>
      <c r="C9" s="111" t="s">
        <v>196</v>
      </c>
      <c r="D9" s="113">
        <v>36.4</v>
      </c>
      <c r="E9" s="158"/>
      <c r="F9" s="159">
        <v>6000</v>
      </c>
      <c r="G9" s="48"/>
      <c r="I9" s="17"/>
      <c r="J9" s="5" t="s">
        <v>142</v>
      </c>
      <c r="K9" s="53" t="s">
        <v>149</v>
      </c>
      <c r="L9" s="53"/>
      <c r="M9" s="53"/>
      <c r="N9" s="53"/>
      <c r="O9" s="53"/>
      <c r="P9" s="53"/>
      <c r="Q9" s="53"/>
      <c r="R9" s="53"/>
      <c r="S9" s="53"/>
      <c r="T9" s="53"/>
      <c r="U9" s="53"/>
      <c r="V9" s="53" t="s">
        <v>149</v>
      </c>
      <c r="W9" s="5"/>
      <c r="X9" s="121" t="s">
        <v>153</v>
      </c>
      <c r="Y9" s="54" t="s">
        <v>154</v>
      </c>
      <c r="Z9" s="55">
        <f t="shared" si="0"/>
        <v>0</v>
      </c>
      <c r="AA9" s="101">
        <f t="shared" si="1"/>
        <v>0</v>
      </c>
      <c r="AB9" s="102">
        <f t="shared" si="2"/>
        <v>0</v>
      </c>
      <c r="AC9" s="103">
        <f t="shared" si="3"/>
        <v>0</v>
      </c>
      <c r="AD9" s="103">
        <f t="shared" si="4"/>
        <v>0</v>
      </c>
      <c r="AE9" s="18"/>
    </row>
    <row r="10" spans="2:32" ht="15" customHeight="1" x14ac:dyDescent="0.2">
      <c r="B10" s="47"/>
      <c r="C10" s="112" t="s">
        <v>197</v>
      </c>
      <c r="D10" s="106">
        <v>37.6</v>
      </c>
      <c r="E10" s="178" t="s">
        <v>228</v>
      </c>
      <c r="F10" s="178"/>
      <c r="G10" s="48"/>
      <c r="I10" s="17"/>
      <c r="J10" s="5" t="s">
        <v>143</v>
      </c>
      <c r="K10" s="53" t="s">
        <v>149</v>
      </c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 t="s">
        <v>149</v>
      </c>
      <c r="W10" s="5"/>
      <c r="X10" s="122" t="s">
        <v>188</v>
      </c>
      <c r="Y10" s="54" t="s">
        <v>190</v>
      </c>
      <c r="Z10" s="55">
        <f t="shared" si="0"/>
        <v>0</v>
      </c>
      <c r="AA10" s="101">
        <f t="shared" si="1"/>
        <v>0</v>
      </c>
      <c r="AB10" s="102">
        <f t="shared" si="2"/>
        <v>0</v>
      </c>
      <c r="AC10" s="103">
        <f t="shared" si="3"/>
        <v>0</v>
      </c>
      <c r="AD10" s="103">
        <f t="shared" si="4"/>
        <v>0</v>
      </c>
      <c r="AE10" s="18"/>
    </row>
    <row r="11" spans="2:32" ht="15" customHeight="1" x14ac:dyDescent="0.2">
      <c r="B11" s="49"/>
      <c r="C11" s="111" t="s">
        <v>198</v>
      </c>
      <c r="D11" s="7" t="str">
        <f ca="1">IF(COUNTIFS(Data!B38:BM38,"&lt;="&amp;$D$10,Data!B38:BM38,"&gt;="&amp;$D$9) =number_of_cycles, "OK", "T° PB !")</f>
        <v>OK</v>
      </c>
      <c r="E11" s="158"/>
      <c r="F11" s="160">
        <v>500</v>
      </c>
      <c r="G11" s="50"/>
      <c r="I11" s="17"/>
      <c r="J11" s="5" t="s">
        <v>144</v>
      </c>
      <c r="K11" s="53" t="s">
        <v>149</v>
      </c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 t="s">
        <v>149</v>
      </c>
      <c r="W11" s="5"/>
      <c r="X11" s="123" t="s">
        <v>189</v>
      </c>
      <c r="Y11" s="54" t="s">
        <v>192</v>
      </c>
      <c r="Z11" s="55">
        <f t="shared" si="0"/>
        <v>0</v>
      </c>
      <c r="AA11" s="101">
        <f t="shared" si="1"/>
        <v>0</v>
      </c>
      <c r="AB11" s="102">
        <f t="shared" si="2"/>
        <v>0</v>
      </c>
      <c r="AC11" s="103">
        <f t="shared" si="3"/>
        <v>0</v>
      </c>
      <c r="AD11" s="103">
        <f t="shared" si="4"/>
        <v>0</v>
      </c>
      <c r="AE11" s="18"/>
    </row>
    <row r="12" spans="2:32" ht="15" customHeight="1" x14ac:dyDescent="0.2">
      <c r="B12" s="49"/>
      <c r="C12" s="105"/>
      <c r="D12" s="105"/>
      <c r="E12" s="105"/>
      <c r="F12" s="105"/>
      <c r="G12" s="50"/>
      <c r="I12" s="17"/>
      <c r="J12" s="5" t="s">
        <v>145</v>
      </c>
      <c r="K12" s="53" t="s">
        <v>149</v>
      </c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 t="s">
        <v>149</v>
      </c>
      <c r="W12" s="5"/>
      <c r="X12" s="124" t="s">
        <v>191</v>
      </c>
      <c r="Y12" s="54" t="s">
        <v>194</v>
      </c>
      <c r="Z12" s="55">
        <f t="shared" si="0"/>
        <v>0</v>
      </c>
      <c r="AA12" s="101">
        <f t="shared" si="1"/>
        <v>0</v>
      </c>
      <c r="AB12" s="102">
        <f t="shared" si="2"/>
        <v>0</v>
      </c>
      <c r="AC12" s="103">
        <f t="shared" si="3"/>
        <v>0</v>
      </c>
      <c r="AD12" s="103">
        <f t="shared" si="4"/>
        <v>0</v>
      </c>
      <c r="AE12" s="18"/>
    </row>
    <row r="13" spans="2:32" ht="15" customHeight="1" x14ac:dyDescent="0.2">
      <c r="B13" s="49"/>
      <c r="C13" s="7"/>
      <c r="D13" s="7"/>
      <c r="E13" s="175" t="s">
        <v>222</v>
      </c>
      <c r="F13" s="176"/>
      <c r="G13" s="50"/>
      <c r="I13" s="17"/>
      <c r="J13" s="5" t="s">
        <v>146</v>
      </c>
      <c r="K13" s="53" t="s">
        <v>149</v>
      </c>
      <c r="L13" s="53" t="s">
        <v>149</v>
      </c>
      <c r="M13" s="53" t="s">
        <v>149</v>
      </c>
      <c r="N13" s="53" t="s">
        <v>149</v>
      </c>
      <c r="O13" s="53" t="s">
        <v>149</v>
      </c>
      <c r="P13" s="53" t="s">
        <v>149</v>
      </c>
      <c r="Q13" s="53" t="s">
        <v>149</v>
      </c>
      <c r="R13" s="53" t="s">
        <v>149</v>
      </c>
      <c r="S13" s="53" t="s">
        <v>149</v>
      </c>
      <c r="T13" s="53" t="s">
        <v>149</v>
      </c>
      <c r="U13" s="53" t="s">
        <v>149</v>
      </c>
      <c r="V13" s="53" t="s">
        <v>149</v>
      </c>
      <c r="W13" s="5"/>
      <c r="X13" s="125" t="s">
        <v>193</v>
      </c>
      <c r="Y13" s="54" t="s">
        <v>195</v>
      </c>
      <c r="Z13" s="55">
        <f t="shared" si="0"/>
        <v>0</v>
      </c>
      <c r="AA13" s="101">
        <f t="shared" si="1"/>
        <v>0</v>
      </c>
      <c r="AB13" s="102">
        <f t="shared" si="2"/>
        <v>0</v>
      </c>
      <c r="AC13" s="103">
        <f t="shared" si="3"/>
        <v>0</v>
      </c>
      <c r="AD13" s="103">
        <f t="shared" si="4"/>
        <v>0</v>
      </c>
      <c r="AE13" s="18"/>
    </row>
    <row r="14" spans="2:32" ht="15" customHeight="1" x14ac:dyDescent="0.2">
      <c r="B14" s="49"/>
      <c r="C14" s="105" t="s">
        <v>168</v>
      </c>
      <c r="D14" s="105" t="s">
        <v>172</v>
      </c>
      <c r="E14" s="156" t="s">
        <v>221</v>
      </c>
      <c r="F14" s="157" t="s">
        <v>220</v>
      </c>
      <c r="G14" s="50"/>
      <c r="I14" s="17"/>
      <c r="J14" s="152"/>
      <c r="K14" s="152"/>
      <c r="L14" s="152"/>
      <c r="M14" s="152"/>
      <c r="N14" s="152"/>
      <c r="O14" s="152"/>
      <c r="P14" s="152"/>
      <c r="Q14" s="152"/>
      <c r="R14" s="152"/>
      <c r="S14" s="152"/>
      <c r="T14" s="152"/>
      <c r="U14" s="152"/>
      <c r="V14" s="152"/>
      <c r="W14" s="5"/>
      <c r="X14" s="5"/>
      <c r="Y14" s="5"/>
      <c r="Z14" s="5"/>
      <c r="AA14" s="5"/>
      <c r="AB14" s="5"/>
      <c r="AC14" s="5"/>
      <c r="AD14" s="5"/>
      <c r="AE14" s="18"/>
    </row>
    <row r="15" spans="2:32" ht="15" customHeight="1" thickBot="1" x14ac:dyDescent="0.25">
      <c r="B15" s="49"/>
      <c r="C15" s="126" t="s">
        <v>199</v>
      </c>
      <c r="D15" s="62" t="s">
        <v>66</v>
      </c>
      <c r="E15" s="139">
        <v>10000</v>
      </c>
      <c r="F15" s="139">
        <v>15000</v>
      </c>
      <c r="G15" s="50"/>
      <c r="I15" s="19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1"/>
    </row>
    <row r="16" spans="2:32" s="4" customFormat="1" ht="15" customHeight="1" thickBot="1" x14ac:dyDescent="0.25">
      <c r="B16" s="49"/>
      <c r="C16" s="127" t="s">
        <v>200</v>
      </c>
      <c r="D16" s="63" t="s">
        <v>67</v>
      </c>
      <c r="E16" s="139">
        <v>10000</v>
      </c>
      <c r="F16" s="139">
        <v>15000</v>
      </c>
      <c r="G16" s="50"/>
    </row>
    <row r="17" spans="2:31" ht="15" customHeight="1" thickBot="1" x14ac:dyDescent="0.25">
      <c r="B17" s="49"/>
      <c r="C17" s="127" t="s">
        <v>201</v>
      </c>
      <c r="D17" s="64" t="s">
        <v>68</v>
      </c>
      <c r="E17" s="139">
        <v>10000</v>
      </c>
      <c r="F17" s="139">
        <v>15000</v>
      </c>
      <c r="G17" s="50"/>
      <c r="I17" s="30"/>
      <c r="J17" s="31" t="s">
        <v>156</v>
      </c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2"/>
    </row>
    <row r="18" spans="2:31" s="4" customFormat="1" ht="15" customHeight="1" thickBot="1" x14ac:dyDescent="0.25">
      <c r="B18" s="49"/>
      <c r="C18" s="127" t="s">
        <v>202</v>
      </c>
      <c r="D18" s="65" t="s">
        <v>69</v>
      </c>
      <c r="E18" s="139">
        <v>10000</v>
      </c>
      <c r="F18" s="139">
        <v>15000</v>
      </c>
      <c r="G18" s="50"/>
    </row>
    <row r="19" spans="2:31" ht="15" customHeight="1" x14ac:dyDescent="0.2">
      <c r="B19" s="49"/>
      <c r="C19" s="127" t="s">
        <v>203</v>
      </c>
      <c r="D19" s="66" t="s">
        <v>70</v>
      </c>
      <c r="E19" s="139">
        <v>10000</v>
      </c>
      <c r="F19" s="139">
        <v>15000</v>
      </c>
      <c r="G19" s="50"/>
      <c r="I19" s="22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4"/>
    </row>
    <row r="20" spans="2:31" ht="15" customHeight="1" x14ac:dyDescent="0.2">
      <c r="B20" s="49"/>
      <c r="C20" s="127" t="s">
        <v>204</v>
      </c>
      <c r="D20" s="67" t="s">
        <v>71</v>
      </c>
      <c r="E20" s="139">
        <v>10000</v>
      </c>
      <c r="F20" s="139">
        <v>15000</v>
      </c>
      <c r="G20" s="50"/>
      <c r="I20" s="25"/>
      <c r="J20" s="6"/>
      <c r="K20" s="6">
        <v>1</v>
      </c>
      <c r="L20" s="6">
        <v>2</v>
      </c>
      <c r="M20" s="6">
        <v>3</v>
      </c>
      <c r="N20" s="6">
        <v>4</v>
      </c>
      <c r="O20" s="6">
        <v>5</v>
      </c>
      <c r="P20" s="6">
        <v>6</v>
      </c>
      <c r="Q20" s="6">
        <v>7</v>
      </c>
      <c r="R20" s="6">
        <v>8</v>
      </c>
      <c r="S20" s="6">
        <v>9</v>
      </c>
      <c r="T20" s="6">
        <v>10</v>
      </c>
      <c r="U20" s="6">
        <v>11</v>
      </c>
      <c r="V20" s="6">
        <v>12</v>
      </c>
      <c r="W20" s="6"/>
      <c r="X20" s="6"/>
      <c r="Y20" s="6"/>
      <c r="Z20" s="6"/>
      <c r="AA20" s="6"/>
      <c r="AB20" s="6"/>
      <c r="AC20" s="6"/>
      <c r="AD20" s="6"/>
      <c r="AE20" s="26"/>
    </row>
    <row r="21" spans="2:31" ht="15" customHeight="1" x14ac:dyDescent="0.2">
      <c r="B21" s="49"/>
      <c r="C21" s="127" t="s">
        <v>205</v>
      </c>
      <c r="D21" s="68" t="s">
        <v>72</v>
      </c>
      <c r="E21" s="139">
        <v>10000</v>
      </c>
      <c r="F21" s="139">
        <v>15000</v>
      </c>
      <c r="G21" s="50"/>
      <c r="I21" s="25"/>
      <c r="J21" s="6" t="s">
        <v>139</v>
      </c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6"/>
      <c r="X21" s="6"/>
      <c r="Y21" s="6"/>
      <c r="Z21" s="6"/>
      <c r="AA21" s="6"/>
      <c r="AB21" s="6"/>
      <c r="AC21" s="6"/>
      <c r="AD21" s="6"/>
      <c r="AE21" s="26"/>
    </row>
    <row r="22" spans="2:31" ht="15" customHeight="1" x14ac:dyDescent="0.2">
      <c r="B22" s="49"/>
      <c r="C22" s="127" t="s">
        <v>206</v>
      </c>
      <c r="D22" s="69" t="s">
        <v>73</v>
      </c>
      <c r="E22" s="139">
        <v>10000</v>
      </c>
      <c r="F22" s="139">
        <v>15000</v>
      </c>
      <c r="G22" s="50"/>
      <c r="I22" s="25"/>
      <c r="J22" s="6" t="s">
        <v>140</v>
      </c>
      <c r="K22" s="56"/>
      <c r="L22" s="137" t="s">
        <v>149</v>
      </c>
      <c r="M22" s="56" t="s">
        <v>149</v>
      </c>
      <c r="N22" s="56" t="s">
        <v>149</v>
      </c>
      <c r="O22" s="56" t="s">
        <v>149</v>
      </c>
      <c r="P22" s="56" t="s">
        <v>149</v>
      </c>
      <c r="Q22" s="56" t="s">
        <v>149</v>
      </c>
      <c r="R22" s="56" t="s">
        <v>149</v>
      </c>
      <c r="S22" s="56" t="s">
        <v>149</v>
      </c>
      <c r="T22" s="56" t="s">
        <v>149</v>
      </c>
      <c r="U22" s="56" t="s">
        <v>149</v>
      </c>
      <c r="V22" s="56"/>
      <c r="W22" s="6"/>
      <c r="X22" s="6"/>
      <c r="Y22" s="6"/>
      <c r="Z22" s="6"/>
      <c r="AA22" s="6"/>
      <c r="AB22" s="6"/>
      <c r="AC22" s="6"/>
      <c r="AD22" s="6"/>
      <c r="AE22" s="26"/>
    </row>
    <row r="23" spans="2:31" ht="15" customHeight="1" x14ac:dyDescent="0.2">
      <c r="B23" s="49"/>
      <c r="C23" s="127" t="s">
        <v>207</v>
      </c>
      <c r="D23" s="70" t="s">
        <v>74</v>
      </c>
      <c r="E23" s="139">
        <v>10000</v>
      </c>
      <c r="F23" s="139">
        <v>15000</v>
      </c>
      <c r="G23" s="50"/>
      <c r="I23" s="25"/>
      <c r="J23" s="6" t="s">
        <v>141</v>
      </c>
      <c r="K23" s="56"/>
      <c r="L23" s="56" t="s">
        <v>149</v>
      </c>
      <c r="M23" s="56" t="s">
        <v>149</v>
      </c>
      <c r="N23" s="56" t="s">
        <v>149</v>
      </c>
      <c r="O23" s="56" t="s">
        <v>149</v>
      </c>
      <c r="P23" s="56" t="s">
        <v>149</v>
      </c>
      <c r="Q23" s="56" t="s">
        <v>149</v>
      </c>
      <c r="R23" s="56" t="s">
        <v>149</v>
      </c>
      <c r="S23" s="56" t="s">
        <v>149</v>
      </c>
      <c r="T23" s="56" t="s">
        <v>149</v>
      </c>
      <c r="U23" s="56" t="s">
        <v>149</v>
      </c>
      <c r="V23" s="56"/>
      <c r="W23" s="6"/>
      <c r="X23" s="6"/>
      <c r="Y23" s="6"/>
      <c r="Z23" s="6"/>
      <c r="AA23" s="6"/>
      <c r="AB23" s="6"/>
      <c r="AC23" s="6"/>
      <c r="AD23" s="6"/>
      <c r="AE23" s="26"/>
    </row>
    <row r="24" spans="2:31" ht="15" customHeight="1" x14ac:dyDescent="0.2">
      <c r="B24" s="49"/>
      <c r="C24" s="127" t="s">
        <v>208</v>
      </c>
      <c r="D24" s="71" t="s">
        <v>75</v>
      </c>
      <c r="E24" s="139">
        <v>10000</v>
      </c>
      <c r="F24" s="139">
        <v>15000</v>
      </c>
      <c r="G24" s="50"/>
      <c r="I24" s="25"/>
      <c r="J24" s="6" t="s">
        <v>142</v>
      </c>
      <c r="K24" s="56"/>
      <c r="L24" s="56" t="s">
        <v>149</v>
      </c>
      <c r="M24" s="56" t="s">
        <v>149</v>
      </c>
      <c r="N24" s="56" t="s">
        <v>149</v>
      </c>
      <c r="O24" s="56" t="s">
        <v>149</v>
      </c>
      <c r="P24" s="56" t="s">
        <v>149</v>
      </c>
      <c r="Q24" s="56" t="s">
        <v>149</v>
      </c>
      <c r="R24" s="56" t="s">
        <v>149</v>
      </c>
      <c r="S24" s="56" t="s">
        <v>149</v>
      </c>
      <c r="T24" s="56" t="s">
        <v>149</v>
      </c>
      <c r="U24" s="56" t="s">
        <v>149</v>
      </c>
      <c r="V24" s="56"/>
      <c r="W24" s="6"/>
      <c r="X24" s="6"/>
      <c r="Y24" s="6"/>
      <c r="Z24" s="6"/>
      <c r="AA24" s="6"/>
      <c r="AB24" s="6"/>
      <c r="AC24" s="6"/>
      <c r="AD24" s="6"/>
      <c r="AE24" s="26"/>
    </row>
    <row r="25" spans="2:31" ht="15" customHeight="1" x14ac:dyDescent="0.2">
      <c r="B25" s="49"/>
      <c r="C25" s="127" t="s">
        <v>209</v>
      </c>
      <c r="D25" s="72" t="s">
        <v>76</v>
      </c>
      <c r="E25" s="139">
        <v>10000</v>
      </c>
      <c r="F25" s="139">
        <v>15000</v>
      </c>
      <c r="G25" s="50"/>
      <c r="I25" s="25"/>
      <c r="J25" s="6" t="s">
        <v>143</v>
      </c>
      <c r="K25" s="56"/>
      <c r="L25" s="56" t="s">
        <v>149</v>
      </c>
      <c r="M25" s="56" t="s">
        <v>149</v>
      </c>
      <c r="N25" s="56" t="s">
        <v>149</v>
      </c>
      <c r="O25" s="56" t="s">
        <v>149</v>
      </c>
      <c r="P25" s="56" t="s">
        <v>149</v>
      </c>
      <c r="Q25" s="56" t="s">
        <v>149</v>
      </c>
      <c r="R25" s="56" t="s">
        <v>149</v>
      </c>
      <c r="S25" s="56" t="s">
        <v>149</v>
      </c>
      <c r="T25" s="56" t="s">
        <v>149</v>
      </c>
      <c r="U25" s="56" t="s">
        <v>149</v>
      </c>
      <c r="V25" s="56"/>
      <c r="W25" s="6"/>
      <c r="X25" s="6"/>
      <c r="Y25" s="6"/>
      <c r="Z25" s="6"/>
      <c r="AA25" s="6"/>
      <c r="AB25" s="6"/>
      <c r="AC25" s="6"/>
      <c r="AD25" s="6"/>
      <c r="AE25" s="26"/>
    </row>
    <row r="26" spans="2:31" ht="15" customHeight="1" x14ac:dyDescent="0.2">
      <c r="B26" s="49"/>
      <c r="C26" s="127" t="s">
        <v>210</v>
      </c>
      <c r="D26" s="73" t="s">
        <v>77</v>
      </c>
      <c r="E26" s="139">
        <v>10000</v>
      </c>
      <c r="F26" s="139">
        <v>15000</v>
      </c>
      <c r="G26" s="50"/>
      <c r="I26" s="25"/>
      <c r="J26" s="6" t="s">
        <v>144</v>
      </c>
      <c r="K26" s="56"/>
      <c r="L26" s="56" t="s">
        <v>149</v>
      </c>
      <c r="M26" s="56" t="s">
        <v>149</v>
      </c>
      <c r="N26" s="56" t="s">
        <v>149</v>
      </c>
      <c r="O26" s="56" t="s">
        <v>149</v>
      </c>
      <c r="P26" s="56" t="s">
        <v>149</v>
      </c>
      <c r="Q26" s="56" t="s">
        <v>149</v>
      </c>
      <c r="R26" s="56" t="s">
        <v>149</v>
      </c>
      <c r="S26" s="56" t="s">
        <v>149</v>
      </c>
      <c r="T26" s="56" t="s">
        <v>149</v>
      </c>
      <c r="U26" s="56" t="s">
        <v>149</v>
      </c>
      <c r="V26" s="56"/>
      <c r="W26" s="6"/>
      <c r="X26" s="6"/>
      <c r="Y26" s="6"/>
      <c r="Z26" s="6"/>
      <c r="AA26" s="6"/>
      <c r="AB26" s="6"/>
      <c r="AC26" s="6"/>
      <c r="AD26" s="6"/>
      <c r="AE26" s="26"/>
    </row>
    <row r="27" spans="2:31" ht="15" customHeight="1" x14ac:dyDescent="0.2">
      <c r="B27" s="49"/>
      <c r="C27" s="127" t="s">
        <v>212</v>
      </c>
      <c r="D27" s="74" t="s">
        <v>169</v>
      </c>
      <c r="E27" s="139">
        <v>10000</v>
      </c>
      <c r="F27" s="139">
        <v>15000</v>
      </c>
      <c r="G27" s="50"/>
      <c r="I27" s="25"/>
      <c r="J27" s="6" t="s">
        <v>145</v>
      </c>
      <c r="K27" s="56"/>
      <c r="L27" s="56" t="s">
        <v>149</v>
      </c>
      <c r="M27" s="56" t="s">
        <v>149</v>
      </c>
      <c r="N27" s="56" t="s">
        <v>149</v>
      </c>
      <c r="O27" s="56" t="s">
        <v>149</v>
      </c>
      <c r="P27" s="56" t="s">
        <v>149</v>
      </c>
      <c r="Q27" s="56" t="s">
        <v>149</v>
      </c>
      <c r="R27" s="56" t="s">
        <v>149</v>
      </c>
      <c r="S27" s="56" t="s">
        <v>149</v>
      </c>
      <c r="T27" s="56" t="s">
        <v>149</v>
      </c>
      <c r="U27" s="56" t="s">
        <v>149</v>
      </c>
      <c r="V27" s="56"/>
      <c r="W27" s="6"/>
      <c r="X27" s="6"/>
      <c r="Y27" s="6"/>
      <c r="Z27" s="6"/>
      <c r="AA27" s="6"/>
      <c r="AB27" s="6"/>
      <c r="AC27" s="6"/>
      <c r="AD27" s="6"/>
      <c r="AE27" s="26"/>
    </row>
    <row r="28" spans="2:31" ht="15" customHeight="1" x14ac:dyDescent="0.2">
      <c r="B28" s="49"/>
      <c r="C28" s="127" t="s">
        <v>211</v>
      </c>
      <c r="D28" s="75" t="s">
        <v>170</v>
      </c>
      <c r="E28" s="139">
        <v>10000</v>
      </c>
      <c r="F28" s="139">
        <v>15000</v>
      </c>
      <c r="G28" s="50"/>
      <c r="I28" s="25"/>
      <c r="J28" s="6" t="s">
        <v>146</v>
      </c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6"/>
      <c r="X28" s="6"/>
      <c r="Y28" s="6"/>
      <c r="Z28" s="6"/>
      <c r="AA28" s="6"/>
      <c r="AB28" s="6"/>
      <c r="AC28" s="6"/>
      <c r="AD28" s="6"/>
      <c r="AE28" s="26"/>
    </row>
    <row r="29" spans="2:31" ht="15" customHeight="1" thickBot="1" x14ac:dyDescent="0.25">
      <c r="B29" s="49"/>
      <c r="C29" s="127" t="s">
        <v>213</v>
      </c>
      <c r="D29" s="76" t="s">
        <v>171</v>
      </c>
      <c r="E29" s="139">
        <v>10000</v>
      </c>
      <c r="F29" s="139">
        <v>15000</v>
      </c>
      <c r="G29" s="50"/>
      <c r="I29" s="27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9"/>
    </row>
    <row r="30" spans="2:31" s="4" customFormat="1" ht="15" customHeight="1" thickBot="1" x14ac:dyDescent="0.25">
      <c r="B30" s="49"/>
      <c r="C30" s="127" t="s">
        <v>214</v>
      </c>
      <c r="D30" s="77" t="s">
        <v>174</v>
      </c>
      <c r="E30" s="139">
        <v>10000</v>
      </c>
      <c r="F30" s="139">
        <v>15000</v>
      </c>
      <c r="G30" s="50"/>
    </row>
    <row r="31" spans="2:31" ht="15" customHeight="1" thickBot="1" x14ac:dyDescent="0.25">
      <c r="B31" s="49"/>
      <c r="C31" s="127" t="s">
        <v>215</v>
      </c>
      <c r="D31" s="78" t="s">
        <v>175</v>
      </c>
      <c r="E31" s="139">
        <v>10000</v>
      </c>
      <c r="F31" s="139">
        <v>15000</v>
      </c>
      <c r="G31" s="50"/>
      <c r="I31" s="33"/>
      <c r="J31" s="34" t="s">
        <v>167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5"/>
    </row>
    <row r="32" spans="2:31" s="4" customFormat="1" ht="15" customHeight="1" thickBot="1" x14ac:dyDescent="0.25">
      <c r="B32" s="49"/>
      <c r="C32" s="127" t="s">
        <v>216</v>
      </c>
      <c r="D32" s="79" t="s">
        <v>176</v>
      </c>
      <c r="E32" s="139">
        <v>10000</v>
      </c>
      <c r="F32" s="139">
        <v>15000</v>
      </c>
      <c r="G32" s="50"/>
    </row>
    <row r="33" spans="2:31" ht="15" customHeight="1" x14ac:dyDescent="0.2">
      <c r="B33" s="49"/>
      <c r="C33" s="138" t="s">
        <v>217</v>
      </c>
      <c r="D33" s="80" t="s">
        <v>180</v>
      </c>
      <c r="E33" s="139">
        <v>10000</v>
      </c>
      <c r="F33" s="139">
        <v>15000</v>
      </c>
      <c r="G33" s="50"/>
      <c r="I33" s="36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8"/>
    </row>
    <row r="34" spans="2:31" ht="15" customHeight="1" x14ac:dyDescent="0.2">
      <c r="B34" s="49"/>
      <c r="C34" s="139" t="s">
        <v>218</v>
      </c>
      <c r="D34" s="81" t="s">
        <v>181</v>
      </c>
      <c r="E34" s="139">
        <v>10000</v>
      </c>
      <c r="F34" s="139">
        <v>15000</v>
      </c>
      <c r="G34" s="50"/>
      <c r="I34" s="39"/>
      <c r="J34" s="8"/>
      <c r="K34" s="8">
        <v>1</v>
      </c>
      <c r="L34" s="8">
        <v>2</v>
      </c>
      <c r="M34" s="8">
        <v>3</v>
      </c>
      <c r="N34" s="8">
        <v>4</v>
      </c>
      <c r="O34" s="8">
        <v>5</v>
      </c>
      <c r="P34" s="8">
        <v>6</v>
      </c>
      <c r="Q34" s="8">
        <v>7</v>
      </c>
      <c r="R34" s="8">
        <v>8</v>
      </c>
      <c r="S34" s="8">
        <v>9</v>
      </c>
      <c r="T34" s="8">
        <v>10</v>
      </c>
      <c r="U34" s="8">
        <v>11</v>
      </c>
      <c r="V34" s="8">
        <v>12</v>
      </c>
      <c r="W34" s="8"/>
      <c r="X34" s="8"/>
      <c r="Y34" s="8"/>
      <c r="Z34" s="8"/>
      <c r="AA34" s="8"/>
      <c r="AB34" s="8"/>
      <c r="AC34" s="8"/>
      <c r="AD34" s="8"/>
      <c r="AE34" s="40"/>
    </row>
    <row r="35" spans="2:31" ht="15" customHeight="1" x14ac:dyDescent="0.2">
      <c r="B35" s="49"/>
      <c r="C35" s="139" t="s">
        <v>219</v>
      </c>
      <c r="D35" s="82" t="s">
        <v>182</v>
      </c>
      <c r="E35" s="139">
        <v>10000</v>
      </c>
      <c r="F35" s="139">
        <v>15000</v>
      </c>
      <c r="G35" s="50"/>
      <c r="I35" s="39"/>
      <c r="J35" s="8" t="s">
        <v>139</v>
      </c>
      <c r="K35" s="61"/>
      <c r="L35" s="61"/>
      <c r="M35" s="61"/>
      <c r="N35" s="57"/>
      <c r="O35" s="57"/>
      <c r="P35" s="57"/>
      <c r="Q35" s="57"/>
      <c r="R35" s="57"/>
      <c r="S35" s="57"/>
      <c r="T35" s="57"/>
      <c r="U35" s="57"/>
      <c r="V35" s="57"/>
      <c r="W35" s="8"/>
      <c r="X35" s="8"/>
      <c r="Y35" s="8"/>
      <c r="Z35" s="8"/>
      <c r="AA35" s="8"/>
      <c r="AB35" s="177" t="s">
        <v>223</v>
      </c>
      <c r="AC35" s="8"/>
      <c r="AD35" s="8"/>
      <c r="AE35" s="40"/>
    </row>
    <row r="36" spans="2:31" ht="15" customHeight="1" x14ac:dyDescent="0.2">
      <c r="B36" s="49"/>
      <c r="C36" s="127"/>
      <c r="D36" s="83" t="s">
        <v>183</v>
      </c>
      <c r="E36" s="139"/>
      <c r="F36" s="139"/>
      <c r="G36" s="50"/>
      <c r="I36" s="39"/>
      <c r="J36" s="8" t="s">
        <v>140</v>
      </c>
      <c r="K36" s="57"/>
      <c r="L36" s="62" t="s">
        <v>66</v>
      </c>
      <c r="M36" s="62" t="s">
        <v>66</v>
      </c>
      <c r="N36" s="62" t="s">
        <v>66</v>
      </c>
      <c r="O36" s="90" t="s">
        <v>67</v>
      </c>
      <c r="P36" s="90" t="s">
        <v>67</v>
      </c>
      <c r="Q36" s="90" t="s">
        <v>67</v>
      </c>
      <c r="R36" s="91" t="s">
        <v>68</v>
      </c>
      <c r="S36" s="91" t="s">
        <v>68</v>
      </c>
      <c r="T36" s="91" t="s">
        <v>68</v>
      </c>
      <c r="U36" s="95" t="s">
        <v>72</v>
      </c>
      <c r="V36" s="57"/>
      <c r="W36" s="8"/>
      <c r="X36" s="8"/>
      <c r="Y36" s="8"/>
      <c r="Z36" s="8"/>
      <c r="AA36" s="8"/>
      <c r="AB36" s="177"/>
      <c r="AC36" s="8"/>
      <c r="AD36" s="8"/>
      <c r="AE36" s="40"/>
    </row>
    <row r="37" spans="2:31" ht="15" customHeight="1" x14ac:dyDescent="0.2">
      <c r="B37" s="49"/>
      <c r="C37" s="127"/>
      <c r="D37" s="84" t="s">
        <v>184</v>
      </c>
      <c r="E37" s="139"/>
      <c r="F37" s="139"/>
      <c r="G37" s="50"/>
      <c r="I37" s="39"/>
      <c r="J37" s="8" t="s">
        <v>141</v>
      </c>
      <c r="K37" s="61"/>
      <c r="L37" s="92" t="s">
        <v>69</v>
      </c>
      <c r="M37" s="92" t="s">
        <v>69</v>
      </c>
      <c r="N37" s="92" t="s">
        <v>69</v>
      </c>
      <c r="O37" s="93" t="s">
        <v>70</v>
      </c>
      <c r="P37" s="93" t="s">
        <v>70</v>
      </c>
      <c r="Q37" s="93" t="s">
        <v>70</v>
      </c>
      <c r="R37" s="94" t="s">
        <v>71</v>
      </c>
      <c r="S37" s="94" t="s">
        <v>71</v>
      </c>
      <c r="T37" s="94" t="s">
        <v>71</v>
      </c>
      <c r="U37" s="95" t="s">
        <v>72</v>
      </c>
      <c r="V37" s="57"/>
      <c r="W37" s="8"/>
      <c r="X37" s="8"/>
      <c r="Y37" s="8"/>
      <c r="Z37" s="8"/>
      <c r="AA37" s="8"/>
      <c r="AB37" s="8"/>
      <c r="AC37" s="8"/>
      <c r="AD37" s="8"/>
      <c r="AE37" s="40"/>
    </row>
    <row r="38" spans="2:31" ht="15" customHeight="1" x14ac:dyDescent="0.2">
      <c r="B38" s="49"/>
      <c r="C38" s="127"/>
      <c r="D38" s="85" t="s">
        <v>177</v>
      </c>
      <c r="E38" s="139"/>
      <c r="F38" s="139"/>
      <c r="G38" s="50"/>
      <c r="I38" s="39"/>
      <c r="J38" s="8" t="s">
        <v>142</v>
      </c>
      <c r="K38" s="61"/>
      <c r="L38" s="96" t="s">
        <v>73</v>
      </c>
      <c r="M38" s="96" t="s">
        <v>73</v>
      </c>
      <c r="N38" s="96" t="s">
        <v>73</v>
      </c>
      <c r="O38" s="140" t="s">
        <v>74</v>
      </c>
      <c r="P38" s="141" t="s">
        <v>74</v>
      </c>
      <c r="Q38" s="141" t="s">
        <v>74</v>
      </c>
      <c r="R38" s="142" t="s">
        <v>75</v>
      </c>
      <c r="S38" s="143" t="s">
        <v>75</v>
      </c>
      <c r="T38" s="143" t="s">
        <v>75</v>
      </c>
      <c r="U38" s="130" t="s">
        <v>170</v>
      </c>
      <c r="V38" s="57"/>
      <c r="W38" s="8"/>
      <c r="X38" s="8"/>
      <c r="Y38" s="8"/>
      <c r="Z38" s="8"/>
      <c r="AA38" s="8"/>
      <c r="AB38" s="177"/>
      <c r="AC38" s="8"/>
      <c r="AD38" s="8"/>
      <c r="AE38" s="40"/>
    </row>
    <row r="39" spans="2:31" ht="15" customHeight="1" x14ac:dyDescent="0.2">
      <c r="B39" s="49"/>
      <c r="C39" s="127"/>
      <c r="D39" s="86" t="s">
        <v>179</v>
      </c>
      <c r="E39" s="139"/>
      <c r="F39" s="139"/>
      <c r="G39" s="50"/>
      <c r="I39" s="39"/>
      <c r="J39" s="8" t="s">
        <v>143</v>
      </c>
      <c r="K39" s="61"/>
      <c r="L39" s="144" t="s">
        <v>76</v>
      </c>
      <c r="M39" s="145" t="s">
        <v>76</v>
      </c>
      <c r="N39" s="145" t="s">
        <v>76</v>
      </c>
      <c r="O39" s="97" t="s">
        <v>77</v>
      </c>
      <c r="P39" s="97" t="s">
        <v>77</v>
      </c>
      <c r="Q39" s="97" t="s">
        <v>77</v>
      </c>
      <c r="R39" s="98" t="s">
        <v>169</v>
      </c>
      <c r="S39" s="98" t="s">
        <v>169</v>
      </c>
      <c r="T39" s="98" t="s">
        <v>169</v>
      </c>
      <c r="U39" s="130" t="s">
        <v>170</v>
      </c>
      <c r="V39" s="57"/>
      <c r="W39" s="8"/>
      <c r="X39" s="8"/>
      <c r="Y39" s="8"/>
      <c r="Z39" s="8"/>
      <c r="AA39" s="8"/>
      <c r="AB39" s="177"/>
      <c r="AC39" s="8"/>
      <c r="AD39" s="8"/>
      <c r="AE39" s="40"/>
    </row>
    <row r="40" spans="2:31" ht="15" customHeight="1" x14ac:dyDescent="0.2">
      <c r="B40" s="49"/>
      <c r="C40" s="127"/>
      <c r="D40" s="87" t="s">
        <v>178</v>
      </c>
      <c r="E40" s="139"/>
      <c r="F40" s="139"/>
      <c r="G40" s="50"/>
      <c r="I40" s="39"/>
      <c r="J40" s="8" t="s">
        <v>144</v>
      </c>
      <c r="K40" s="61"/>
      <c r="L40" s="99" t="s">
        <v>171</v>
      </c>
      <c r="M40" s="99" t="s">
        <v>171</v>
      </c>
      <c r="N40" s="99" t="s">
        <v>171</v>
      </c>
      <c r="O40" s="146" t="s">
        <v>174</v>
      </c>
      <c r="P40" s="146" t="s">
        <v>174</v>
      </c>
      <c r="Q40" s="146" t="s">
        <v>174</v>
      </c>
      <c r="R40" s="147" t="s">
        <v>175</v>
      </c>
      <c r="S40" s="147" t="s">
        <v>175</v>
      </c>
      <c r="T40" s="147" t="s">
        <v>175</v>
      </c>
      <c r="U40" s="151" t="s">
        <v>182</v>
      </c>
      <c r="V40" s="57"/>
      <c r="W40" s="8"/>
      <c r="X40" s="8"/>
      <c r="Y40" s="8"/>
      <c r="Z40" s="8"/>
      <c r="AA40" s="8"/>
      <c r="AB40" s="8"/>
      <c r="AC40" s="8"/>
      <c r="AD40" s="8"/>
      <c r="AE40" s="40"/>
    </row>
    <row r="41" spans="2:31" ht="15" customHeight="1" x14ac:dyDescent="0.2">
      <c r="B41" s="49"/>
      <c r="C41" s="128"/>
      <c r="D41" s="88" t="s">
        <v>185</v>
      </c>
      <c r="E41" s="155"/>
      <c r="F41" s="155"/>
      <c r="G41" s="50"/>
      <c r="I41" s="39"/>
      <c r="J41" s="8" t="s">
        <v>145</v>
      </c>
      <c r="K41" s="61"/>
      <c r="L41" s="148" t="s">
        <v>176</v>
      </c>
      <c r="M41" s="148" t="s">
        <v>176</v>
      </c>
      <c r="N41" s="148" t="s">
        <v>176</v>
      </c>
      <c r="O41" s="149" t="s">
        <v>180</v>
      </c>
      <c r="P41" s="149" t="s">
        <v>180</v>
      </c>
      <c r="Q41" s="149" t="s">
        <v>180</v>
      </c>
      <c r="R41" s="150" t="s">
        <v>181</v>
      </c>
      <c r="S41" s="150" t="s">
        <v>181</v>
      </c>
      <c r="T41" s="150" t="s">
        <v>181</v>
      </c>
      <c r="U41" s="151" t="s">
        <v>182</v>
      </c>
      <c r="V41" s="57"/>
      <c r="W41" s="8"/>
      <c r="X41" s="8"/>
      <c r="Y41" s="8"/>
      <c r="Z41" s="8"/>
      <c r="AA41" s="8"/>
      <c r="AB41" s="174" t="s">
        <v>227</v>
      </c>
      <c r="AC41" s="8"/>
      <c r="AD41" s="8"/>
      <c r="AE41" s="40"/>
    </row>
    <row r="42" spans="2:31" ht="15" customHeight="1" x14ac:dyDescent="0.2">
      <c r="B42" s="49"/>
      <c r="C42" s="129"/>
      <c r="D42" s="89" t="s">
        <v>186</v>
      </c>
      <c r="E42" s="129"/>
      <c r="F42" s="129"/>
      <c r="G42" s="50"/>
      <c r="I42" s="39"/>
      <c r="J42" s="8" t="s">
        <v>146</v>
      </c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8"/>
      <c r="X42" s="8"/>
      <c r="Y42" s="8"/>
      <c r="Z42" s="8"/>
      <c r="AA42" s="8"/>
      <c r="AB42" s="174"/>
      <c r="AC42" s="8"/>
      <c r="AD42" s="8"/>
      <c r="AE42" s="40"/>
    </row>
    <row r="43" spans="2:31" ht="15" customHeight="1" thickBot="1" x14ac:dyDescent="0.25">
      <c r="B43" s="51"/>
      <c r="C43" s="100"/>
      <c r="D43" s="100"/>
      <c r="E43" s="100"/>
      <c r="F43" s="100"/>
      <c r="G43" s="52"/>
      <c r="I43" s="41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3"/>
    </row>
    <row r="44" spans="2:31" s="4" customFormat="1" ht="15" customHeight="1" x14ac:dyDescent="0.2"/>
    <row r="45" spans="2:31" s="4" customFormat="1" ht="15" customHeight="1" x14ac:dyDescent="0.2"/>
    <row r="46" spans="2:31" s="4" customFormat="1" ht="15" customHeight="1" x14ac:dyDescent="0.2"/>
    <row r="47" spans="2:31" s="4" customFormat="1" ht="15" customHeight="1" x14ac:dyDescent="0.2"/>
    <row r="48" spans="2:31" s="4" customFormat="1" ht="15" customHeight="1" x14ac:dyDescent="0.2"/>
    <row r="49" s="4" customFormat="1" ht="15" customHeight="1" x14ac:dyDescent="0.2"/>
    <row r="50" s="4" customFormat="1" ht="15" customHeight="1" x14ac:dyDescent="0.2"/>
    <row r="51" s="4" customFormat="1" ht="15" customHeight="1" x14ac:dyDescent="0.2"/>
    <row r="52" s="4" customFormat="1" ht="15" customHeight="1" x14ac:dyDescent="0.2"/>
    <row r="53" s="4" customFormat="1" ht="15" customHeight="1" x14ac:dyDescent="0.2"/>
    <row r="54" s="4" customFormat="1" ht="15" customHeight="1" x14ac:dyDescent="0.2"/>
    <row r="55" s="4" customFormat="1" ht="15" customHeight="1" x14ac:dyDescent="0.2"/>
    <row r="56" s="4" customFormat="1" ht="15" customHeight="1" x14ac:dyDescent="0.2"/>
    <row r="57" s="4" customFormat="1" ht="15" customHeight="1" x14ac:dyDescent="0.2"/>
    <row r="58" s="4" customFormat="1" ht="15" customHeight="1" x14ac:dyDescent="0.2"/>
    <row r="59" s="4" customFormat="1" ht="15" customHeight="1" x14ac:dyDescent="0.2"/>
    <row r="60" s="4" customFormat="1" ht="15" customHeight="1" x14ac:dyDescent="0.2"/>
    <row r="61" s="4" customFormat="1" ht="15" customHeight="1" x14ac:dyDescent="0.2"/>
    <row r="62" s="4" customFormat="1" ht="15" customHeight="1" x14ac:dyDescent="0.2"/>
    <row r="63" s="4" customFormat="1" ht="15" customHeight="1" x14ac:dyDescent="0.2"/>
    <row r="64" s="4" customFormat="1" ht="15" customHeight="1" x14ac:dyDescent="0.2"/>
    <row r="65" s="4" customFormat="1" ht="15" customHeight="1" x14ac:dyDescent="0.2"/>
    <row r="66" s="4" customFormat="1" ht="15" customHeight="1" x14ac:dyDescent="0.2"/>
    <row r="67" s="4" customFormat="1" ht="15" customHeight="1" x14ac:dyDescent="0.2"/>
    <row r="68" s="4" customFormat="1" ht="15" customHeight="1" x14ac:dyDescent="0.2"/>
    <row r="69" s="4" customFormat="1" ht="15" customHeight="1" x14ac:dyDescent="0.2"/>
    <row r="70" s="4" customFormat="1" ht="15" customHeight="1" x14ac:dyDescent="0.2"/>
    <row r="71" s="4" customFormat="1" ht="15" customHeight="1" x14ac:dyDescent="0.2"/>
    <row r="72" s="4" customFormat="1" ht="15" customHeight="1" x14ac:dyDescent="0.2"/>
    <row r="73" s="4" customFormat="1" ht="15" customHeight="1" x14ac:dyDescent="0.2"/>
    <row r="74" s="4" customFormat="1" ht="15" customHeight="1" x14ac:dyDescent="0.2"/>
    <row r="75" s="4" customFormat="1" ht="15" customHeight="1" x14ac:dyDescent="0.2"/>
    <row r="76" s="4" customFormat="1" ht="15" customHeight="1" x14ac:dyDescent="0.2"/>
    <row r="77" s="4" customFormat="1" ht="15" customHeight="1" x14ac:dyDescent="0.2"/>
    <row r="78" s="4" customFormat="1" ht="15" customHeight="1" x14ac:dyDescent="0.2"/>
    <row r="79" s="4" customFormat="1" ht="15" customHeight="1" x14ac:dyDescent="0.2"/>
    <row r="80" s="4" customFormat="1" ht="15" customHeight="1" x14ac:dyDescent="0.2"/>
    <row r="81" s="4" customFormat="1" ht="15" customHeight="1" x14ac:dyDescent="0.2"/>
    <row r="82" s="4" customFormat="1" ht="15" customHeight="1" x14ac:dyDescent="0.2"/>
    <row r="83" s="4" customFormat="1" ht="15" customHeight="1" x14ac:dyDescent="0.2"/>
    <row r="84" s="4" customFormat="1" ht="15" customHeight="1" x14ac:dyDescent="0.2"/>
    <row r="85" s="4" customFormat="1" ht="15" customHeight="1" x14ac:dyDescent="0.2"/>
    <row r="86" s="4" customFormat="1" ht="15" customHeight="1" x14ac:dyDescent="0.2"/>
    <row r="87" s="4" customFormat="1" ht="15" customHeight="1" x14ac:dyDescent="0.2"/>
    <row r="88" s="4" customFormat="1" ht="15" customHeight="1" x14ac:dyDescent="0.2"/>
    <row r="89" s="4" customFormat="1" ht="15" customHeight="1" x14ac:dyDescent="0.2"/>
    <row r="90" s="4" customFormat="1" ht="15" customHeight="1" x14ac:dyDescent="0.2"/>
    <row r="91" s="4" customFormat="1" ht="15" customHeight="1" x14ac:dyDescent="0.2"/>
    <row r="92" s="4" customFormat="1" ht="15" customHeight="1" x14ac:dyDescent="0.2"/>
    <row r="93" s="4" customFormat="1" ht="15" customHeight="1" x14ac:dyDescent="0.2"/>
    <row r="94" s="4" customFormat="1" ht="15" customHeight="1" x14ac:dyDescent="0.2"/>
    <row r="95" s="4" customFormat="1" ht="15" customHeight="1" x14ac:dyDescent="0.2"/>
    <row r="96" s="4" customFormat="1" ht="15" customHeight="1" x14ac:dyDescent="0.2"/>
    <row r="97" s="4" customFormat="1" ht="15" customHeight="1" x14ac:dyDescent="0.2"/>
    <row r="98" s="4" customFormat="1" ht="15" customHeight="1" x14ac:dyDescent="0.2"/>
    <row r="99" s="4" customFormat="1" ht="15" customHeight="1" x14ac:dyDescent="0.2"/>
    <row r="100" s="4" customFormat="1" ht="15" customHeight="1" x14ac:dyDescent="0.2"/>
    <row r="101" s="4" customFormat="1" ht="15" customHeight="1" x14ac:dyDescent="0.2"/>
    <row r="102" s="4" customFormat="1" ht="15" customHeight="1" x14ac:dyDescent="0.2"/>
    <row r="103" s="4" customFormat="1" ht="15" customHeight="1" x14ac:dyDescent="0.2"/>
    <row r="104" s="4" customFormat="1" ht="15" customHeight="1" x14ac:dyDescent="0.2"/>
    <row r="105" s="4" customFormat="1" ht="15" customHeight="1" x14ac:dyDescent="0.2"/>
    <row r="106" s="4" customFormat="1" ht="15" customHeight="1" x14ac:dyDescent="0.2"/>
    <row r="107" s="4" customFormat="1" ht="15" customHeight="1" x14ac:dyDescent="0.2"/>
    <row r="108" s="4" customFormat="1" ht="15" customHeight="1" x14ac:dyDescent="0.2"/>
    <row r="109" s="4" customFormat="1" ht="15" customHeight="1" x14ac:dyDescent="0.2"/>
    <row r="110" s="4" customFormat="1" ht="15" customHeight="1" x14ac:dyDescent="0.2"/>
    <row r="111" s="4" customFormat="1" ht="15" customHeight="1" x14ac:dyDescent="0.2"/>
    <row r="112" s="4" customFormat="1" ht="15" customHeight="1" x14ac:dyDescent="0.2"/>
    <row r="113" s="4" customFormat="1" ht="15" customHeight="1" x14ac:dyDescent="0.2"/>
    <row r="114" s="4" customFormat="1" ht="15" customHeight="1" x14ac:dyDescent="0.2"/>
    <row r="115" s="4" customFormat="1" ht="15" customHeight="1" x14ac:dyDescent="0.2"/>
    <row r="116" s="4" customFormat="1" ht="15" customHeight="1" x14ac:dyDescent="0.2"/>
    <row r="117" s="4" customFormat="1" ht="15" customHeight="1" x14ac:dyDescent="0.2"/>
    <row r="118" s="4" customFormat="1" ht="15" customHeight="1" x14ac:dyDescent="0.2"/>
    <row r="119" s="4" customFormat="1" ht="15" customHeight="1" x14ac:dyDescent="0.2"/>
    <row r="120" s="4" customFormat="1" ht="15" customHeight="1" x14ac:dyDescent="0.2"/>
    <row r="121" s="4" customFormat="1" ht="15" customHeight="1" x14ac:dyDescent="0.2"/>
    <row r="122" s="4" customFormat="1" ht="15" customHeight="1" x14ac:dyDescent="0.2"/>
    <row r="123" s="4" customFormat="1" ht="15" customHeight="1" x14ac:dyDescent="0.2"/>
    <row r="124" s="4" customFormat="1" ht="15" customHeight="1" x14ac:dyDescent="0.2"/>
    <row r="125" s="4" customFormat="1" ht="15" customHeight="1" x14ac:dyDescent="0.2"/>
    <row r="126" s="4" customFormat="1" ht="15" customHeight="1" x14ac:dyDescent="0.2"/>
    <row r="127" s="4" customFormat="1" ht="15" customHeight="1" x14ac:dyDescent="0.2"/>
    <row r="128" s="4" customFormat="1" ht="15" customHeight="1" x14ac:dyDescent="0.2"/>
    <row r="129" s="4" customFormat="1" ht="15" customHeight="1" x14ac:dyDescent="0.2"/>
    <row r="130" s="4" customFormat="1" ht="15" customHeight="1" x14ac:dyDescent="0.2"/>
    <row r="131" s="4" customFormat="1" ht="15" customHeight="1" x14ac:dyDescent="0.2"/>
    <row r="132" s="4" customFormat="1" ht="15" customHeight="1" x14ac:dyDescent="0.2"/>
    <row r="133" s="4" customFormat="1" ht="15" customHeight="1" x14ac:dyDescent="0.2"/>
    <row r="134" s="4" customFormat="1" ht="15" customHeight="1" x14ac:dyDescent="0.2"/>
    <row r="135" s="4" customFormat="1" ht="15" customHeight="1" x14ac:dyDescent="0.2"/>
    <row r="136" s="4" customFormat="1" ht="15" customHeight="1" x14ac:dyDescent="0.2"/>
    <row r="137" s="4" customFormat="1" ht="15" customHeight="1" x14ac:dyDescent="0.2"/>
    <row r="138" s="4" customFormat="1" ht="15" customHeight="1" x14ac:dyDescent="0.2"/>
    <row r="139" s="4" customFormat="1" ht="15" customHeight="1" x14ac:dyDescent="0.2"/>
    <row r="140" s="4" customFormat="1" ht="15" customHeight="1" x14ac:dyDescent="0.2"/>
    <row r="141" s="4" customFormat="1" ht="15" customHeight="1" x14ac:dyDescent="0.2"/>
    <row r="142" s="4" customFormat="1" ht="15" customHeight="1" x14ac:dyDescent="0.2"/>
    <row r="143" s="4" customFormat="1" ht="15" customHeight="1" x14ac:dyDescent="0.2"/>
    <row r="144" s="4" customFormat="1" ht="15" customHeight="1" x14ac:dyDescent="0.2"/>
    <row r="145" s="4" customFormat="1" ht="15" customHeight="1" x14ac:dyDescent="0.2"/>
    <row r="146" s="4" customFormat="1" ht="15" customHeight="1" x14ac:dyDescent="0.2"/>
    <row r="147" s="4" customFormat="1" ht="15" customHeight="1" x14ac:dyDescent="0.2"/>
    <row r="148" s="4" customFormat="1" ht="15" customHeight="1" x14ac:dyDescent="0.2"/>
    <row r="149" s="4" customFormat="1" ht="15" customHeight="1" x14ac:dyDescent="0.2"/>
    <row r="150" s="4" customFormat="1" ht="15" customHeight="1" x14ac:dyDescent="0.2"/>
    <row r="151" s="4" customFormat="1" ht="15" customHeight="1" x14ac:dyDescent="0.2"/>
    <row r="152" s="4" customFormat="1" ht="15" customHeight="1" x14ac:dyDescent="0.2"/>
    <row r="153" s="4" customFormat="1" ht="15" customHeight="1" x14ac:dyDescent="0.2"/>
    <row r="154" s="4" customFormat="1" ht="15" customHeight="1" x14ac:dyDescent="0.2"/>
    <row r="155" s="4" customFormat="1" ht="15" customHeight="1" x14ac:dyDescent="0.2"/>
    <row r="156" s="4" customFormat="1" ht="15" customHeight="1" x14ac:dyDescent="0.2"/>
    <row r="157" s="4" customFormat="1" ht="15" customHeight="1" x14ac:dyDescent="0.2"/>
    <row r="158" s="4" customFormat="1" ht="15" customHeight="1" x14ac:dyDescent="0.2"/>
    <row r="159" s="4" customFormat="1" ht="15" customHeight="1" x14ac:dyDescent="0.2"/>
    <row r="160" s="4" customFormat="1" ht="15" customHeight="1" x14ac:dyDescent="0.2"/>
    <row r="161" s="4" customFormat="1" ht="15" customHeight="1" x14ac:dyDescent="0.2"/>
    <row r="162" s="4" customFormat="1" ht="15" customHeight="1" x14ac:dyDescent="0.2"/>
    <row r="163" s="4" customFormat="1" ht="15" customHeight="1" x14ac:dyDescent="0.2"/>
    <row r="164" s="4" customFormat="1" ht="15" customHeight="1" x14ac:dyDescent="0.2"/>
    <row r="165" s="4" customFormat="1" ht="15" customHeight="1" x14ac:dyDescent="0.2"/>
    <row r="166" s="4" customFormat="1" ht="15" customHeight="1" x14ac:dyDescent="0.2"/>
    <row r="167" s="4" customFormat="1" ht="15" customHeight="1" x14ac:dyDescent="0.2"/>
    <row r="168" s="4" customFormat="1" ht="15" customHeight="1" x14ac:dyDescent="0.2"/>
    <row r="169" s="4" customFormat="1" ht="15" customHeight="1" x14ac:dyDescent="0.2"/>
    <row r="170" s="4" customFormat="1" ht="15" customHeight="1" x14ac:dyDescent="0.2"/>
    <row r="171" s="4" customFormat="1" ht="15" customHeight="1" x14ac:dyDescent="0.2"/>
    <row r="172" s="4" customFormat="1" ht="15" customHeight="1" x14ac:dyDescent="0.2"/>
    <row r="173" s="4" customFormat="1" ht="15" customHeight="1" x14ac:dyDescent="0.2"/>
    <row r="174" s="4" customFormat="1" ht="15" customHeight="1" x14ac:dyDescent="0.2"/>
    <row r="175" s="4" customFormat="1" ht="15" customHeight="1" x14ac:dyDescent="0.2"/>
    <row r="176" s="4" customFormat="1" ht="15" customHeight="1" x14ac:dyDescent="0.2"/>
    <row r="177" s="4" customFormat="1" ht="15" customHeight="1" x14ac:dyDescent="0.2"/>
    <row r="178" s="4" customFormat="1" ht="15" customHeight="1" x14ac:dyDescent="0.2"/>
    <row r="179" s="4" customFormat="1" ht="15" customHeight="1" x14ac:dyDescent="0.2"/>
    <row r="180" s="4" customFormat="1" ht="15" customHeight="1" x14ac:dyDescent="0.2"/>
    <row r="181" s="4" customFormat="1" ht="15" customHeight="1" x14ac:dyDescent="0.2"/>
    <row r="182" s="4" customFormat="1" ht="15" customHeight="1" x14ac:dyDescent="0.2"/>
    <row r="183" s="4" customFormat="1" ht="15" customHeight="1" x14ac:dyDescent="0.2"/>
    <row r="184" s="4" customFormat="1" ht="15" customHeight="1" x14ac:dyDescent="0.2"/>
    <row r="185" s="4" customFormat="1" ht="15" customHeight="1" x14ac:dyDescent="0.2"/>
    <row r="186" s="4" customFormat="1" ht="15" customHeight="1" x14ac:dyDescent="0.2"/>
    <row r="187" s="4" customFormat="1" ht="15" customHeight="1" x14ac:dyDescent="0.2"/>
    <row r="188" s="4" customFormat="1" ht="15" customHeight="1" x14ac:dyDescent="0.2"/>
    <row r="189" s="4" customFormat="1" ht="15" customHeight="1" x14ac:dyDescent="0.2"/>
    <row r="190" s="4" customFormat="1" ht="15" customHeight="1" x14ac:dyDescent="0.2"/>
    <row r="191" s="4" customFormat="1" ht="15" customHeight="1" x14ac:dyDescent="0.2"/>
    <row r="192" s="4" customFormat="1" ht="15" customHeight="1" x14ac:dyDescent="0.2"/>
    <row r="193" s="4" customFormat="1" ht="15" customHeight="1" x14ac:dyDescent="0.2"/>
    <row r="194" s="4" customFormat="1" ht="15" customHeight="1" x14ac:dyDescent="0.2"/>
    <row r="195" s="4" customFormat="1" ht="15" customHeight="1" x14ac:dyDescent="0.2"/>
    <row r="196" s="4" customFormat="1" ht="15" customHeight="1" x14ac:dyDescent="0.2"/>
    <row r="197" s="4" customFormat="1" ht="15" customHeight="1" x14ac:dyDescent="0.2"/>
    <row r="198" s="4" customFormat="1" ht="15" customHeight="1" x14ac:dyDescent="0.2"/>
    <row r="199" s="4" customFormat="1" ht="15" customHeight="1" x14ac:dyDescent="0.2"/>
    <row r="200" s="4" customFormat="1" ht="15" customHeight="1" x14ac:dyDescent="0.2"/>
    <row r="201" s="4" customFormat="1" ht="15" customHeight="1" x14ac:dyDescent="0.2"/>
    <row r="202" s="4" customFormat="1" ht="15" customHeight="1" x14ac:dyDescent="0.2"/>
    <row r="203" s="4" customFormat="1" ht="15" customHeight="1" x14ac:dyDescent="0.2"/>
    <row r="204" s="4" customFormat="1" ht="15" customHeight="1" x14ac:dyDescent="0.2"/>
    <row r="205" s="4" customFormat="1" ht="15" customHeight="1" x14ac:dyDescent="0.2"/>
    <row r="206" s="4" customFormat="1" ht="15" customHeight="1" x14ac:dyDescent="0.2"/>
    <row r="207" s="4" customFormat="1" ht="15" customHeight="1" x14ac:dyDescent="0.2"/>
    <row r="208" s="4" customFormat="1" ht="15" customHeight="1" x14ac:dyDescent="0.2"/>
    <row r="209" s="4" customFormat="1" ht="15" customHeight="1" x14ac:dyDescent="0.2"/>
    <row r="210" s="4" customFormat="1" ht="15" customHeight="1" x14ac:dyDescent="0.2"/>
    <row r="211" s="4" customFormat="1" ht="15" customHeight="1" x14ac:dyDescent="0.2"/>
    <row r="212" s="4" customFormat="1" ht="15" customHeight="1" x14ac:dyDescent="0.2"/>
    <row r="213" s="4" customFormat="1" ht="15" customHeight="1" x14ac:dyDescent="0.2"/>
    <row r="214" s="4" customFormat="1" ht="15" customHeight="1" x14ac:dyDescent="0.2"/>
    <row r="215" s="4" customFormat="1" ht="15" customHeight="1" x14ac:dyDescent="0.2"/>
    <row r="216" s="4" customFormat="1" ht="15" customHeight="1" x14ac:dyDescent="0.2"/>
    <row r="217" s="4" customFormat="1" ht="15" customHeight="1" x14ac:dyDescent="0.2"/>
    <row r="218" s="4" customFormat="1" ht="15" customHeight="1" x14ac:dyDescent="0.2"/>
    <row r="219" s="4" customFormat="1" ht="15" customHeight="1" x14ac:dyDescent="0.2"/>
    <row r="220" s="4" customFormat="1" ht="15" customHeight="1" x14ac:dyDescent="0.2"/>
    <row r="221" s="4" customFormat="1" ht="15" customHeight="1" x14ac:dyDescent="0.2"/>
    <row r="222" s="4" customFormat="1" ht="15" customHeight="1" x14ac:dyDescent="0.2"/>
  </sheetData>
  <mergeCells count="8">
    <mergeCell ref="E5:F5"/>
    <mergeCell ref="AB41:AB42"/>
    <mergeCell ref="E13:F13"/>
    <mergeCell ref="AB35:AB36"/>
    <mergeCell ref="AB38:AB39"/>
    <mergeCell ref="E6:F6"/>
    <mergeCell ref="E8:F8"/>
    <mergeCell ref="E10:F10"/>
  </mergeCells>
  <phoneticPr fontId="6" type="noConversion"/>
  <conditionalFormatting sqref="K15:AD16 K29:AD29 K21:V21 K7:V13 O36:Q36 U36:V39 K37:T37 K39 K38:N38 M6:V6 Y6:Y13 K22 M22:V22 K23:V28 R39:T40 O39:Q39 AA6:AA13">
    <cfRule type="expression" dxfId="20" priority="1">
      <formula>K6="W8"</formula>
    </cfRule>
    <cfRule type="expression" dxfId="19" priority="2">
      <formula>K6="W7"</formula>
    </cfRule>
    <cfRule type="expression" dxfId="18" priority="3">
      <formula>K6="W6"</formula>
    </cfRule>
    <cfRule type="expression" dxfId="17" priority="4">
      <formula>K6="W5"</formula>
    </cfRule>
    <cfRule type="expression" dxfId="16" priority="122">
      <formula>K6="W4"</formula>
    </cfRule>
    <cfRule type="expression" dxfId="15" priority="123">
      <formula>K6="W3"</formula>
    </cfRule>
    <cfRule type="expression" dxfId="14" priority="124">
      <formula>K6="W2"</formula>
    </cfRule>
  </conditionalFormatting>
  <conditionalFormatting sqref="AB6:AB13">
    <cfRule type="expression" dxfId="13" priority="22">
      <formula>AB6="W4"</formula>
    </cfRule>
    <cfRule type="expression" dxfId="12" priority="23">
      <formula>AB6="W3"</formula>
    </cfRule>
    <cfRule type="expression" dxfId="11" priority="24">
      <formula>AB6="W2"</formula>
    </cfRule>
    <cfRule type="expression" dxfId="10" priority="25">
      <formula>AB6="W1"</formula>
    </cfRule>
  </conditionalFormatting>
  <conditionalFormatting sqref="K30:AD30 K43:AD43 K35:V35 K36 K41:V42 K40:Q40 U40:V40">
    <cfRule type="expression" dxfId="9" priority="18">
      <formula>K30="W4"</formula>
    </cfRule>
    <cfRule type="expression" dxfId="8" priority="19">
      <formula>K30="W3"</formula>
    </cfRule>
    <cfRule type="expression" dxfId="7" priority="20">
      <formula>K30="W2"</formula>
    </cfRule>
    <cfRule type="expression" dxfId="6" priority="21">
      <formula>K30="W1"</formula>
    </cfRule>
  </conditionalFormatting>
  <conditionalFormatting sqref="R36:T36">
    <cfRule type="expression" dxfId="5" priority="14">
      <formula>R36="W4"</formula>
    </cfRule>
    <cfRule type="expression" dxfId="4" priority="15">
      <formula>R36="W3"</formula>
    </cfRule>
    <cfRule type="expression" dxfId="3" priority="16">
      <formula>R36="W2"</formula>
    </cfRule>
    <cfRule type="expression" dxfId="2" priority="17">
      <formula>R36="W1"</formula>
    </cfRule>
  </conditionalFormatting>
  <conditionalFormatting sqref="D11">
    <cfRule type="notContainsText" dxfId="1" priority="9" operator="notContains" text="OK">
      <formula>ISERROR(SEARCH("OK",D11))</formula>
    </cfRule>
  </conditionalFormatting>
  <conditionalFormatting sqref="K7:V13 K21:V21 K22 M22:V22 K23:V28 L6:V6">
    <cfRule type="expression" dxfId="0" priority="126">
      <formula>K6="W1"</formula>
    </cfRule>
  </conditionalFormatting>
  <dataValidations count="1">
    <dataValidation type="list" allowBlank="1" showInputMessage="1" showErrorMessage="1" sqref="M21:V28 K21:K28 L21 L23:L28 K7:K13 L6:V13" xr:uid="{00000000-0002-0000-0000-000000000000}">
      <formula1>"W1,W2,W3,W4,W5,W6,W7,W8"</formula1>
    </dataValidation>
  </dataValidations>
  <pageMargins left="0.75" right="0.75" top="1" bottom="1" header="0.5" footer="0.5"/>
  <pageSetup paperSize="9" scale="31" orientation="portrait" horizontalDpi="4294967292" verticalDpi="4294967292" r:id="rId1"/>
  <colBreaks count="2" manualBreakCount="2">
    <brk id="54" max="1048575" man="1"/>
    <brk id="9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fresh_workbook_one">
                <anchor moveWithCells="1">
                  <from>
                    <xdr:col>23</xdr:col>
                    <xdr:colOff>139700</xdr:colOff>
                    <xdr:row>34</xdr:row>
                    <xdr:rowOff>12700</xdr:rowOff>
                  </from>
                  <to>
                    <xdr:col>26</xdr:col>
                    <xdr:colOff>749300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refresh_workbook_all">
                <anchor moveWithCells="1">
                  <from>
                    <xdr:col>28</xdr:col>
                    <xdr:colOff>63500</xdr:colOff>
                    <xdr:row>34</xdr:row>
                    <xdr:rowOff>25400</xdr:rowOff>
                  </from>
                  <to>
                    <xdr:col>29</xdr:col>
                    <xdr:colOff>609600</xdr:colOff>
                    <xdr:row>36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calc" altText="calc.">
                <anchor moveWithCells="1">
                  <from>
                    <xdr:col>22</xdr:col>
                    <xdr:colOff>63500</xdr:colOff>
                    <xdr:row>3</xdr:row>
                    <xdr:rowOff>114300</xdr:rowOff>
                  </from>
                  <to>
                    <xdr:col>23</xdr:col>
                    <xdr:colOff>393700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7" name="Button 28">
              <controlPr defaultSize="0" print="0" autoFill="0" autoPict="0" macro="[0]!clear_workbook">
                <anchor moveWithCells="1">
                  <from>
                    <xdr:col>23</xdr:col>
                    <xdr:colOff>139700</xdr:colOff>
                    <xdr:row>37</xdr:row>
                    <xdr:rowOff>12700</xdr:rowOff>
                  </from>
                  <to>
                    <xdr:col>29</xdr:col>
                    <xdr:colOff>622300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8" name="Button 33">
              <controlPr defaultSize="0" print="0" autoFill="0" autoPict="0" macro="[0]!calibrate_one">
                <anchor moveWithCells="1">
                  <from>
                    <xdr:col>23</xdr:col>
                    <xdr:colOff>152400</xdr:colOff>
                    <xdr:row>40</xdr:row>
                    <xdr:rowOff>12700</xdr:rowOff>
                  </from>
                  <to>
                    <xdr:col>26</xdr:col>
                    <xdr:colOff>749300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9" name="Button 34">
              <controlPr defaultSize="0" print="0" autoFill="0" autoPict="0" macro="[0]!calibrate_all">
                <anchor moveWithCells="1">
                  <from>
                    <xdr:col>28</xdr:col>
                    <xdr:colOff>88900</xdr:colOff>
                    <xdr:row>40</xdr:row>
                    <xdr:rowOff>25400</xdr:rowOff>
                  </from>
                  <to>
                    <xdr:col>29</xdr:col>
                    <xdr:colOff>622300</xdr:colOff>
                    <xdr:row>42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M139"/>
  <sheetViews>
    <sheetView workbookViewId="0">
      <selection activeCell="B120" sqref="B120"/>
    </sheetView>
  </sheetViews>
  <sheetFormatPr baseColWidth="10" defaultRowHeight="15" x14ac:dyDescent="0.2"/>
  <cols>
    <col min="5" max="5" width="11.1640625" customWidth="1"/>
  </cols>
  <sheetData>
    <row r="1" spans="1:33" x14ac:dyDescent="0.2">
      <c r="A1" s="131" t="s">
        <v>0</v>
      </c>
      <c r="B1" s="131"/>
      <c r="C1" s="131"/>
      <c r="D1" s="131"/>
      <c r="E1" s="131" t="s">
        <v>1</v>
      </c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131"/>
      <c r="AD1" s="131"/>
      <c r="AE1" s="131"/>
      <c r="AF1" s="131"/>
      <c r="AG1" s="131"/>
    </row>
    <row r="2" spans="1:33" x14ac:dyDescent="0.2">
      <c r="A2" s="131" t="s">
        <v>2</v>
      </c>
      <c r="B2" s="131"/>
      <c r="C2" s="131"/>
      <c r="D2" s="131"/>
      <c r="E2" s="131" t="s">
        <v>3</v>
      </c>
      <c r="F2" s="131"/>
      <c r="G2" s="131"/>
      <c r="H2" s="131"/>
      <c r="I2" s="131" t="s">
        <v>4</v>
      </c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</row>
    <row r="3" spans="1:33" x14ac:dyDescent="0.2">
      <c r="A3" s="131" t="s">
        <v>5</v>
      </c>
      <c r="B3" s="131"/>
      <c r="C3" s="131"/>
      <c r="D3" s="131"/>
      <c r="E3" s="131" t="s">
        <v>6</v>
      </c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1"/>
      <c r="W3" s="131"/>
      <c r="X3" s="131"/>
      <c r="Y3" s="131"/>
      <c r="Z3" s="131"/>
      <c r="AA3" s="131"/>
      <c r="AB3" s="131"/>
      <c r="AC3" s="131"/>
      <c r="AD3" s="131"/>
      <c r="AE3" s="131"/>
      <c r="AF3" s="131"/>
      <c r="AG3" s="131"/>
    </row>
    <row r="4" spans="1:33" x14ac:dyDescent="0.2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</row>
    <row r="5" spans="1:33" x14ac:dyDescent="0.2">
      <c r="A5" s="131" t="s">
        <v>7</v>
      </c>
      <c r="B5" s="132">
        <v>43164</v>
      </c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</row>
    <row r="6" spans="1:33" x14ac:dyDescent="0.2">
      <c r="A6" s="131" t="s">
        <v>8</v>
      </c>
      <c r="B6" s="133">
        <v>0.41690972222222222</v>
      </c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</row>
    <row r="7" spans="1:33" x14ac:dyDescent="0.2">
      <c r="A7" s="131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</row>
    <row r="8" spans="1:33" x14ac:dyDescent="0.2">
      <c r="A8" s="131"/>
      <c r="B8" s="131"/>
      <c r="C8" s="131"/>
      <c r="D8" s="131"/>
      <c r="E8" s="131"/>
      <c r="F8" s="131"/>
      <c r="G8" s="131"/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131"/>
      <c r="S8" s="131"/>
      <c r="T8" s="131"/>
      <c r="U8" s="131"/>
      <c r="V8" s="131"/>
      <c r="W8" s="131"/>
      <c r="X8" s="131"/>
      <c r="Y8" s="131"/>
      <c r="Z8" s="131"/>
      <c r="AA8" s="131"/>
      <c r="AB8" s="131"/>
      <c r="AC8" s="131"/>
      <c r="AD8" s="131"/>
      <c r="AE8" s="131"/>
      <c r="AF8" s="131"/>
      <c r="AG8" s="131"/>
    </row>
    <row r="9" spans="1:33" x14ac:dyDescent="0.2">
      <c r="A9" s="131" t="s">
        <v>9</v>
      </c>
      <c r="B9" s="131"/>
      <c r="C9" s="131"/>
      <c r="D9" s="131"/>
      <c r="E9" s="131" t="s">
        <v>10</v>
      </c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1"/>
      <c r="Q9" s="131"/>
      <c r="R9" s="131"/>
      <c r="S9" s="131"/>
      <c r="T9" s="131"/>
      <c r="U9" s="131"/>
      <c r="V9" s="131"/>
      <c r="W9" s="131"/>
      <c r="X9" s="131"/>
      <c r="Y9" s="131"/>
      <c r="Z9" s="131"/>
      <c r="AA9" s="131"/>
      <c r="AB9" s="131"/>
      <c r="AC9" s="131"/>
      <c r="AD9" s="131"/>
      <c r="AE9" s="131"/>
      <c r="AF9" s="131"/>
      <c r="AG9" s="131"/>
    </row>
    <row r="10" spans="1:33" x14ac:dyDescent="0.2">
      <c r="A10" s="131" t="s">
        <v>11</v>
      </c>
      <c r="B10" s="131"/>
      <c r="C10" s="131"/>
      <c r="D10" s="131"/>
      <c r="E10" s="131" t="s">
        <v>12</v>
      </c>
      <c r="F10" s="131"/>
      <c r="G10" s="131"/>
      <c r="H10" s="131"/>
      <c r="I10" s="131"/>
      <c r="J10" s="131"/>
      <c r="K10" s="131"/>
      <c r="L10" s="131"/>
      <c r="M10" s="131"/>
      <c r="N10" s="131"/>
      <c r="O10" s="131"/>
      <c r="P10" s="131"/>
      <c r="Q10" s="131"/>
      <c r="R10" s="131"/>
      <c r="S10" s="131"/>
      <c r="T10" s="131"/>
      <c r="U10" s="131"/>
      <c r="V10" s="131"/>
      <c r="W10" s="131"/>
      <c r="X10" s="131"/>
      <c r="Y10" s="131"/>
      <c r="Z10" s="131"/>
      <c r="AA10" s="131"/>
      <c r="AB10" s="131"/>
      <c r="AC10" s="131"/>
      <c r="AD10" s="131"/>
      <c r="AE10" s="131"/>
      <c r="AF10" s="131"/>
      <c r="AG10" s="131"/>
    </row>
    <row r="11" spans="1:33" x14ac:dyDescent="0.2">
      <c r="A11" s="131" t="s">
        <v>13</v>
      </c>
      <c r="B11" s="131"/>
      <c r="C11" s="131"/>
      <c r="D11" s="131"/>
      <c r="E11" s="131" t="s">
        <v>14</v>
      </c>
      <c r="F11" s="131"/>
      <c r="G11" s="131"/>
      <c r="H11" s="131"/>
      <c r="I11" s="131"/>
      <c r="J11" s="131"/>
      <c r="K11" s="131"/>
      <c r="L11" s="131"/>
      <c r="M11" s="131"/>
      <c r="N11" s="131"/>
      <c r="O11" s="131"/>
      <c r="P11" s="131"/>
      <c r="Q11" s="131"/>
      <c r="R11" s="131"/>
      <c r="S11" s="131"/>
      <c r="T11" s="131"/>
      <c r="U11" s="131"/>
      <c r="V11" s="131"/>
      <c r="W11" s="131"/>
      <c r="X11" s="131"/>
      <c r="Y11" s="131"/>
      <c r="Z11" s="131"/>
      <c r="AA11" s="131"/>
      <c r="AB11" s="131"/>
      <c r="AC11" s="131"/>
      <c r="AD11" s="131"/>
      <c r="AE11" s="131"/>
      <c r="AF11" s="131"/>
      <c r="AG11" s="131"/>
    </row>
    <row r="12" spans="1:33" x14ac:dyDescent="0.2">
      <c r="A12" s="131" t="s">
        <v>15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</row>
    <row r="13" spans="1:33" x14ac:dyDescent="0.2">
      <c r="A13" s="131"/>
      <c r="B13" s="131"/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1"/>
      <c r="P13" s="131"/>
      <c r="Q13" s="131"/>
      <c r="R13" s="131"/>
      <c r="S13" s="131"/>
      <c r="T13" s="131"/>
      <c r="U13" s="131"/>
      <c r="V13" s="131"/>
      <c r="W13" s="131"/>
      <c r="X13" s="131"/>
      <c r="Y13" s="131"/>
      <c r="Z13" s="131"/>
      <c r="AA13" s="131"/>
      <c r="AB13" s="131"/>
      <c r="AC13" s="131"/>
      <c r="AD13" s="131"/>
      <c r="AE13" s="131"/>
      <c r="AF13" s="131"/>
      <c r="AG13" s="131"/>
    </row>
    <row r="14" spans="1:33" x14ac:dyDescent="0.2">
      <c r="A14" s="134" t="s">
        <v>16</v>
      </c>
      <c r="B14" s="134"/>
      <c r="C14" s="134"/>
      <c r="D14" s="134"/>
      <c r="E14" s="134" t="s">
        <v>17</v>
      </c>
      <c r="F14" s="134" t="s">
        <v>18</v>
      </c>
      <c r="G14" s="134"/>
      <c r="H14" s="134"/>
      <c r="I14" s="134"/>
      <c r="J14" s="134"/>
      <c r="K14" s="134"/>
      <c r="L14" s="134"/>
      <c r="M14" s="131"/>
      <c r="N14" s="131"/>
      <c r="O14" s="131"/>
      <c r="P14" s="131"/>
      <c r="Q14" s="131"/>
      <c r="R14" s="131"/>
      <c r="S14" s="131"/>
      <c r="T14" s="131"/>
      <c r="U14" s="131"/>
      <c r="V14" s="131"/>
      <c r="W14" s="131"/>
      <c r="X14" s="131"/>
      <c r="Y14" s="131"/>
      <c r="Z14" s="131"/>
      <c r="AA14" s="131"/>
      <c r="AB14" s="131"/>
      <c r="AC14" s="131"/>
      <c r="AD14" s="131"/>
      <c r="AE14" s="131"/>
      <c r="AF14" s="131"/>
      <c r="AG14" s="131"/>
    </row>
    <row r="15" spans="1:33" x14ac:dyDescent="0.2">
      <c r="A15" s="131"/>
      <c r="B15" s="131"/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31"/>
      <c r="Q15" s="131"/>
      <c r="R15" s="131"/>
      <c r="S15" s="131"/>
      <c r="T15" s="131"/>
      <c r="U15" s="131"/>
      <c r="V15" s="131"/>
      <c r="W15" s="131"/>
      <c r="X15" s="131"/>
      <c r="Y15" s="131"/>
      <c r="Z15" s="131"/>
      <c r="AA15" s="131"/>
      <c r="AB15" s="131"/>
      <c r="AC15" s="131"/>
      <c r="AD15" s="131"/>
      <c r="AE15" s="131"/>
      <c r="AF15" s="131"/>
      <c r="AG15" s="131"/>
    </row>
    <row r="16" spans="1:33" x14ac:dyDescent="0.2">
      <c r="A16" s="134" t="s">
        <v>19</v>
      </c>
      <c r="B16" s="134"/>
      <c r="C16" s="134"/>
      <c r="D16" s="134"/>
      <c r="E16" s="134" t="s">
        <v>20</v>
      </c>
      <c r="F16" s="134"/>
      <c r="G16" s="134"/>
      <c r="H16" s="134"/>
      <c r="I16" s="134"/>
      <c r="J16" s="134"/>
      <c r="K16" s="134"/>
      <c r="L16" s="134"/>
      <c r="M16" s="131"/>
      <c r="N16" s="131"/>
      <c r="O16" s="131"/>
      <c r="P16" s="131"/>
      <c r="Q16" s="131"/>
      <c r="R16" s="131"/>
      <c r="S16" s="131"/>
      <c r="T16" s="131"/>
      <c r="U16" s="131"/>
      <c r="V16" s="131"/>
      <c r="W16" s="131"/>
      <c r="X16" s="131"/>
      <c r="Y16" s="131"/>
      <c r="Z16" s="131"/>
      <c r="AA16" s="131"/>
      <c r="AB16" s="131"/>
      <c r="AC16" s="131"/>
      <c r="AD16" s="131"/>
      <c r="AE16" s="131"/>
      <c r="AF16" s="131"/>
      <c r="AG16" s="131"/>
    </row>
    <row r="17" spans="1:33" x14ac:dyDescent="0.2">
      <c r="A17" s="131"/>
      <c r="B17" s="131"/>
      <c r="C17" s="131"/>
      <c r="D17" s="131"/>
      <c r="E17" s="131"/>
      <c r="F17" s="131"/>
      <c r="G17" s="131"/>
      <c r="H17" s="131"/>
      <c r="I17" s="131"/>
      <c r="J17" s="131"/>
      <c r="K17" s="131"/>
      <c r="L17" s="131"/>
      <c r="M17" s="131"/>
      <c r="N17" s="131"/>
      <c r="O17" s="131"/>
      <c r="P17" s="131"/>
      <c r="Q17" s="131"/>
      <c r="R17" s="131"/>
      <c r="S17" s="131"/>
      <c r="T17" s="131"/>
      <c r="U17" s="131"/>
      <c r="V17" s="131"/>
      <c r="W17" s="131"/>
      <c r="X17" s="131"/>
      <c r="Y17" s="131"/>
      <c r="Z17" s="131"/>
      <c r="AA17" s="131"/>
      <c r="AB17" s="131"/>
      <c r="AC17" s="131"/>
      <c r="AD17" s="131"/>
      <c r="AE17" s="131"/>
      <c r="AF17" s="131"/>
      <c r="AG17" s="131"/>
    </row>
    <row r="18" spans="1:33" x14ac:dyDescent="0.2">
      <c r="A18" s="134" t="s">
        <v>21</v>
      </c>
      <c r="B18" s="134"/>
      <c r="C18" s="134"/>
      <c r="D18" s="134"/>
      <c r="E18" s="134"/>
      <c r="F18" s="134"/>
      <c r="G18" s="134"/>
      <c r="H18" s="134"/>
      <c r="I18" s="134"/>
      <c r="J18" s="134"/>
      <c r="K18" s="134"/>
      <c r="L18" s="134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</row>
    <row r="19" spans="1:33" x14ac:dyDescent="0.2">
      <c r="A19" s="134" t="s">
        <v>22</v>
      </c>
      <c r="B19" s="134"/>
      <c r="C19" s="134"/>
      <c r="D19" s="134"/>
      <c r="E19" s="134"/>
      <c r="F19" s="134"/>
      <c r="G19" s="134"/>
      <c r="H19" s="134"/>
      <c r="I19" s="134"/>
      <c r="J19" s="134"/>
      <c r="K19" s="134"/>
      <c r="L19" s="134"/>
      <c r="M19" s="131"/>
      <c r="N19" s="131"/>
      <c r="O19" s="131"/>
      <c r="P19" s="131"/>
      <c r="Q19" s="131"/>
      <c r="R19" s="131"/>
      <c r="S19" s="131"/>
      <c r="T19" s="131"/>
      <c r="U19" s="131"/>
      <c r="V19" s="131"/>
      <c r="W19" s="131"/>
      <c r="X19" s="131"/>
      <c r="Y19" s="131"/>
      <c r="Z19" s="131"/>
      <c r="AA19" s="131"/>
      <c r="AB19" s="131"/>
      <c r="AC19" s="131"/>
      <c r="AD19" s="131"/>
      <c r="AE19" s="131"/>
      <c r="AF19" s="131"/>
      <c r="AG19" s="131"/>
    </row>
    <row r="20" spans="1:33" x14ac:dyDescent="0.2">
      <c r="A20" s="134" t="s">
        <v>23</v>
      </c>
      <c r="B20" s="134"/>
      <c r="C20" s="134"/>
      <c r="D20" s="134"/>
      <c r="E20" s="134">
        <v>20</v>
      </c>
      <c r="F20" s="134" t="s">
        <v>24</v>
      </c>
      <c r="G20" s="134"/>
      <c r="H20" s="134"/>
      <c r="I20" s="134"/>
      <c r="J20" s="134"/>
      <c r="K20" s="134"/>
      <c r="L20" s="134"/>
      <c r="M20" s="131"/>
      <c r="N20" s="131"/>
      <c r="O20" s="131"/>
      <c r="P20" s="131"/>
      <c r="Q20" s="131"/>
      <c r="R20" s="131"/>
      <c r="S20" s="131"/>
      <c r="T20" s="131"/>
      <c r="U20" s="131"/>
      <c r="V20" s="131"/>
      <c r="W20" s="131"/>
      <c r="X20" s="131"/>
      <c r="Y20" s="131"/>
      <c r="Z20" s="131"/>
      <c r="AA20" s="131"/>
      <c r="AB20" s="131"/>
      <c r="AC20" s="131"/>
      <c r="AD20" s="131"/>
      <c r="AE20" s="131"/>
      <c r="AF20" s="131"/>
      <c r="AG20" s="131"/>
    </row>
    <row r="21" spans="1:33" x14ac:dyDescent="0.2">
      <c r="A21" s="134" t="s">
        <v>25</v>
      </c>
      <c r="B21" s="134"/>
      <c r="C21" s="134"/>
      <c r="D21" s="134"/>
      <c r="E21" s="134">
        <v>3</v>
      </c>
      <c r="F21" s="134" t="s">
        <v>26</v>
      </c>
      <c r="G21" s="134"/>
      <c r="H21" s="134"/>
      <c r="I21" s="134"/>
      <c r="J21" s="134"/>
      <c r="K21" s="134"/>
      <c r="L21" s="134"/>
      <c r="M21" s="131"/>
      <c r="N21" s="131"/>
      <c r="O21" s="131"/>
      <c r="P21" s="131"/>
      <c r="Q21" s="131"/>
      <c r="R21" s="131"/>
      <c r="S21" s="131"/>
      <c r="T21" s="131"/>
      <c r="U21" s="131"/>
      <c r="V21" s="131"/>
      <c r="W21" s="131"/>
      <c r="X21" s="131"/>
      <c r="Y21" s="131"/>
      <c r="Z21" s="131"/>
      <c r="AA21" s="131"/>
      <c r="AB21" s="131"/>
      <c r="AC21" s="131"/>
      <c r="AD21" s="131"/>
      <c r="AE21" s="131"/>
      <c r="AF21" s="131"/>
      <c r="AG21" s="131"/>
    </row>
    <row r="22" spans="1:33" x14ac:dyDescent="0.2">
      <c r="A22" s="134" t="s">
        <v>27</v>
      </c>
      <c r="B22" s="134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1"/>
      <c r="N22" s="131"/>
      <c r="O22" s="131"/>
      <c r="P22" s="131"/>
      <c r="Q22" s="131"/>
      <c r="R22" s="131"/>
      <c r="S22" s="131"/>
      <c r="T22" s="131"/>
      <c r="U22" s="131"/>
      <c r="V22" s="131"/>
      <c r="W22" s="131"/>
      <c r="X22" s="131"/>
      <c r="Y22" s="131"/>
      <c r="Z22" s="131"/>
      <c r="AA22" s="131"/>
      <c r="AB22" s="131"/>
      <c r="AC22" s="131"/>
      <c r="AD22" s="131"/>
      <c r="AE22" s="131"/>
      <c r="AF22" s="131"/>
      <c r="AG22" s="131"/>
    </row>
    <row r="23" spans="1:33" x14ac:dyDescent="0.2">
      <c r="A23" s="131"/>
      <c r="B23" s="131"/>
      <c r="C23" s="131"/>
      <c r="D23" s="131"/>
      <c r="E23" s="131"/>
      <c r="F23" s="131"/>
      <c r="G23" s="131"/>
      <c r="H23" s="131"/>
      <c r="I23" s="131"/>
      <c r="J23" s="131"/>
      <c r="K23" s="131"/>
      <c r="L23" s="131"/>
      <c r="M23" s="131"/>
      <c r="N23" s="131"/>
      <c r="O23" s="131"/>
      <c r="P23" s="131"/>
      <c r="Q23" s="131"/>
      <c r="R23" s="131"/>
      <c r="S23" s="131"/>
      <c r="T23" s="131"/>
      <c r="U23" s="131"/>
      <c r="V23" s="131"/>
      <c r="W23" s="131"/>
      <c r="X23" s="131"/>
      <c r="Y23" s="131"/>
      <c r="Z23" s="131"/>
      <c r="AA23" s="131"/>
      <c r="AB23" s="131"/>
      <c r="AC23" s="131"/>
      <c r="AD23" s="131"/>
      <c r="AE23" s="131"/>
      <c r="AF23" s="131"/>
      <c r="AG23" s="131"/>
    </row>
    <row r="24" spans="1:33" x14ac:dyDescent="0.2">
      <c r="A24" s="131"/>
      <c r="B24" s="131"/>
      <c r="C24" s="131"/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31"/>
      <c r="O24" s="131"/>
      <c r="P24" s="131"/>
      <c r="Q24" s="131"/>
      <c r="R24" s="131"/>
      <c r="S24" s="131"/>
      <c r="T24" s="131"/>
      <c r="U24" s="131"/>
      <c r="V24" s="131"/>
      <c r="W24" s="131"/>
      <c r="X24" s="131"/>
      <c r="Y24" s="131"/>
      <c r="Z24" s="131"/>
      <c r="AA24" s="131"/>
      <c r="AB24" s="131"/>
      <c r="AC24" s="131"/>
      <c r="AD24" s="131"/>
      <c r="AE24" s="131"/>
      <c r="AF24" s="131"/>
      <c r="AG24" s="131"/>
    </row>
    <row r="25" spans="1:33" x14ac:dyDescent="0.2">
      <c r="A25" s="131" t="s">
        <v>28</v>
      </c>
      <c r="B25" s="131"/>
      <c r="C25" s="131"/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1"/>
      <c r="O25" s="131"/>
      <c r="P25" s="131"/>
      <c r="Q25" s="131"/>
      <c r="R25" s="131"/>
      <c r="S25" s="131"/>
      <c r="T25" s="131"/>
      <c r="U25" s="131"/>
      <c r="V25" s="131"/>
      <c r="W25" s="131"/>
      <c r="X25" s="131"/>
      <c r="Y25" s="131"/>
      <c r="Z25" s="131"/>
      <c r="AA25" s="131"/>
      <c r="AB25" s="131"/>
      <c r="AC25" s="131"/>
      <c r="AD25" s="131"/>
      <c r="AE25" s="131"/>
      <c r="AF25" s="131"/>
      <c r="AG25" s="131"/>
    </row>
    <row r="26" spans="1:33" x14ac:dyDescent="0.2">
      <c r="A26" s="131" t="s">
        <v>29</v>
      </c>
      <c r="B26" s="131"/>
      <c r="C26" s="131"/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31"/>
      <c r="Q26" s="131"/>
      <c r="R26" s="131"/>
      <c r="S26" s="131"/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1"/>
      <c r="AE26" s="131"/>
      <c r="AF26" s="131"/>
      <c r="AG26" s="131"/>
    </row>
    <row r="27" spans="1:33" x14ac:dyDescent="0.2">
      <c r="A27" s="131" t="s">
        <v>30</v>
      </c>
      <c r="B27" s="131"/>
      <c r="C27" s="131"/>
      <c r="D27" s="131"/>
      <c r="E27" s="131">
        <v>32</v>
      </c>
      <c r="F27" s="131"/>
      <c r="G27" s="131"/>
      <c r="H27" s="131"/>
      <c r="I27" s="131"/>
      <c r="J27" s="131"/>
      <c r="K27" s="131"/>
      <c r="L27" s="131"/>
      <c r="M27" s="131"/>
      <c r="N27" s="131"/>
      <c r="O27" s="131"/>
      <c r="P27" s="131"/>
      <c r="Q27" s="131"/>
      <c r="R27" s="131"/>
      <c r="S27" s="131"/>
      <c r="T27" s="131"/>
      <c r="U27" s="131"/>
      <c r="V27" s="131"/>
      <c r="W27" s="131"/>
      <c r="X27" s="131"/>
      <c r="Y27" s="131"/>
      <c r="Z27" s="131"/>
      <c r="AA27" s="131"/>
      <c r="AB27" s="131"/>
      <c r="AC27" s="131"/>
      <c r="AD27" s="131"/>
      <c r="AE27" s="131"/>
      <c r="AF27" s="131"/>
      <c r="AG27" s="131"/>
    </row>
    <row r="28" spans="1:33" x14ac:dyDescent="0.2">
      <c r="A28" s="131" t="s">
        <v>31</v>
      </c>
      <c r="B28" s="131"/>
      <c r="C28" s="131"/>
      <c r="D28" s="131"/>
      <c r="E28" s="135">
        <v>1.0416666666666666E-2</v>
      </c>
      <c r="F28" s="131"/>
      <c r="G28" s="131"/>
      <c r="H28" s="131"/>
      <c r="I28" s="131"/>
      <c r="J28" s="131"/>
      <c r="K28" s="131"/>
      <c r="L28" s="131"/>
      <c r="M28" s="131"/>
      <c r="N28" s="131"/>
      <c r="O28" s="131"/>
      <c r="P28" s="131"/>
      <c r="Q28" s="131"/>
      <c r="R28" s="131"/>
      <c r="S28" s="131"/>
      <c r="T28" s="131"/>
      <c r="U28" s="131"/>
      <c r="V28" s="131"/>
      <c r="W28" s="131"/>
      <c r="X28" s="131"/>
      <c r="Y28" s="131"/>
      <c r="Z28" s="131"/>
      <c r="AA28" s="131"/>
      <c r="AB28" s="131"/>
      <c r="AC28" s="131"/>
      <c r="AD28" s="131"/>
      <c r="AE28" s="131"/>
      <c r="AF28" s="131"/>
      <c r="AG28" s="131"/>
    </row>
    <row r="29" spans="1:33" x14ac:dyDescent="0.2">
      <c r="A29" s="131" t="s">
        <v>32</v>
      </c>
      <c r="B29" s="131"/>
      <c r="C29" s="131"/>
      <c r="D29" s="131"/>
      <c r="E29" s="131">
        <v>600</v>
      </c>
      <c r="F29" s="131" t="s">
        <v>33</v>
      </c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131"/>
      <c r="Y29" s="131"/>
      <c r="Z29" s="131"/>
      <c r="AA29" s="131"/>
      <c r="AB29" s="131"/>
      <c r="AC29" s="131"/>
      <c r="AD29" s="131"/>
      <c r="AE29" s="131"/>
      <c r="AF29" s="131"/>
      <c r="AG29" s="131"/>
    </row>
    <row r="30" spans="1:33" x14ac:dyDescent="0.2">
      <c r="A30" s="131" t="s">
        <v>34</v>
      </c>
      <c r="B30" s="131"/>
      <c r="C30" s="131"/>
      <c r="D30" s="131"/>
      <c r="E30" s="131">
        <v>9</v>
      </c>
      <c r="F30" s="131" t="s">
        <v>33</v>
      </c>
      <c r="G30" s="131"/>
      <c r="H30" s="131"/>
      <c r="I30" s="131"/>
      <c r="J30" s="131"/>
      <c r="K30" s="131"/>
      <c r="L30" s="131"/>
      <c r="M30" s="131"/>
      <c r="N30" s="131"/>
      <c r="O30" s="131"/>
      <c r="P30" s="131"/>
      <c r="Q30" s="131"/>
      <c r="R30" s="131"/>
      <c r="S30" s="131"/>
      <c r="T30" s="131"/>
      <c r="U30" s="131"/>
      <c r="V30" s="131"/>
      <c r="W30" s="131"/>
      <c r="X30" s="131"/>
      <c r="Y30" s="131"/>
      <c r="Z30" s="131"/>
      <c r="AA30" s="131"/>
      <c r="AB30" s="131"/>
      <c r="AC30" s="131"/>
      <c r="AD30" s="131"/>
      <c r="AE30" s="131"/>
      <c r="AF30" s="131"/>
      <c r="AG30" s="131"/>
    </row>
    <row r="31" spans="1:33" x14ac:dyDescent="0.2">
      <c r="A31" s="131" t="s">
        <v>35</v>
      </c>
      <c r="B31" s="131"/>
      <c r="C31" s="131"/>
      <c r="D31" s="131"/>
      <c r="E31" s="131">
        <v>10</v>
      </c>
      <c r="F31" s="131"/>
      <c r="G31" s="131"/>
      <c r="H31" s="131"/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1"/>
      <c r="W31" s="131"/>
      <c r="X31" s="131"/>
      <c r="Y31" s="131"/>
      <c r="Z31" s="131"/>
      <c r="AA31" s="131"/>
      <c r="AB31" s="131"/>
      <c r="AC31" s="131"/>
      <c r="AD31" s="131"/>
      <c r="AE31" s="131"/>
      <c r="AF31" s="131"/>
      <c r="AG31" s="131"/>
    </row>
    <row r="32" spans="1:33" x14ac:dyDescent="0.2">
      <c r="A32" s="131" t="s">
        <v>36</v>
      </c>
      <c r="B32" s="131"/>
      <c r="C32" s="131"/>
      <c r="D32" s="131"/>
      <c r="E32" s="131">
        <v>100</v>
      </c>
      <c r="F32" s="131" t="s">
        <v>37</v>
      </c>
      <c r="G32" s="131"/>
      <c r="H32" s="131"/>
      <c r="I32" s="131"/>
      <c r="J32" s="131"/>
      <c r="K32" s="131"/>
      <c r="L32" s="131"/>
      <c r="M32" s="131"/>
      <c r="N32" s="131"/>
      <c r="O32" s="131"/>
      <c r="P32" s="131"/>
      <c r="Q32" s="131"/>
      <c r="R32" s="131"/>
      <c r="S32" s="131"/>
      <c r="T32" s="131"/>
      <c r="U32" s="131"/>
      <c r="V32" s="131"/>
      <c r="W32" s="131"/>
      <c r="X32" s="131"/>
      <c r="Y32" s="131"/>
      <c r="Z32" s="131"/>
      <c r="AA32" s="131"/>
      <c r="AB32" s="131"/>
      <c r="AC32" s="131"/>
      <c r="AD32" s="131"/>
      <c r="AE32" s="131"/>
      <c r="AF32" s="131"/>
      <c r="AG32" s="131"/>
    </row>
    <row r="33" spans="1:65" x14ac:dyDescent="0.2">
      <c r="A33" s="131" t="s">
        <v>38</v>
      </c>
      <c r="B33" s="133">
        <v>43223.421550925923</v>
      </c>
      <c r="C33" s="131"/>
      <c r="D33" s="131"/>
      <c r="E33" s="131"/>
      <c r="F33" s="131"/>
      <c r="G33" s="131"/>
      <c r="H33" s="131"/>
      <c r="I33" s="131"/>
      <c r="J33" s="131"/>
      <c r="K33" s="131"/>
      <c r="L33" s="131"/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</row>
    <row r="34" spans="1:65" x14ac:dyDescent="0.2">
      <c r="A34" s="131"/>
      <c r="B34" s="131"/>
      <c r="C34" s="131"/>
      <c r="D34" s="131"/>
      <c r="E34" s="131"/>
      <c r="F34" s="131"/>
      <c r="G34" s="131"/>
      <c r="H34" s="131"/>
      <c r="I34" s="131"/>
      <c r="J34" s="131"/>
      <c r="K34" s="131"/>
      <c r="L34" s="131"/>
      <c r="M34" s="131"/>
      <c r="N34" s="131"/>
      <c r="O34" s="131"/>
      <c r="P34" s="131"/>
      <c r="Q34" s="131"/>
      <c r="R34" s="131"/>
      <c r="S34" s="131"/>
      <c r="T34" s="131"/>
      <c r="U34" s="131"/>
      <c r="V34" s="131"/>
      <c r="W34" s="131"/>
      <c r="X34" s="131"/>
      <c r="Y34" s="131"/>
      <c r="Z34" s="131"/>
      <c r="AA34" s="131"/>
      <c r="AB34" s="131"/>
      <c r="AC34" s="131"/>
      <c r="AD34" s="131"/>
      <c r="AE34" s="131"/>
      <c r="AF34" s="131"/>
      <c r="AG34" s="131"/>
    </row>
    <row r="35" spans="1:65" x14ac:dyDescent="0.2">
      <c r="A35" s="131"/>
      <c r="B35" s="131"/>
      <c r="C35" s="131"/>
      <c r="D35" s="131"/>
      <c r="E35" s="131"/>
      <c r="F35" s="131"/>
      <c r="G35" s="131"/>
      <c r="H35" s="131"/>
      <c r="I35" s="131"/>
      <c r="J35" s="131"/>
      <c r="K35" s="131"/>
      <c r="L35" s="131"/>
      <c r="M35" s="131"/>
      <c r="N35" s="131"/>
      <c r="O35" s="131"/>
      <c r="P35" s="131"/>
      <c r="Q35" s="131"/>
      <c r="R35" s="131"/>
      <c r="S35" s="131"/>
      <c r="T35" s="131"/>
      <c r="U35" s="131"/>
      <c r="V35" s="131"/>
      <c r="W35" s="131"/>
      <c r="X35" s="131"/>
      <c r="Y35" s="131"/>
      <c r="Z35" s="131"/>
      <c r="AA35" s="131"/>
      <c r="AB35" s="131"/>
      <c r="AC35" s="131"/>
      <c r="AD35" s="131"/>
      <c r="AE35" s="131"/>
      <c r="AF35" s="131"/>
      <c r="AG35" s="131"/>
    </row>
    <row r="36" spans="1:65" x14ac:dyDescent="0.2">
      <c r="A36" s="136" t="s">
        <v>39</v>
      </c>
      <c r="B36" s="136">
        <v>1</v>
      </c>
      <c r="C36" s="136">
        <v>2</v>
      </c>
      <c r="D36" s="136">
        <v>3</v>
      </c>
      <c r="E36" s="136">
        <v>4</v>
      </c>
      <c r="F36" s="136">
        <v>5</v>
      </c>
      <c r="G36" s="136">
        <v>6</v>
      </c>
      <c r="H36" s="136">
        <v>7</v>
      </c>
      <c r="I36" s="136">
        <v>8</v>
      </c>
      <c r="J36" s="136">
        <v>9</v>
      </c>
      <c r="K36" s="136">
        <v>10</v>
      </c>
      <c r="L36" s="136">
        <v>11</v>
      </c>
      <c r="M36" s="136">
        <v>12</v>
      </c>
      <c r="N36" s="136">
        <v>13</v>
      </c>
      <c r="O36" s="136">
        <v>14</v>
      </c>
      <c r="P36" s="136">
        <v>15</v>
      </c>
      <c r="Q36" s="136">
        <v>16</v>
      </c>
      <c r="R36" s="136">
        <v>17</v>
      </c>
      <c r="S36" s="136">
        <v>18</v>
      </c>
      <c r="T36" s="136">
        <v>19</v>
      </c>
      <c r="U36" s="136">
        <v>20</v>
      </c>
      <c r="V36" s="136">
        <v>21</v>
      </c>
      <c r="W36" s="136">
        <v>22</v>
      </c>
      <c r="X36" s="136">
        <v>23</v>
      </c>
      <c r="Y36" s="136">
        <v>24</v>
      </c>
      <c r="Z36" s="136">
        <v>25</v>
      </c>
      <c r="AA36" s="136">
        <v>26</v>
      </c>
      <c r="AB36" s="136">
        <v>27</v>
      </c>
      <c r="AC36" s="136">
        <v>28</v>
      </c>
      <c r="AD36" s="136">
        <v>29</v>
      </c>
      <c r="AE36" s="136">
        <v>30</v>
      </c>
      <c r="AF36" s="136">
        <v>31</v>
      </c>
      <c r="AG36" s="136">
        <v>32</v>
      </c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</row>
    <row r="37" spans="1:65" x14ac:dyDescent="0.2">
      <c r="A37" s="136" t="s">
        <v>40</v>
      </c>
      <c r="B37" s="131">
        <v>0</v>
      </c>
      <c r="C37" s="131">
        <v>900.1</v>
      </c>
      <c r="D37" s="131">
        <v>1800.2</v>
      </c>
      <c r="E37" s="131">
        <v>2700.3</v>
      </c>
      <c r="F37" s="131">
        <v>3600.4</v>
      </c>
      <c r="G37" s="131">
        <v>4500.5</v>
      </c>
      <c r="H37" s="131">
        <v>5400.6</v>
      </c>
      <c r="I37" s="131">
        <v>6300.7</v>
      </c>
      <c r="J37" s="131">
        <v>7200.8</v>
      </c>
      <c r="K37" s="131">
        <v>8100.9</v>
      </c>
      <c r="L37" s="131">
        <v>9001</v>
      </c>
      <c r="M37" s="131">
        <v>9901.1</v>
      </c>
      <c r="N37" s="131">
        <v>10801.2</v>
      </c>
      <c r="O37" s="131">
        <v>11701.3</v>
      </c>
      <c r="P37" s="131">
        <v>12601.4</v>
      </c>
      <c r="Q37" s="131">
        <v>13501.6</v>
      </c>
      <c r="R37" s="131">
        <v>14401.7</v>
      </c>
      <c r="S37" s="131">
        <v>15301.8</v>
      </c>
      <c r="T37" s="131">
        <v>16201.9</v>
      </c>
      <c r="U37" s="131">
        <v>17102</v>
      </c>
      <c r="V37" s="131">
        <v>18002.099999999999</v>
      </c>
      <c r="W37" s="131">
        <v>18902.2</v>
      </c>
      <c r="X37" s="131">
        <v>19802.3</v>
      </c>
      <c r="Y37" s="131">
        <v>20702.400000000001</v>
      </c>
      <c r="Z37" s="131">
        <v>21602.5</v>
      </c>
      <c r="AA37" s="131">
        <v>22502.6</v>
      </c>
      <c r="AB37" s="131">
        <v>23402.7</v>
      </c>
      <c r="AC37" s="131">
        <v>24302.799999999999</v>
      </c>
      <c r="AD37" s="131">
        <v>25202.9</v>
      </c>
      <c r="AE37" s="131">
        <v>26103</v>
      </c>
      <c r="AF37" s="131">
        <v>27003.1</v>
      </c>
      <c r="AG37" s="154">
        <v>27903.200000000001</v>
      </c>
    </row>
    <row r="38" spans="1:65" x14ac:dyDescent="0.2">
      <c r="A38" s="136" t="s">
        <v>41</v>
      </c>
      <c r="B38" s="131">
        <v>36.5</v>
      </c>
      <c r="C38" s="131">
        <v>37.200000000000003</v>
      </c>
      <c r="D38" s="131">
        <v>37.4</v>
      </c>
      <c r="E38" s="131">
        <v>36.700000000000003</v>
      </c>
      <c r="F38" s="131">
        <v>37</v>
      </c>
      <c r="G38" s="131">
        <v>36.9</v>
      </c>
      <c r="H38" s="131">
        <v>37.5</v>
      </c>
      <c r="I38" s="131">
        <v>37.6</v>
      </c>
      <c r="J38" s="131">
        <v>37.6</v>
      </c>
      <c r="K38" s="131">
        <v>37.6</v>
      </c>
      <c r="L38" s="131">
        <v>37.6</v>
      </c>
      <c r="M38" s="131">
        <v>37.6</v>
      </c>
      <c r="N38" s="131">
        <v>37.6</v>
      </c>
      <c r="O38" s="131">
        <v>37.6</v>
      </c>
      <c r="P38" s="131">
        <v>37.4</v>
      </c>
      <c r="Q38" s="131">
        <v>37.1</v>
      </c>
      <c r="R38" s="131">
        <v>36.799999999999997</v>
      </c>
      <c r="S38" s="131">
        <v>36.9</v>
      </c>
      <c r="T38" s="131">
        <v>37.1</v>
      </c>
      <c r="U38" s="131">
        <v>37.200000000000003</v>
      </c>
      <c r="V38" s="131">
        <v>37.299999999999997</v>
      </c>
      <c r="W38" s="131">
        <v>37.299999999999997</v>
      </c>
      <c r="X38" s="131">
        <v>37.4</v>
      </c>
      <c r="Y38" s="131">
        <v>37.6</v>
      </c>
      <c r="Z38" s="131">
        <v>37.299999999999997</v>
      </c>
      <c r="AA38" s="131">
        <v>36.799999999999997</v>
      </c>
      <c r="AB38" s="131">
        <v>37</v>
      </c>
      <c r="AC38" s="131">
        <v>37.4</v>
      </c>
      <c r="AD38" s="131">
        <v>37.5</v>
      </c>
      <c r="AE38" s="131">
        <v>37.6</v>
      </c>
      <c r="AF38" s="131">
        <v>37.200000000000003</v>
      </c>
      <c r="AG38" s="131">
        <v>36.799999999999997</v>
      </c>
    </row>
    <row r="39" spans="1:65" x14ac:dyDescent="0.2">
      <c r="A39" s="136" t="s">
        <v>42</v>
      </c>
      <c r="B39" s="131">
        <v>9.1899999999999996E-2</v>
      </c>
      <c r="C39" s="131">
        <v>9.1999999999999998E-2</v>
      </c>
      <c r="D39" s="131">
        <v>9.1999999999999998E-2</v>
      </c>
      <c r="E39" s="131">
        <v>9.1800000000000007E-2</v>
      </c>
      <c r="F39" s="131">
        <v>9.1899999999999996E-2</v>
      </c>
      <c r="G39" s="131">
        <v>9.1800000000000007E-2</v>
      </c>
      <c r="H39" s="131">
        <v>9.1899999999999996E-2</v>
      </c>
      <c r="I39" s="131">
        <v>9.1800000000000007E-2</v>
      </c>
      <c r="J39" s="131">
        <v>9.1800000000000007E-2</v>
      </c>
      <c r="K39" s="131">
        <v>9.1800000000000007E-2</v>
      </c>
      <c r="L39" s="131">
        <v>9.1700000000000004E-2</v>
      </c>
      <c r="M39" s="131">
        <v>9.1700000000000004E-2</v>
      </c>
      <c r="N39" s="131">
        <v>9.1499999999999998E-2</v>
      </c>
      <c r="O39" s="131">
        <v>9.1499999999999998E-2</v>
      </c>
      <c r="P39" s="131">
        <v>9.1700000000000004E-2</v>
      </c>
      <c r="Q39" s="131">
        <v>9.1800000000000007E-2</v>
      </c>
      <c r="R39" s="131">
        <v>9.1899999999999996E-2</v>
      </c>
      <c r="S39" s="131">
        <v>9.1999999999999998E-2</v>
      </c>
      <c r="T39" s="131">
        <v>9.1999999999999998E-2</v>
      </c>
      <c r="U39" s="131">
        <v>9.2100000000000001E-2</v>
      </c>
      <c r="V39" s="131">
        <v>9.1999999999999998E-2</v>
      </c>
      <c r="W39" s="131">
        <v>9.2100000000000001E-2</v>
      </c>
      <c r="X39" s="131">
        <v>9.1999999999999998E-2</v>
      </c>
      <c r="Y39" s="131">
        <v>9.2100000000000001E-2</v>
      </c>
      <c r="Z39" s="131">
        <v>9.2100000000000001E-2</v>
      </c>
      <c r="AA39" s="131">
        <v>9.1999999999999998E-2</v>
      </c>
      <c r="AB39" s="131">
        <v>9.1999999999999998E-2</v>
      </c>
      <c r="AC39" s="131">
        <v>9.1899999999999996E-2</v>
      </c>
      <c r="AD39" s="131">
        <v>9.2100000000000001E-2</v>
      </c>
      <c r="AE39" s="131">
        <v>9.1800000000000007E-2</v>
      </c>
      <c r="AF39" s="131">
        <v>9.1899999999999996E-2</v>
      </c>
      <c r="AG39" s="131">
        <v>9.1899999999999996E-2</v>
      </c>
    </row>
    <row r="40" spans="1:65" x14ac:dyDescent="0.2">
      <c r="A40" s="136" t="s">
        <v>43</v>
      </c>
      <c r="B40" s="131">
        <v>9.2299999999999993E-2</v>
      </c>
      <c r="C40" s="131">
        <v>9.2200000000000004E-2</v>
      </c>
      <c r="D40" s="131">
        <v>9.2100000000000001E-2</v>
      </c>
      <c r="E40" s="131">
        <v>9.1999999999999998E-2</v>
      </c>
      <c r="F40" s="131">
        <v>9.1999999999999998E-2</v>
      </c>
      <c r="G40" s="131">
        <v>9.1999999999999998E-2</v>
      </c>
      <c r="H40" s="131">
        <v>9.1999999999999998E-2</v>
      </c>
      <c r="I40" s="131">
        <v>9.1999999999999998E-2</v>
      </c>
      <c r="J40" s="131">
        <v>9.1999999999999998E-2</v>
      </c>
      <c r="K40" s="131">
        <v>9.1899999999999996E-2</v>
      </c>
      <c r="L40" s="131">
        <v>9.1899999999999996E-2</v>
      </c>
      <c r="M40" s="131">
        <v>9.1899999999999996E-2</v>
      </c>
      <c r="N40" s="131">
        <v>9.1700000000000004E-2</v>
      </c>
      <c r="O40" s="131">
        <v>9.1600000000000001E-2</v>
      </c>
      <c r="P40" s="131">
        <v>9.1899999999999996E-2</v>
      </c>
      <c r="Q40" s="131">
        <v>9.1899999999999996E-2</v>
      </c>
      <c r="R40" s="131">
        <v>9.1999999999999998E-2</v>
      </c>
      <c r="S40" s="131">
        <v>9.2200000000000004E-2</v>
      </c>
      <c r="T40" s="131">
        <v>9.2200000000000004E-2</v>
      </c>
      <c r="U40" s="131">
        <v>9.2200000000000004E-2</v>
      </c>
      <c r="V40" s="131">
        <v>9.2200000000000004E-2</v>
      </c>
      <c r="W40" s="131">
        <v>9.2299999999999993E-2</v>
      </c>
      <c r="X40" s="131">
        <v>9.2200000000000004E-2</v>
      </c>
      <c r="Y40" s="131">
        <v>9.2200000000000004E-2</v>
      </c>
      <c r="Z40" s="131">
        <v>9.2100000000000001E-2</v>
      </c>
      <c r="AA40" s="131">
        <v>9.2200000000000004E-2</v>
      </c>
      <c r="AB40" s="131">
        <v>9.2200000000000004E-2</v>
      </c>
      <c r="AC40" s="131">
        <v>9.2200000000000004E-2</v>
      </c>
      <c r="AD40" s="131">
        <v>9.2200000000000004E-2</v>
      </c>
      <c r="AE40" s="131">
        <v>9.2200000000000004E-2</v>
      </c>
      <c r="AF40" s="131">
        <v>9.2100000000000001E-2</v>
      </c>
      <c r="AG40" s="131">
        <v>9.2200000000000004E-2</v>
      </c>
    </row>
    <row r="41" spans="1:65" x14ac:dyDescent="0.2">
      <c r="A41" s="136" t="s">
        <v>44</v>
      </c>
      <c r="B41" s="131">
        <v>9.2700000000000005E-2</v>
      </c>
      <c r="C41" s="131">
        <v>9.2499999999999999E-2</v>
      </c>
      <c r="D41" s="131">
        <v>9.2399999999999996E-2</v>
      </c>
      <c r="E41" s="131">
        <v>9.2200000000000004E-2</v>
      </c>
      <c r="F41" s="131">
        <v>9.2200000000000004E-2</v>
      </c>
      <c r="G41" s="131">
        <v>9.2100000000000001E-2</v>
      </c>
      <c r="H41" s="131">
        <v>9.2100000000000001E-2</v>
      </c>
      <c r="I41" s="131">
        <v>9.2200000000000004E-2</v>
      </c>
      <c r="J41" s="131">
        <v>9.2200000000000004E-2</v>
      </c>
      <c r="K41" s="131">
        <v>9.2100000000000001E-2</v>
      </c>
      <c r="L41" s="131">
        <v>9.2100000000000001E-2</v>
      </c>
      <c r="M41" s="131">
        <v>9.1999999999999998E-2</v>
      </c>
      <c r="N41" s="131">
        <v>9.1899999999999996E-2</v>
      </c>
      <c r="O41" s="131">
        <v>9.1800000000000007E-2</v>
      </c>
      <c r="P41" s="131">
        <v>9.2100000000000001E-2</v>
      </c>
      <c r="Q41" s="131">
        <v>9.2100000000000001E-2</v>
      </c>
      <c r="R41" s="131">
        <v>9.2200000000000004E-2</v>
      </c>
      <c r="S41" s="131">
        <v>9.2299999999999993E-2</v>
      </c>
      <c r="T41" s="131">
        <v>9.2299999999999993E-2</v>
      </c>
      <c r="U41" s="131">
        <v>9.2399999999999996E-2</v>
      </c>
      <c r="V41" s="131">
        <v>9.2399999999999996E-2</v>
      </c>
      <c r="W41" s="131">
        <v>9.2399999999999996E-2</v>
      </c>
      <c r="X41" s="131">
        <v>9.2299999999999993E-2</v>
      </c>
      <c r="Y41" s="131">
        <v>9.2299999999999993E-2</v>
      </c>
      <c r="Z41" s="131">
        <v>9.2299999999999993E-2</v>
      </c>
      <c r="AA41" s="131">
        <v>9.2200000000000004E-2</v>
      </c>
      <c r="AB41" s="131">
        <v>9.2299999999999993E-2</v>
      </c>
      <c r="AC41" s="131">
        <v>9.2200000000000004E-2</v>
      </c>
      <c r="AD41" s="131">
        <v>9.2200000000000004E-2</v>
      </c>
      <c r="AE41" s="131">
        <v>9.2200000000000004E-2</v>
      </c>
      <c r="AF41" s="131">
        <v>9.2200000000000004E-2</v>
      </c>
      <c r="AG41" s="131">
        <v>9.2200000000000004E-2</v>
      </c>
    </row>
    <row r="42" spans="1:65" x14ac:dyDescent="0.2">
      <c r="A42" s="136" t="s">
        <v>45</v>
      </c>
      <c r="B42" s="131">
        <v>9.2299999999999993E-2</v>
      </c>
      <c r="C42" s="131">
        <v>9.2299999999999993E-2</v>
      </c>
      <c r="D42" s="131">
        <v>9.2200000000000004E-2</v>
      </c>
      <c r="E42" s="131">
        <v>9.1999999999999998E-2</v>
      </c>
      <c r="F42" s="131">
        <v>9.2100000000000001E-2</v>
      </c>
      <c r="G42" s="131">
        <v>9.1999999999999998E-2</v>
      </c>
      <c r="H42" s="131">
        <v>9.2100000000000001E-2</v>
      </c>
      <c r="I42" s="131">
        <v>9.2100000000000001E-2</v>
      </c>
      <c r="J42" s="131">
        <v>9.2200000000000004E-2</v>
      </c>
      <c r="K42" s="131">
        <v>9.1999999999999998E-2</v>
      </c>
      <c r="L42" s="131">
        <v>9.1999999999999998E-2</v>
      </c>
      <c r="M42" s="131">
        <v>9.1899999999999996E-2</v>
      </c>
      <c r="N42" s="131">
        <v>9.1899999999999996E-2</v>
      </c>
      <c r="O42" s="131">
        <v>9.1700000000000004E-2</v>
      </c>
      <c r="P42" s="131">
        <v>9.2100000000000001E-2</v>
      </c>
      <c r="Q42" s="131">
        <v>9.2100000000000001E-2</v>
      </c>
      <c r="R42" s="131">
        <v>9.2200000000000004E-2</v>
      </c>
      <c r="S42" s="131">
        <v>9.2299999999999993E-2</v>
      </c>
      <c r="T42" s="131">
        <v>9.2799999999999994E-2</v>
      </c>
      <c r="U42" s="131">
        <v>9.2399999999999996E-2</v>
      </c>
      <c r="V42" s="131">
        <v>9.2399999999999996E-2</v>
      </c>
      <c r="W42" s="131">
        <v>9.2399999999999996E-2</v>
      </c>
      <c r="X42" s="131">
        <v>9.2399999999999996E-2</v>
      </c>
      <c r="Y42" s="131">
        <v>9.2399999999999996E-2</v>
      </c>
      <c r="Z42" s="131">
        <v>9.2299999999999993E-2</v>
      </c>
      <c r="AA42" s="131">
        <v>9.2299999999999993E-2</v>
      </c>
      <c r="AB42" s="131">
        <v>9.2299999999999993E-2</v>
      </c>
      <c r="AC42" s="131">
        <v>9.2299999999999993E-2</v>
      </c>
      <c r="AD42" s="131">
        <v>9.2399999999999996E-2</v>
      </c>
      <c r="AE42" s="131">
        <v>9.2200000000000004E-2</v>
      </c>
      <c r="AF42" s="131">
        <v>9.2299999999999993E-2</v>
      </c>
      <c r="AG42" s="131">
        <v>9.2299999999999993E-2</v>
      </c>
    </row>
    <row r="43" spans="1:65" x14ac:dyDescent="0.2">
      <c r="A43" s="136" t="s">
        <v>46</v>
      </c>
      <c r="B43" s="131">
        <v>9.2700000000000005E-2</v>
      </c>
      <c r="C43" s="131">
        <v>9.2799999999999994E-2</v>
      </c>
      <c r="D43" s="131">
        <v>9.2600000000000002E-2</v>
      </c>
      <c r="E43" s="131">
        <v>9.2399999999999996E-2</v>
      </c>
      <c r="F43" s="131">
        <v>9.2399999999999996E-2</v>
      </c>
      <c r="G43" s="131">
        <v>9.2299999999999993E-2</v>
      </c>
      <c r="H43" s="131">
        <v>9.2299999999999993E-2</v>
      </c>
      <c r="I43" s="131">
        <v>9.2399999999999996E-2</v>
      </c>
      <c r="J43" s="131">
        <v>9.2399999999999996E-2</v>
      </c>
      <c r="K43" s="131">
        <v>9.2299999999999993E-2</v>
      </c>
      <c r="L43" s="131">
        <v>9.2299999999999993E-2</v>
      </c>
      <c r="M43" s="131">
        <v>9.2200000000000004E-2</v>
      </c>
      <c r="N43" s="131">
        <v>9.2100000000000001E-2</v>
      </c>
      <c r="O43" s="131">
        <v>9.1999999999999998E-2</v>
      </c>
      <c r="P43" s="131">
        <v>9.2299999999999993E-2</v>
      </c>
      <c r="Q43" s="131">
        <v>9.2399999999999996E-2</v>
      </c>
      <c r="R43" s="131">
        <v>9.2499999999999999E-2</v>
      </c>
      <c r="S43" s="131">
        <v>9.2700000000000005E-2</v>
      </c>
      <c r="T43" s="131">
        <v>9.2700000000000005E-2</v>
      </c>
      <c r="U43" s="131">
        <v>9.2799999999999994E-2</v>
      </c>
      <c r="V43" s="131">
        <v>9.2799999999999994E-2</v>
      </c>
      <c r="W43" s="131">
        <v>9.2799999999999994E-2</v>
      </c>
      <c r="X43" s="131">
        <v>9.2700000000000005E-2</v>
      </c>
      <c r="Y43" s="131">
        <v>9.2799999999999994E-2</v>
      </c>
      <c r="Z43" s="131">
        <v>9.2700000000000005E-2</v>
      </c>
      <c r="AA43" s="131">
        <v>9.2700000000000005E-2</v>
      </c>
      <c r="AB43" s="131">
        <v>9.2700000000000005E-2</v>
      </c>
      <c r="AC43" s="131">
        <v>9.2700000000000005E-2</v>
      </c>
      <c r="AD43" s="131">
        <v>9.2700000000000005E-2</v>
      </c>
      <c r="AE43" s="131">
        <v>9.2700000000000005E-2</v>
      </c>
      <c r="AF43" s="131">
        <v>9.2700000000000005E-2</v>
      </c>
      <c r="AG43" s="131">
        <v>9.2700000000000005E-2</v>
      </c>
    </row>
    <row r="44" spans="1:65" x14ac:dyDescent="0.2">
      <c r="A44" s="136" t="s">
        <v>47</v>
      </c>
      <c r="B44" s="131">
        <v>9.2999999999999999E-2</v>
      </c>
      <c r="C44" s="131">
        <v>9.2999999999999999E-2</v>
      </c>
      <c r="D44" s="131">
        <v>9.2899999999999996E-2</v>
      </c>
      <c r="E44" s="131">
        <v>9.2600000000000002E-2</v>
      </c>
      <c r="F44" s="131">
        <v>9.2600000000000002E-2</v>
      </c>
      <c r="G44" s="131">
        <v>9.2399999999999996E-2</v>
      </c>
      <c r="H44" s="131">
        <v>9.2399999999999996E-2</v>
      </c>
      <c r="I44" s="131">
        <v>9.2799999999999994E-2</v>
      </c>
      <c r="J44" s="131">
        <v>9.2600000000000002E-2</v>
      </c>
      <c r="K44" s="131">
        <v>9.2499999999999999E-2</v>
      </c>
      <c r="L44" s="131">
        <v>9.2200000000000004E-2</v>
      </c>
      <c r="M44" s="131">
        <v>9.2100000000000001E-2</v>
      </c>
      <c r="N44" s="131">
        <v>9.2200000000000004E-2</v>
      </c>
      <c r="O44" s="131">
        <v>9.2200000000000004E-2</v>
      </c>
      <c r="P44" s="131">
        <v>9.2299999999999993E-2</v>
      </c>
      <c r="Q44" s="131">
        <v>9.2499999999999999E-2</v>
      </c>
      <c r="R44" s="131">
        <v>9.2600000000000002E-2</v>
      </c>
      <c r="S44" s="131">
        <v>9.2600000000000002E-2</v>
      </c>
      <c r="T44" s="131">
        <v>9.2499999999999999E-2</v>
      </c>
      <c r="U44" s="131">
        <v>9.2600000000000002E-2</v>
      </c>
      <c r="V44" s="131">
        <v>9.2700000000000005E-2</v>
      </c>
      <c r="W44" s="131">
        <v>9.3200000000000005E-2</v>
      </c>
      <c r="X44" s="131">
        <v>9.2600000000000002E-2</v>
      </c>
      <c r="Y44" s="131">
        <v>9.2600000000000002E-2</v>
      </c>
      <c r="Z44" s="131">
        <v>9.2499999999999999E-2</v>
      </c>
      <c r="AA44" s="131">
        <v>9.2499999999999999E-2</v>
      </c>
      <c r="AB44" s="131">
        <v>9.2499999999999999E-2</v>
      </c>
      <c r="AC44" s="131">
        <v>9.2399999999999996E-2</v>
      </c>
      <c r="AD44" s="131">
        <v>9.2499999999999999E-2</v>
      </c>
      <c r="AE44" s="131">
        <v>9.2399999999999996E-2</v>
      </c>
      <c r="AF44" s="131">
        <v>9.2399999999999996E-2</v>
      </c>
      <c r="AG44" s="131">
        <v>9.2399999999999996E-2</v>
      </c>
    </row>
    <row r="45" spans="1:65" x14ac:dyDescent="0.2">
      <c r="A45" s="136" t="s">
        <v>48</v>
      </c>
      <c r="B45" s="131">
        <v>9.2899999999999996E-2</v>
      </c>
      <c r="C45" s="131">
        <v>9.2700000000000005E-2</v>
      </c>
      <c r="D45" s="131">
        <v>9.2600000000000002E-2</v>
      </c>
      <c r="E45" s="131">
        <v>9.2399999999999996E-2</v>
      </c>
      <c r="F45" s="131">
        <v>9.2399999999999996E-2</v>
      </c>
      <c r="G45" s="131">
        <v>9.2399999999999996E-2</v>
      </c>
      <c r="H45" s="131">
        <v>9.2399999999999996E-2</v>
      </c>
      <c r="I45" s="131">
        <v>9.2999999999999999E-2</v>
      </c>
      <c r="J45" s="131">
        <v>9.2399999999999996E-2</v>
      </c>
      <c r="K45" s="131">
        <v>9.2399999999999996E-2</v>
      </c>
      <c r="L45" s="131">
        <v>9.2499999999999999E-2</v>
      </c>
      <c r="M45" s="131">
        <v>9.2299999999999993E-2</v>
      </c>
      <c r="N45" s="131">
        <v>9.2299999999999993E-2</v>
      </c>
      <c r="O45" s="131">
        <v>9.2100000000000001E-2</v>
      </c>
      <c r="P45" s="131">
        <v>9.2499999999999999E-2</v>
      </c>
      <c r="Q45" s="131">
        <v>9.2600000000000002E-2</v>
      </c>
      <c r="R45" s="131">
        <v>9.2799999999999994E-2</v>
      </c>
      <c r="S45" s="131">
        <v>9.2899999999999996E-2</v>
      </c>
      <c r="T45" s="131">
        <v>9.2899999999999996E-2</v>
      </c>
      <c r="U45" s="131">
        <v>9.2899999999999996E-2</v>
      </c>
      <c r="V45" s="131">
        <v>9.2899999999999996E-2</v>
      </c>
      <c r="W45" s="131">
        <v>9.2899999999999996E-2</v>
      </c>
      <c r="X45" s="131">
        <v>9.2999999999999999E-2</v>
      </c>
      <c r="Y45" s="131">
        <v>9.3100000000000002E-2</v>
      </c>
      <c r="Z45" s="131">
        <v>9.2999999999999999E-2</v>
      </c>
      <c r="AA45" s="131">
        <v>9.2899999999999996E-2</v>
      </c>
      <c r="AB45" s="131">
        <v>9.2899999999999996E-2</v>
      </c>
      <c r="AC45" s="131">
        <v>9.2899999999999996E-2</v>
      </c>
      <c r="AD45" s="131">
        <v>9.2899999999999996E-2</v>
      </c>
      <c r="AE45" s="131">
        <v>9.2899999999999996E-2</v>
      </c>
      <c r="AF45" s="131">
        <v>9.2899999999999996E-2</v>
      </c>
      <c r="AG45" s="131">
        <v>9.2899999999999996E-2</v>
      </c>
    </row>
    <row r="46" spans="1:65" x14ac:dyDescent="0.2">
      <c r="A46" s="136" t="s">
        <v>49</v>
      </c>
      <c r="B46" s="131">
        <v>9.2399999999999996E-2</v>
      </c>
      <c r="C46" s="131">
        <v>9.2499999999999999E-2</v>
      </c>
      <c r="D46" s="131">
        <v>9.2399999999999996E-2</v>
      </c>
      <c r="E46" s="131">
        <v>9.2799999999999994E-2</v>
      </c>
      <c r="F46" s="131">
        <v>9.2499999999999999E-2</v>
      </c>
      <c r="G46" s="131">
        <v>9.2600000000000002E-2</v>
      </c>
      <c r="H46" s="131">
        <v>9.2600000000000002E-2</v>
      </c>
      <c r="I46" s="131">
        <v>9.2200000000000004E-2</v>
      </c>
      <c r="J46" s="131">
        <v>9.2200000000000004E-2</v>
      </c>
      <c r="K46" s="131">
        <v>9.2200000000000004E-2</v>
      </c>
      <c r="L46" s="131">
        <v>9.2499999999999999E-2</v>
      </c>
      <c r="M46" s="131">
        <v>9.2399999999999996E-2</v>
      </c>
      <c r="N46" s="131">
        <v>9.2299999999999993E-2</v>
      </c>
      <c r="O46" s="131">
        <v>9.1899999999999996E-2</v>
      </c>
      <c r="P46" s="131">
        <v>9.2600000000000002E-2</v>
      </c>
      <c r="Q46" s="131">
        <v>9.2200000000000004E-2</v>
      </c>
      <c r="R46" s="131">
        <v>9.2499999999999999E-2</v>
      </c>
      <c r="S46" s="131">
        <v>9.3299999999999994E-2</v>
      </c>
      <c r="T46" s="131">
        <v>9.2899999999999996E-2</v>
      </c>
      <c r="U46" s="131">
        <v>9.2999999999999999E-2</v>
      </c>
      <c r="V46" s="131">
        <v>9.2899999999999996E-2</v>
      </c>
      <c r="W46" s="131">
        <v>9.2899999999999996E-2</v>
      </c>
      <c r="X46" s="131">
        <v>9.2999999999999999E-2</v>
      </c>
      <c r="Y46" s="131">
        <v>9.2999999999999999E-2</v>
      </c>
      <c r="Z46" s="131">
        <v>9.2899999999999996E-2</v>
      </c>
      <c r="AA46" s="131">
        <v>9.2899999999999996E-2</v>
      </c>
      <c r="AB46" s="131">
        <v>9.2899999999999996E-2</v>
      </c>
      <c r="AC46" s="131">
        <v>9.2899999999999996E-2</v>
      </c>
      <c r="AD46" s="131">
        <v>9.2899999999999996E-2</v>
      </c>
      <c r="AE46" s="131">
        <v>9.2899999999999996E-2</v>
      </c>
      <c r="AF46" s="131">
        <v>9.2899999999999996E-2</v>
      </c>
      <c r="AG46" s="131">
        <v>9.2899999999999996E-2</v>
      </c>
    </row>
    <row r="47" spans="1:65" x14ac:dyDescent="0.2">
      <c r="A47" s="136" t="s">
        <v>50</v>
      </c>
      <c r="B47" s="131">
        <v>9.2600000000000002E-2</v>
      </c>
      <c r="C47" s="131">
        <v>9.2499999999999999E-2</v>
      </c>
      <c r="D47" s="131">
        <v>9.2399999999999996E-2</v>
      </c>
      <c r="E47" s="131">
        <v>9.2200000000000004E-2</v>
      </c>
      <c r="F47" s="131">
        <v>9.2100000000000001E-2</v>
      </c>
      <c r="G47" s="131">
        <v>9.2200000000000004E-2</v>
      </c>
      <c r="H47" s="131">
        <v>9.2100000000000001E-2</v>
      </c>
      <c r="I47" s="131">
        <v>9.2100000000000001E-2</v>
      </c>
      <c r="J47" s="131">
        <v>9.2100000000000001E-2</v>
      </c>
      <c r="K47" s="131">
        <v>9.2100000000000001E-2</v>
      </c>
      <c r="L47" s="131">
        <v>9.2600000000000002E-2</v>
      </c>
      <c r="M47" s="131">
        <v>9.1899999999999996E-2</v>
      </c>
      <c r="N47" s="131">
        <v>9.1800000000000007E-2</v>
      </c>
      <c r="O47" s="131">
        <v>9.1700000000000004E-2</v>
      </c>
      <c r="P47" s="131">
        <v>9.1999999999999998E-2</v>
      </c>
      <c r="Q47" s="131">
        <v>9.2100000000000001E-2</v>
      </c>
      <c r="R47" s="131">
        <v>9.2299999999999993E-2</v>
      </c>
      <c r="S47" s="131">
        <v>9.2399999999999996E-2</v>
      </c>
      <c r="T47" s="131">
        <v>9.2399999999999996E-2</v>
      </c>
      <c r="U47" s="131">
        <v>9.2499999999999999E-2</v>
      </c>
      <c r="V47" s="131">
        <v>9.2499999999999999E-2</v>
      </c>
      <c r="W47" s="131">
        <v>9.2499999999999999E-2</v>
      </c>
      <c r="X47" s="131">
        <v>9.2499999999999999E-2</v>
      </c>
      <c r="Y47" s="131">
        <v>9.2499999999999999E-2</v>
      </c>
      <c r="Z47" s="131">
        <v>9.2399999999999996E-2</v>
      </c>
      <c r="AA47" s="131">
        <v>9.2399999999999996E-2</v>
      </c>
      <c r="AB47" s="131">
        <v>9.3200000000000005E-2</v>
      </c>
      <c r="AC47" s="131">
        <v>9.2299999999999993E-2</v>
      </c>
      <c r="AD47" s="131">
        <v>9.2499999999999999E-2</v>
      </c>
      <c r="AE47" s="131">
        <v>9.2299999999999993E-2</v>
      </c>
      <c r="AF47" s="131">
        <v>9.2399999999999996E-2</v>
      </c>
      <c r="AG47" s="131">
        <v>9.2499999999999999E-2</v>
      </c>
    </row>
    <row r="48" spans="1:65" x14ac:dyDescent="0.2">
      <c r="A48" s="136" t="s">
        <v>51</v>
      </c>
      <c r="B48" s="131">
        <v>9.3200000000000005E-2</v>
      </c>
      <c r="C48" s="131">
        <v>9.3200000000000005E-2</v>
      </c>
      <c r="D48" s="131">
        <v>9.3100000000000002E-2</v>
      </c>
      <c r="E48" s="131">
        <v>9.3100000000000002E-2</v>
      </c>
      <c r="F48" s="131">
        <v>9.3200000000000005E-2</v>
      </c>
      <c r="G48" s="131">
        <v>9.3399999999999997E-2</v>
      </c>
      <c r="H48" s="131">
        <v>9.3299999999999994E-2</v>
      </c>
      <c r="I48" s="131">
        <v>9.3200000000000005E-2</v>
      </c>
      <c r="J48" s="131">
        <v>9.3200000000000005E-2</v>
      </c>
      <c r="K48" s="131">
        <v>9.3299999999999994E-2</v>
      </c>
      <c r="L48" s="131">
        <v>9.3299999999999994E-2</v>
      </c>
      <c r="M48" s="131">
        <v>9.3299999999999994E-2</v>
      </c>
      <c r="N48" s="131">
        <v>9.3200000000000005E-2</v>
      </c>
      <c r="O48" s="131">
        <v>9.2999999999999999E-2</v>
      </c>
      <c r="P48" s="131">
        <v>9.35E-2</v>
      </c>
      <c r="Q48" s="131">
        <v>9.3399999999999997E-2</v>
      </c>
      <c r="R48" s="131">
        <v>9.35E-2</v>
      </c>
      <c r="S48" s="131">
        <v>9.3600000000000003E-2</v>
      </c>
      <c r="T48" s="131">
        <v>9.3700000000000006E-2</v>
      </c>
      <c r="U48" s="131">
        <v>9.3700000000000006E-2</v>
      </c>
      <c r="V48" s="131">
        <v>9.3799999999999994E-2</v>
      </c>
      <c r="W48" s="131">
        <v>9.3799999999999994E-2</v>
      </c>
      <c r="X48" s="131">
        <v>9.3700000000000006E-2</v>
      </c>
      <c r="Y48" s="131">
        <v>9.3799999999999994E-2</v>
      </c>
      <c r="Z48" s="131">
        <v>9.3799999999999994E-2</v>
      </c>
      <c r="AA48" s="131">
        <v>9.3899999999999997E-2</v>
      </c>
      <c r="AB48" s="131">
        <v>9.3799999999999994E-2</v>
      </c>
      <c r="AC48" s="131">
        <v>9.3799999999999994E-2</v>
      </c>
      <c r="AD48" s="131">
        <v>9.3899999999999997E-2</v>
      </c>
      <c r="AE48" s="131">
        <v>9.3799999999999994E-2</v>
      </c>
      <c r="AF48" s="131">
        <v>9.3799999999999994E-2</v>
      </c>
      <c r="AG48" s="131">
        <v>9.3899999999999997E-2</v>
      </c>
    </row>
    <row r="49" spans="1:33" x14ac:dyDescent="0.2">
      <c r="A49" s="136" t="s">
        <v>52</v>
      </c>
      <c r="B49" s="131">
        <v>9.3100000000000002E-2</v>
      </c>
      <c r="C49" s="131">
        <v>9.3600000000000003E-2</v>
      </c>
      <c r="D49" s="131">
        <v>9.2899999999999996E-2</v>
      </c>
      <c r="E49" s="131">
        <v>9.2700000000000005E-2</v>
      </c>
      <c r="F49" s="131">
        <v>9.2700000000000005E-2</v>
      </c>
      <c r="G49" s="131">
        <v>9.2700000000000005E-2</v>
      </c>
      <c r="H49" s="131">
        <v>9.2700000000000005E-2</v>
      </c>
      <c r="I49" s="131">
        <v>9.2600000000000002E-2</v>
      </c>
      <c r="J49" s="131">
        <v>9.2600000000000002E-2</v>
      </c>
      <c r="K49" s="131">
        <v>9.2600000000000002E-2</v>
      </c>
      <c r="L49" s="131">
        <v>9.2700000000000005E-2</v>
      </c>
      <c r="M49" s="131">
        <v>9.2499999999999999E-2</v>
      </c>
      <c r="N49" s="131">
        <v>9.2399999999999996E-2</v>
      </c>
      <c r="O49" s="131">
        <v>9.2299999999999993E-2</v>
      </c>
      <c r="P49" s="131">
        <v>9.2700000000000005E-2</v>
      </c>
      <c r="Q49" s="131">
        <v>9.2600000000000002E-2</v>
      </c>
      <c r="R49" s="131">
        <v>9.2799999999999994E-2</v>
      </c>
      <c r="S49" s="131">
        <v>9.2999999999999999E-2</v>
      </c>
      <c r="T49" s="131">
        <v>9.2999999999999999E-2</v>
      </c>
      <c r="U49" s="131">
        <v>9.2999999999999999E-2</v>
      </c>
      <c r="V49" s="131">
        <v>9.3100000000000002E-2</v>
      </c>
      <c r="W49" s="131">
        <v>9.3100000000000002E-2</v>
      </c>
      <c r="X49" s="131">
        <v>9.3100000000000002E-2</v>
      </c>
      <c r="Y49" s="131">
        <v>9.3100000000000002E-2</v>
      </c>
      <c r="Z49" s="131">
        <v>9.2999999999999999E-2</v>
      </c>
      <c r="AA49" s="131">
        <v>9.2999999999999999E-2</v>
      </c>
      <c r="AB49" s="131">
        <v>9.3100000000000002E-2</v>
      </c>
      <c r="AC49" s="131">
        <v>9.2999999999999999E-2</v>
      </c>
      <c r="AD49" s="131">
        <v>9.2999999999999999E-2</v>
      </c>
      <c r="AE49" s="131">
        <v>9.2999999999999999E-2</v>
      </c>
      <c r="AF49" s="131">
        <v>9.2999999999999999E-2</v>
      </c>
      <c r="AG49" s="131">
        <v>9.2999999999999999E-2</v>
      </c>
    </row>
    <row r="50" spans="1:33" x14ac:dyDescent="0.2">
      <c r="A50" s="136" t="s">
        <v>53</v>
      </c>
      <c r="B50" s="131">
        <v>9.2799999999999994E-2</v>
      </c>
      <c r="C50" s="131">
        <v>9.2799999999999994E-2</v>
      </c>
      <c r="D50" s="131">
        <v>9.2799999999999994E-2</v>
      </c>
      <c r="E50" s="131">
        <v>9.2600000000000002E-2</v>
      </c>
      <c r="F50" s="131">
        <v>9.2600000000000002E-2</v>
      </c>
      <c r="G50" s="131">
        <v>9.2700000000000005E-2</v>
      </c>
      <c r="H50" s="131">
        <v>9.2700000000000005E-2</v>
      </c>
      <c r="I50" s="131">
        <v>9.2700000000000005E-2</v>
      </c>
      <c r="J50" s="131">
        <v>9.2700000000000005E-2</v>
      </c>
      <c r="K50" s="131">
        <v>9.2700000000000005E-2</v>
      </c>
      <c r="L50" s="131">
        <v>9.2600000000000002E-2</v>
      </c>
      <c r="M50" s="131">
        <v>9.2499999999999999E-2</v>
      </c>
      <c r="N50" s="131">
        <v>9.2399999999999996E-2</v>
      </c>
      <c r="O50" s="131">
        <v>9.2299999999999993E-2</v>
      </c>
      <c r="P50" s="131">
        <v>9.2499999999999999E-2</v>
      </c>
      <c r="Q50" s="131">
        <v>9.2700000000000005E-2</v>
      </c>
      <c r="R50" s="131">
        <v>9.3399999999999997E-2</v>
      </c>
      <c r="S50" s="131">
        <v>9.2999999999999999E-2</v>
      </c>
      <c r="T50" s="131">
        <v>9.2999999999999999E-2</v>
      </c>
      <c r="U50" s="131">
        <v>9.2999999999999999E-2</v>
      </c>
      <c r="V50" s="131">
        <v>9.3100000000000002E-2</v>
      </c>
      <c r="W50" s="131">
        <v>9.2999999999999999E-2</v>
      </c>
      <c r="X50" s="131">
        <v>9.2999999999999999E-2</v>
      </c>
      <c r="Y50" s="131">
        <v>9.3100000000000002E-2</v>
      </c>
      <c r="Z50" s="131">
        <v>9.2999999999999999E-2</v>
      </c>
      <c r="AA50" s="131">
        <v>9.2899999999999996E-2</v>
      </c>
      <c r="AB50" s="131">
        <v>9.2899999999999996E-2</v>
      </c>
      <c r="AC50" s="131">
        <v>9.2999999999999999E-2</v>
      </c>
      <c r="AD50" s="131">
        <v>9.2899999999999996E-2</v>
      </c>
      <c r="AE50" s="131">
        <v>9.2799999999999994E-2</v>
      </c>
      <c r="AF50" s="131">
        <v>9.2899999999999996E-2</v>
      </c>
      <c r="AG50" s="131">
        <v>9.2899999999999996E-2</v>
      </c>
    </row>
    <row r="51" spans="1:33" x14ac:dyDescent="0.2">
      <c r="A51" s="136" t="s">
        <v>54</v>
      </c>
      <c r="B51" s="131">
        <v>9.2299999999999993E-2</v>
      </c>
      <c r="C51" s="131">
        <v>9.2399999999999996E-2</v>
      </c>
      <c r="D51" s="131">
        <v>9.2399999999999996E-2</v>
      </c>
      <c r="E51" s="131">
        <v>9.2299999999999993E-2</v>
      </c>
      <c r="F51" s="131">
        <v>9.2299999999999993E-2</v>
      </c>
      <c r="G51" s="131">
        <v>9.2899999999999996E-2</v>
      </c>
      <c r="H51" s="131">
        <v>9.2299999999999993E-2</v>
      </c>
      <c r="I51" s="131">
        <v>9.2399999999999996E-2</v>
      </c>
      <c r="J51" s="131">
        <v>9.2399999999999996E-2</v>
      </c>
      <c r="K51" s="131">
        <v>9.2299999999999993E-2</v>
      </c>
      <c r="L51" s="131">
        <v>9.2200000000000004E-2</v>
      </c>
      <c r="M51" s="131">
        <v>9.2100000000000001E-2</v>
      </c>
      <c r="N51" s="131">
        <v>9.2100000000000001E-2</v>
      </c>
      <c r="O51" s="131">
        <v>9.2100000000000001E-2</v>
      </c>
      <c r="P51" s="131">
        <v>9.2299999999999993E-2</v>
      </c>
      <c r="Q51" s="131">
        <v>9.2399999999999996E-2</v>
      </c>
      <c r="R51" s="131">
        <v>9.2600000000000002E-2</v>
      </c>
      <c r="S51" s="131">
        <v>9.2700000000000005E-2</v>
      </c>
      <c r="T51" s="131">
        <v>9.2600000000000002E-2</v>
      </c>
      <c r="U51" s="131">
        <v>9.2600000000000002E-2</v>
      </c>
      <c r="V51" s="131">
        <v>9.2600000000000002E-2</v>
      </c>
      <c r="W51" s="131">
        <v>9.2700000000000005E-2</v>
      </c>
      <c r="X51" s="131">
        <v>9.2700000000000005E-2</v>
      </c>
      <c r="Y51" s="131">
        <v>9.2700000000000005E-2</v>
      </c>
      <c r="Z51" s="131">
        <v>9.2600000000000002E-2</v>
      </c>
      <c r="AA51" s="131">
        <v>9.2600000000000002E-2</v>
      </c>
      <c r="AB51" s="131">
        <v>9.2600000000000002E-2</v>
      </c>
      <c r="AC51" s="131">
        <v>9.2600000000000002E-2</v>
      </c>
      <c r="AD51" s="131">
        <v>9.2600000000000002E-2</v>
      </c>
      <c r="AE51" s="131">
        <v>9.2499999999999999E-2</v>
      </c>
      <c r="AF51" s="131">
        <v>9.2600000000000002E-2</v>
      </c>
      <c r="AG51" s="131">
        <v>9.2600000000000002E-2</v>
      </c>
    </row>
    <row r="52" spans="1:33" x14ac:dyDescent="0.2">
      <c r="A52" s="136" t="s">
        <v>55</v>
      </c>
      <c r="B52" s="131">
        <v>9.6299999999999997E-2</v>
      </c>
      <c r="C52" s="131">
        <v>9.6699999999999994E-2</v>
      </c>
      <c r="D52" s="131">
        <v>9.6699999999999994E-2</v>
      </c>
      <c r="E52" s="131">
        <v>9.6600000000000005E-2</v>
      </c>
      <c r="F52" s="131">
        <v>9.7000000000000003E-2</v>
      </c>
      <c r="G52" s="131">
        <v>9.7500000000000003E-2</v>
      </c>
      <c r="H52" s="131">
        <v>9.8299999999999998E-2</v>
      </c>
      <c r="I52" s="131">
        <v>9.9900000000000003E-2</v>
      </c>
      <c r="J52" s="131">
        <v>0.1021</v>
      </c>
      <c r="K52" s="131">
        <v>0.10580000000000001</v>
      </c>
      <c r="L52" s="131">
        <v>0.11169999999999999</v>
      </c>
      <c r="M52" s="131">
        <v>0.12039999999999999</v>
      </c>
      <c r="N52" s="131">
        <v>0.13370000000000001</v>
      </c>
      <c r="O52" s="131">
        <v>0.1525</v>
      </c>
      <c r="P52" s="131">
        <v>0.17659999000000001</v>
      </c>
      <c r="Q52" s="131">
        <v>0.20460001</v>
      </c>
      <c r="R52" s="131">
        <v>0.23830000000000001</v>
      </c>
      <c r="S52" s="131">
        <v>0.27849998999999998</v>
      </c>
      <c r="T52" s="131">
        <v>0.32359999</v>
      </c>
      <c r="U52" s="131">
        <v>0.37169998999999998</v>
      </c>
      <c r="V52" s="131">
        <v>0.42399998999999999</v>
      </c>
      <c r="W52" s="131">
        <v>0.47490000999999998</v>
      </c>
      <c r="X52" s="131">
        <v>0.51779997</v>
      </c>
      <c r="Y52" s="131">
        <v>0.55080003</v>
      </c>
      <c r="Z52" s="131">
        <v>0.56639998999999996</v>
      </c>
      <c r="AA52" s="131">
        <v>0.58270001000000005</v>
      </c>
      <c r="AB52" s="131">
        <v>0.59969996999999997</v>
      </c>
      <c r="AC52" s="131">
        <v>0.61470002000000001</v>
      </c>
      <c r="AD52" s="131">
        <v>0.63190000999999996</v>
      </c>
      <c r="AE52" s="131">
        <v>0.64770000999999999</v>
      </c>
      <c r="AF52" s="131">
        <v>0.66420000999999995</v>
      </c>
      <c r="AG52" s="131">
        <v>0.67739998999999995</v>
      </c>
    </row>
    <row r="53" spans="1:33" x14ac:dyDescent="0.2">
      <c r="A53" s="136" t="s">
        <v>56</v>
      </c>
      <c r="B53" s="131">
        <v>9.6299999999999997E-2</v>
      </c>
      <c r="C53" s="131">
        <v>9.6500000000000002E-2</v>
      </c>
      <c r="D53" s="131">
        <v>9.6600000000000005E-2</v>
      </c>
      <c r="E53" s="131">
        <v>9.64E-2</v>
      </c>
      <c r="F53" s="131">
        <v>9.6799999999999997E-2</v>
      </c>
      <c r="G53" s="131">
        <v>9.74E-2</v>
      </c>
      <c r="H53" s="131">
        <v>9.8100000000000007E-2</v>
      </c>
      <c r="I53" s="131">
        <v>9.9599999999999994E-2</v>
      </c>
      <c r="J53" s="131">
        <v>0.10199999999999999</v>
      </c>
      <c r="K53" s="131">
        <v>0.10539999999999999</v>
      </c>
      <c r="L53" s="131">
        <v>0.1124</v>
      </c>
      <c r="M53" s="131">
        <v>0.1205</v>
      </c>
      <c r="N53" s="131">
        <v>0.13349999000000001</v>
      </c>
      <c r="O53" s="131">
        <v>0.15229999999999999</v>
      </c>
      <c r="P53" s="131">
        <v>0.17710000000000001</v>
      </c>
      <c r="Q53" s="131">
        <v>0.20479998999999999</v>
      </c>
      <c r="R53" s="131">
        <v>0.2384</v>
      </c>
      <c r="S53" s="131">
        <v>0.27880000999999999</v>
      </c>
      <c r="T53" s="131">
        <v>0.32379999999999998</v>
      </c>
      <c r="U53" s="131">
        <v>0.37319999999999998</v>
      </c>
      <c r="V53" s="131">
        <v>0.42599999999999999</v>
      </c>
      <c r="W53" s="131">
        <v>0.47620001000000001</v>
      </c>
      <c r="X53" s="131">
        <v>0.5212</v>
      </c>
      <c r="Y53" s="131">
        <v>0.55360001000000003</v>
      </c>
      <c r="Z53" s="131">
        <v>0.56849998000000002</v>
      </c>
      <c r="AA53" s="131">
        <v>0.58700001000000002</v>
      </c>
      <c r="AB53" s="131">
        <v>0.60299999000000004</v>
      </c>
      <c r="AC53" s="131">
        <v>0.61809999000000004</v>
      </c>
      <c r="AD53" s="131">
        <v>0.63510001000000005</v>
      </c>
      <c r="AE53" s="131">
        <v>0.64969999</v>
      </c>
      <c r="AF53" s="131">
        <v>0.66739999999999999</v>
      </c>
      <c r="AG53" s="131">
        <v>0.68129998000000003</v>
      </c>
    </row>
    <row r="54" spans="1:33" x14ac:dyDescent="0.2">
      <c r="A54" s="136" t="s">
        <v>57</v>
      </c>
      <c r="B54" s="131">
        <v>9.8500000000000004E-2</v>
      </c>
      <c r="C54" s="131">
        <v>9.8599999999999993E-2</v>
      </c>
      <c r="D54" s="131">
        <v>9.7900000000000001E-2</v>
      </c>
      <c r="E54" s="131">
        <v>9.7799999999999998E-2</v>
      </c>
      <c r="F54" s="131">
        <v>9.8100000000000007E-2</v>
      </c>
      <c r="G54" s="131">
        <v>9.9299999999999999E-2</v>
      </c>
      <c r="H54" s="131">
        <v>9.9500000000000005E-2</v>
      </c>
      <c r="I54" s="131">
        <v>0.10100000000000001</v>
      </c>
      <c r="J54" s="131">
        <v>0.1031</v>
      </c>
      <c r="K54" s="131">
        <v>0.10680000000000001</v>
      </c>
      <c r="L54" s="131">
        <v>0.1123</v>
      </c>
      <c r="M54" s="131">
        <v>0.1208</v>
      </c>
      <c r="N54" s="131">
        <v>0.13669999999999999</v>
      </c>
      <c r="O54" s="131">
        <v>0.15290000000000001</v>
      </c>
      <c r="P54" s="131">
        <v>0.1754</v>
      </c>
      <c r="Q54" s="131">
        <v>0.20319999999999999</v>
      </c>
      <c r="R54" s="131">
        <v>0.23599999999999999</v>
      </c>
      <c r="S54" s="131">
        <v>0.27639999999999998</v>
      </c>
      <c r="T54" s="131">
        <v>0.32089999000000002</v>
      </c>
      <c r="U54" s="131">
        <v>0.37040001</v>
      </c>
      <c r="V54" s="131">
        <v>0.42320001000000002</v>
      </c>
      <c r="W54" s="131">
        <v>0.47400001000000003</v>
      </c>
      <c r="X54" s="131">
        <v>0.51859999000000001</v>
      </c>
      <c r="Y54" s="131">
        <v>0.55720000999999997</v>
      </c>
      <c r="Z54" s="131">
        <v>0.56809997999999995</v>
      </c>
      <c r="AA54" s="131">
        <v>0.58770001000000005</v>
      </c>
      <c r="AB54" s="131">
        <v>0.60199999999999998</v>
      </c>
      <c r="AC54" s="131">
        <v>0.62010001999999997</v>
      </c>
      <c r="AD54" s="131">
        <v>0.63349997999999996</v>
      </c>
      <c r="AE54" s="131">
        <v>0.65130001000000004</v>
      </c>
      <c r="AF54" s="131">
        <v>0.66659999000000003</v>
      </c>
      <c r="AG54" s="131">
        <v>0.68069999999999997</v>
      </c>
    </row>
    <row r="55" spans="1:33" x14ac:dyDescent="0.2">
      <c r="A55" s="136" t="s">
        <v>58</v>
      </c>
      <c r="B55" s="131">
        <v>9.69E-2</v>
      </c>
      <c r="C55" s="131">
        <v>9.6799999999999997E-2</v>
      </c>
      <c r="D55" s="131">
        <v>9.6799999999999997E-2</v>
      </c>
      <c r="E55" s="131">
        <v>9.6600000000000005E-2</v>
      </c>
      <c r="F55" s="131">
        <v>9.7100000000000006E-2</v>
      </c>
      <c r="G55" s="131">
        <v>9.7600000000000006E-2</v>
      </c>
      <c r="H55" s="131">
        <v>9.8199999999999996E-2</v>
      </c>
      <c r="I55" s="131">
        <v>0.10009999999999999</v>
      </c>
      <c r="J55" s="131">
        <v>0.1019</v>
      </c>
      <c r="K55" s="131">
        <v>0.1052</v>
      </c>
      <c r="L55" s="131">
        <v>0.1103</v>
      </c>
      <c r="M55" s="131">
        <v>0.1173</v>
      </c>
      <c r="N55" s="131">
        <v>0.1268</v>
      </c>
      <c r="O55" s="131">
        <v>0.13830000000000001</v>
      </c>
      <c r="P55" s="131">
        <v>0.15229999999999999</v>
      </c>
      <c r="Q55" s="131">
        <v>0.16949998999999999</v>
      </c>
      <c r="R55" s="131">
        <v>0.189</v>
      </c>
      <c r="S55" s="131">
        <v>0.21560000000000001</v>
      </c>
      <c r="T55" s="131">
        <v>0.24399999999999999</v>
      </c>
      <c r="U55" s="131">
        <v>0.27389999999999998</v>
      </c>
      <c r="V55" s="131">
        <v>0.30779999000000002</v>
      </c>
      <c r="W55" s="131">
        <v>0.33389999999999997</v>
      </c>
      <c r="X55" s="131">
        <v>0.35589999</v>
      </c>
      <c r="Y55" s="131">
        <v>0.36840001</v>
      </c>
      <c r="Z55" s="131">
        <v>0.37580001000000002</v>
      </c>
      <c r="AA55" s="131">
        <v>0.38600001</v>
      </c>
      <c r="AB55" s="131">
        <v>0.39419999999999999</v>
      </c>
      <c r="AC55" s="131">
        <v>0.40660000000000002</v>
      </c>
      <c r="AD55" s="131">
        <v>0.41780001</v>
      </c>
      <c r="AE55" s="131">
        <v>0.42879999000000002</v>
      </c>
      <c r="AF55" s="131">
        <v>0.43930000000000002</v>
      </c>
      <c r="AG55" s="131">
        <v>0.4506</v>
      </c>
    </row>
    <row r="56" spans="1:33" x14ac:dyDescent="0.2">
      <c r="A56" s="136" t="s">
        <v>59</v>
      </c>
      <c r="B56" s="131">
        <v>9.6799999999999997E-2</v>
      </c>
      <c r="C56" s="131">
        <v>9.7000000000000003E-2</v>
      </c>
      <c r="D56" s="131">
        <v>9.7000000000000003E-2</v>
      </c>
      <c r="E56" s="131">
        <v>9.6699999999999994E-2</v>
      </c>
      <c r="F56" s="131">
        <v>9.7199999999999995E-2</v>
      </c>
      <c r="G56" s="131">
        <v>9.7699999999999995E-2</v>
      </c>
      <c r="H56" s="131">
        <v>9.8599999999999993E-2</v>
      </c>
      <c r="I56" s="131">
        <v>0.10009999999999999</v>
      </c>
      <c r="J56" s="131">
        <v>0.1022</v>
      </c>
      <c r="K56" s="131">
        <v>0.1057</v>
      </c>
      <c r="L56" s="131">
        <v>0.11119999999999999</v>
      </c>
      <c r="M56" s="131">
        <v>0.1182</v>
      </c>
      <c r="N56" s="131">
        <v>0.12800001</v>
      </c>
      <c r="O56" s="131">
        <v>0.13930000000000001</v>
      </c>
      <c r="P56" s="131">
        <v>0.15360001000000001</v>
      </c>
      <c r="Q56" s="131">
        <v>0.17110001</v>
      </c>
      <c r="R56" s="131">
        <v>0.18979999</v>
      </c>
      <c r="S56" s="131">
        <v>0.21610001000000001</v>
      </c>
      <c r="T56" s="131">
        <v>0.24259998999999999</v>
      </c>
      <c r="U56" s="131">
        <v>0.27550000000000002</v>
      </c>
      <c r="V56" s="131">
        <v>0.30779999000000002</v>
      </c>
      <c r="W56" s="131">
        <v>0.33719999</v>
      </c>
      <c r="X56" s="131">
        <v>0.35409998999999998</v>
      </c>
      <c r="Y56" s="131">
        <v>0.36820000000000003</v>
      </c>
      <c r="Z56" s="131">
        <v>0.37830001000000002</v>
      </c>
      <c r="AA56" s="131">
        <v>0.38740000000000002</v>
      </c>
      <c r="AB56" s="131">
        <v>0.40029999999999999</v>
      </c>
      <c r="AC56" s="131">
        <v>0.40810001000000001</v>
      </c>
      <c r="AD56" s="131">
        <v>0.41929999000000001</v>
      </c>
      <c r="AE56" s="131">
        <v>0.42759999999999998</v>
      </c>
      <c r="AF56" s="131">
        <v>0.43689999000000002</v>
      </c>
      <c r="AG56" s="131">
        <v>0.44760000999999999</v>
      </c>
    </row>
    <row r="57" spans="1:33" x14ac:dyDescent="0.2">
      <c r="A57" s="136" t="s">
        <v>60</v>
      </c>
      <c r="B57" s="131">
        <v>9.69E-2</v>
      </c>
      <c r="C57" s="131">
        <v>9.7100000000000006E-2</v>
      </c>
      <c r="D57" s="131">
        <v>9.7000000000000003E-2</v>
      </c>
      <c r="E57" s="131">
        <v>9.6799999999999997E-2</v>
      </c>
      <c r="F57" s="131">
        <v>9.7199999999999995E-2</v>
      </c>
      <c r="G57" s="131">
        <v>9.7900000000000001E-2</v>
      </c>
      <c r="H57" s="131">
        <v>9.8699999999999996E-2</v>
      </c>
      <c r="I57" s="131">
        <v>0.1002</v>
      </c>
      <c r="J57" s="131">
        <v>0.1027</v>
      </c>
      <c r="K57" s="131">
        <v>0.10639999999999999</v>
      </c>
      <c r="L57" s="131">
        <v>0.11210000000000001</v>
      </c>
      <c r="M57" s="131">
        <v>0.1192</v>
      </c>
      <c r="N57" s="131">
        <v>0.12939999999999999</v>
      </c>
      <c r="O57" s="131">
        <v>0.14080000000000001</v>
      </c>
      <c r="P57" s="131">
        <v>0.15609999999999999</v>
      </c>
      <c r="Q57" s="131">
        <v>0.17330000000000001</v>
      </c>
      <c r="R57" s="131">
        <v>0.19580001</v>
      </c>
      <c r="S57" s="131">
        <v>0.22020000000000001</v>
      </c>
      <c r="T57" s="131">
        <v>0.25150001</v>
      </c>
      <c r="U57" s="131">
        <v>0.28220001</v>
      </c>
      <c r="V57" s="131">
        <v>0.31819998999999999</v>
      </c>
      <c r="W57" s="131">
        <v>0.34110001000000001</v>
      </c>
      <c r="X57" s="131">
        <v>0.36059998999999998</v>
      </c>
      <c r="Y57" s="131">
        <v>0.37490001000000001</v>
      </c>
      <c r="Z57" s="131">
        <v>0.38400000000000001</v>
      </c>
      <c r="AA57" s="131">
        <v>0.39359999000000001</v>
      </c>
      <c r="AB57" s="131">
        <v>0.39639999999999997</v>
      </c>
      <c r="AC57" s="131">
        <v>0.41170001000000001</v>
      </c>
      <c r="AD57" s="131">
        <v>0.42269999000000003</v>
      </c>
      <c r="AE57" s="131">
        <v>0.433</v>
      </c>
      <c r="AF57" s="131">
        <v>0.4425</v>
      </c>
      <c r="AG57" s="131">
        <v>0.44890001000000002</v>
      </c>
    </row>
    <row r="58" spans="1:33" x14ac:dyDescent="0.2">
      <c r="A58" s="136" t="s">
        <v>61</v>
      </c>
      <c r="B58" s="131">
        <v>9.7299999999999998E-2</v>
      </c>
      <c r="C58" s="131">
        <v>9.7299999999999998E-2</v>
      </c>
      <c r="D58" s="131">
        <v>9.74E-2</v>
      </c>
      <c r="E58" s="131">
        <v>9.7299999999999998E-2</v>
      </c>
      <c r="F58" s="131">
        <v>9.7500000000000003E-2</v>
      </c>
      <c r="G58" s="131">
        <v>9.8100000000000007E-2</v>
      </c>
      <c r="H58" s="131">
        <v>9.8900000000000002E-2</v>
      </c>
      <c r="I58" s="131">
        <v>0.1</v>
      </c>
      <c r="J58" s="131">
        <v>0.1024</v>
      </c>
      <c r="K58" s="131">
        <v>0.1052</v>
      </c>
      <c r="L58" s="131">
        <v>0.1106</v>
      </c>
      <c r="M58" s="131">
        <v>0.11849999999999999</v>
      </c>
      <c r="N58" s="131">
        <v>0.12959999999999999</v>
      </c>
      <c r="O58" s="131">
        <v>0.14470000999999999</v>
      </c>
      <c r="P58" s="131">
        <v>0.16309999999999999</v>
      </c>
      <c r="Q58" s="131">
        <v>0.18430000999999999</v>
      </c>
      <c r="R58" s="131">
        <v>0.21099999999999999</v>
      </c>
      <c r="S58" s="131">
        <v>0.24299999999999999</v>
      </c>
      <c r="T58" s="131">
        <v>0.28000000000000003</v>
      </c>
      <c r="U58" s="131">
        <v>0.31979998999999998</v>
      </c>
      <c r="V58" s="131">
        <v>0.36000000999999998</v>
      </c>
      <c r="W58" s="131">
        <v>0.39850000000000002</v>
      </c>
      <c r="X58" s="131">
        <v>0.42950000999999999</v>
      </c>
      <c r="Y58" s="131">
        <v>0.45079999999999998</v>
      </c>
      <c r="Z58" s="131">
        <v>0.45070000999999998</v>
      </c>
      <c r="AA58" s="131">
        <v>0.44879999999999998</v>
      </c>
      <c r="AB58" s="131">
        <v>0.44780001000000003</v>
      </c>
      <c r="AC58" s="131">
        <v>0.44980000999999997</v>
      </c>
      <c r="AD58" s="131">
        <v>0.45230000999999997</v>
      </c>
      <c r="AE58" s="131">
        <v>0.45680000999999998</v>
      </c>
      <c r="AF58" s="131">
        <v>0.46149999000000003</v>
      </c>
      <c r="AG58" s="131">
        <v>0.46529999</v>
      </c>
    </row>
    <row r="59" spans="1:33" x14ac:dyDescent="0.2">
      <c r="A59" s="136" t="s">
        <v>62</v>
      </c>
      <c r="B59" s="131">
        <v>9.7199999999999995E-2</v>
      </c>
      <c r="C59" s="131">
        <v>9.7299999999999998E-2</v>
      </c>
      <c r="D59" s="131">
        <v>9.7199999999999995E-2</v>
      </c>
      <c r="E59" s="131">
        <v>9.7100000000000006E-2</v>
      </c>
      <c r="F59" s="131">
        <v>9.74E-2</v>
      </c>
      <c r="G59" s="131">
        <v>9.7900000000000001E-2</v>
      </c>
      <c r="H59" s="131">
        <v>9.8699999999999996E-2</v>
      </c>
      <c r="I59" s="131">
        <v>9.9900000000000003E-2</v>
      </c>
      <c r="J59" s="131">
        <v>0.1019</v>
      </c>
      <c r="K59" s="131">
        <v>0.1051</v>
      </c>
      <c r="L59" s="131">
        <v>0.1105</v>
      </c>
      <c r="M59" s="131">
        <v>0.1182</v>
      </c>
      <c r="N59" s="131">
        <v>0.12970001</v>
      </c>
      <c r="O59" s="131">
        <v>0.14419999999999999</v>
      </c>
      <c r="P59" s="131">
        <v>0.16209999999999999</v>
      </c>
      <c r="Q59" s="131">
        <v>0.18290000000000001</v>
      </c>
      <c r="R59" s="131">
        <v>0.20930000000000001</v>
      </c>
      <c r="S59" s="131">
        <v>0.24199999999999999</v>
      </c>
      <c r="T59" s="131">
        <v>0.27729999999999999</v>
      </c>
      <c r="U59" s="131">
        <v>0.31560000999999999</v>
      </c>
      <c r="V59" s="131">
        <v>0.35649999999999998</v>
      </c>
      <c r="W59" s="131">
        <v>0.39390001000000002</v>
      </c>
      <c r="X59" s="131">
        <v>0.42269999000000003</v>
      </c>
      <c r="Y59" s="131">
        <v>0.44290000000000002</v>
      </c>
      <c r="Z59" s="131">
        <v>0.44100001</v>
      </c>
      <c r="AA59" s="131">
        <v>0.44019999999999998</v>
      </c>
      <c r="AB59" s="131">
        <v>0.44040000000000001</v>
      </c>
      <c r="AC59" s="131">
        <v>0.44459999</v>
      </c>
      <c r="AD59" s="131">
        <v>0.44949999000000002</v>
      </c>
      <c r="AE59" s="131">
        <v>0.45570000999999999</v>
      </c>
      <c r="AF59" s="131">
        <v>0.45939999999999998</v>
      </c>
      <c r="AG59" s="131">
        <v>0.46630000999999999</v>
      </c>
    </row>
    <row r="60" spans="1:33" x14ac:dyDescent="0.2">
      <c r="A60" s="136" t="s">
        <v>63</v>
      </c>
      <c r="B60" s="131">
        <v>9.7799999999999998E-2</v>
      </c>
      <c r="C60" s="131">
        <v>9.7799999999999998E-2</v>
      </c>
      <c r="D60" s="131">
        <v>9.7699999999999995E-2</v>
      </c>
      <c r="E60" s="131">
        <v>9.7600000000000006E-2</v>
      </c>
      <c r="F60" s="131">
        <v>9.7900000000000001E-2</v>
      </c>
      <c r="G60" s="131">
        <v>9.8400000000000001E-2</v>
      </c>
      <c r="H60" s="131">
        <v>9.9199999999999997E-2</v>
      </c>
      <c r="I60" s="131">
        <v>0.10059999999999999</v>
      </c>
      <c r="J60" s="131">
        <v>0.1027</v>
      </c>
      <c r="K60" s="131">
        <v>0.1062</v>
      </c>
      <c r="L60" s="131">
        <v>0.1118</v>
      </c>
      <c r="M60" s="131">
        <v>0.1201</v>
      </c>
      <c r="N60" s="131">
        <v>0.13150001</v>
      </c>
      <c r="O60" s="131">
        <v>0.14610000000000001</v>
      </c>
      <c r="P60" s="131">
        <v>0.16489999999999999</v>
      </c>
      <c r="Q60" s="131">
        <v>0.18590000000000001</v>
      </c>
      <c r="R60" s="131">
        <v>0.21349999</v>
      </c>
      <c r="S60" s="131">
        <v>0.24640000000000001</v>
      </c>
      <c r="T60" s="131">
        <v>0.28160000000000002</v>
      </c>
      <c r="U60" s="131">
        <v>0.32170000999999998</v>
      </c>
      <c r="V60" s="131">
        <v>0.36370000000000002</v>
      </c>
      <c r="W60" s="131">
        <v>0.39950001000000002</v>
      </c>
      <c r="X60" s="131">
        <v>0.42670000000000002</v>
      </c>
      <c r="Y60" s="131">
        <v>0.44530001000000002</v>
      </c>
      <c r="Z60" s="131">
        <v>0.44379999999999997</v>
      </c>
      <c r="AA60" s="131">
        <v>0.442</v>
      </c>
      <c r="AB60" s="131">
        <v>0.44299999000000001</v>
      </c>
      <c r="AC60" s="131">
        <v>0.44659999</v>
      </c>
      <c r="AD60" s="131">
        <v>0.44980000999999997</v>
      </c>
      <c r="AE60" s="131">
        <v>0.45660001</v>
      </c>
      <c r="AF60" s="131">
        <v>0.4632</v>
      </c>
      <c r="AG60" s="131">
        <v>0.46729999999999999</v>
      </c>
    </row>
    <row r="61" spans="1:33" x14ac:dyDescent="0.2">
      <c r="A61" s="136" t="s">
        <v>64</v>
      </c>
      <c r="B61" s="131">
        <v>9.6000000000000002E-2</v>
      </c>
      <c r="C61" s="131">
        <v>9.6100000000000005E-2</v>
      </c>
      <c r="D61" s="131">
        <v>9.6000000000000002E-2</v>
      </c>
      <c r="E61" s="131">
        <v>9.5799999999999996E-2</v>
      </c>
      <c r="F61" s="131">
        <v>9.6100000000000005E-2</v>
      </c>
      <c r="G61" s="131">
        <v>9.6500000000000002E-2</v>
      </c>
      <c r="H61" s="131">
        <v>9.74E-2</v>
      </c>
      <c r="I61" s="131">
        <v>9.8900000000000002E-2</v>
      </c>
      <c r="J61" s="131">
        <v>0.10100000000000001</v>
      </c>
      <c r="K61" s="131">
        <v>0.1046</v>
      </c>
      <c r="L61" s="131">
        <v>0.11020000000000001</v>
      </c>
      <c r="M61" s="131">
        <v>0.1181</v>
      </c>
      <c r="N61" s="131">
        <v>0.13139999999999999</v>
      </c>
      <c r="O61" s="131">
        <v>0.14860000000000001</v>
      </c>
      <c r="P61" s="131">
        <v>0.17290000999999999</v>
      </c>
      <c r="Q61" s="131">
        <v>0.1996</v>
      </c>
      <c r="R61" s="131">
        <v>0.23430000000000001</v>
      </c>
      <c r="S61" s="131">
        <v>0.27550000000000002</v>
      </c>
      <c r="T61" s="131">
        <v>0.31840000000000002</v>
      </c>
      <c r="U61" s="131">
        <v>0.36359998999999998</v>
      </c>
      <c r="V61" s="131">
        <v>0.40839999999999999</v>
      </c>
      <c r="W61" s="131">
        <v>0.44890001000000002</v>
      </c>
      <c r="X61" s="131">
        <v>0.48390000999999999</v>
      </c>
      <c r="Y61" s="131">
        <v>0.50089996999999997</v>
      </c>
      <c r="Z61" s="131">
        <v>0.51599996999999997</v>
      </c>
      <c r="AA61" s="131">
        <v>0.52990000999999998</v>
      </c>
      <c r="AB61" s="131">
        <v>0.54379999999999995</v>
      </c>
      <c r="AC61" s="131">
        <v>0.55919998999999998</v>
      </c>
      <c r="AD61" s="131">
        <v>0.57499999000000002</v>
      </c>
      <c r="AE61" s="131">
        <v>0.58929997999999995</v>
      </c>
      <c r="AF61" s="131">
        <v>0.60329997999999996</v>
      </c>
      <c r="AG61" s="131">
        <v>0.61339997999999996</v>
      </c>
    </row>
    <row r="62" spans="1:33" x14ac:dyDescent="0.2">
      <c r="A62" s="136" t="s">
        <v>65</v>
      </c>
      <c r="B62" s="131">
        <v>9.2499999999999999E-2</v>
      </c>
      <c r="C62" s="131">
        <v>9.2499999999999999E-2</v>
      </c>
      <c r="D62" s="131">
        <v>9.2899999999999996E-2</v>
      </c>
      <c r="E62" s="131">
        <v>9.2100000000000001E-2</v>
      </c>
      <c r="F62" s="131">
        <v>9.2100000000000001E-2</v>
      </c>
      <c r="G62" s="131">
        <v>9.2100000000000001E-2</v>
      </c>
      <c r="H62" s="131">
        <v>9.2100000000000001E-2</v>
      </c>
      <c r="I62" s="131">
        <v>9.2100000000000001E-2</v>
      </c>
      <c r="J62" s="131">
        <v>9.2100000000000001E-2</v>
      </c>
      <c r="K62" s="131">
        <v>9.1999999999999998E-2</v>
      </c>
      <c r="L62" s="131">
        <v>9.1999999999999998E-2</v>
      </c>
      <c r="M62" s="131">
        <v>9.1899999999999996E-2</v>
      </c>
      <c r="N62" s="131">
        <v>9.1800000000000007E-2</v>
      </c>
      <c r="O62" s="131">
        <v>9.1700000000000004E-2</v>
      </c>
      <c r="P62" s="131">
        <v>9.1999999999999998E-2</v>
      </c>
      <c r="Q62" s="131">
        <v>9.2100000000000001E-2</v>
      </c>
      <c r="R62" s="131">
        <v>9.2299999999999993E-2</v>
      </c>
      <c r="S62" s="131">
        <v>9.2399999999999996E-2</v>
      </c>
      <c r="T62" s="131">
        <v>9.2399999999999996E-2</v>
      </c>
      <c r="U62" s="131">
        <v>9.2499999999999999E-2</v>
      </c>
      <c r="V62" s="131">
        <v>9.2399999999999996E-2</v>
      </c>
      <c r="W62" s="131">
        <v>9.2499999999999999E-2</v>
      </c>
      <c r="X62" s="131">
        <v>9.2499999999999999E-2</v>
      </c>
      <c r="Y62" s="131">
        <v>9.2499999999999999E-2</v>
      </c>
      <c r="Z62" s="131">
        <v>9.2399999999999996E-2</v>
      </c>
      <c r="AA62" s="131">
        <v>9.2999999999999999E-2</v>
      </c>
      <c r="AB62" s="131">
        <v>9.2399999999999996E-2</v>
      </c>
      <c r="AC62" s="131">
        <v>9.2299999999999993E-2</v>
      </c>
      <c r="AD62" s="131">
        <v>9.2399999999999996E-2</v>
      </c>
      <c r="AE62" s="131">
        <v>9.2299999999999993E-2</v>
      </c>
      <c r="AF62" s="131">
        <v>9.2299999999999993E-2</v>
      </c>
      <c r="AG62" s="131">
        <v>9.2399999999999996E-2</v>
      </c>
    </row>
    <row r="63" spans="1:33" x14ac:dyDescent="0.2">
      <c r="A63" s="136" t="s">
        <v>66</v>
      </c>
      <c r="B63" s="131">
        <v>9.3299999999999994E-2</v>
      </c>
      <c r="C63" s="131">
        <v>9.3399999999999997E-2</v>
      </c>
      <c r="D63" s="131">
        <v>9.3600000000000003E-2</v>
      </c>
      <c r="E63" s="131">
        <v>9.35E-2</v>
      </c>
      <c r="F63" s="131">
        <v>9.3600000000000003E-2</v>
      </c>
      <c r="G63" s="131">
        <v>9.3600000000000003E-2</v>
      </c>
      <c r="H63" s="131">
        <v>9.3600000000000003E-2</v>
      </c>
      <c r="I63" s="131">
        <v>9.3600000000000003E-2</v>
      </c>
      <c r="J63" s="131">
        <v>9.3700000000000006E-2</v>
      </c>
      <c r="K63" s="131">
        <v>9.3700000000000006E-2</v>
      </c>
      <c r="L63" s="131">
        <v>9.35E-2</v>
      </c>
      <c r="M63" s="131">
        <v>9.3399999999999997E-2</v>
      </c>
      <c r="N63" s="131">
        <v>9.3399999999999997E-2</v>
      </c>
      <c r="O63" s="131">
        <v>9.3299999999999994E-2</v>
      </c>
      <c r="P63" s="131">
        <v>9.4100000000000003E-2</v>
      </c>
      <c r="Q63" s="131">
        <v>9.3600000000000003E-2</v>
      </c>
      <c r="R63" s="131">
        <v>9.3899999999999997E-2</v>
      </c>
      <c r="S63" s="131">
        <v>9.3799999999999994E-2</v>
      </c>
      <c r="T63" s="131">
        <v>9.3799999999999994E-2</v>
      </c>
      <c r="U63" s="131">
        <v>9.3799999999999994E-2</v>
      </c>
      <c r="V63" s="131">
        <v>9.3899999999999997E-2</v>
      </c>
      <c r="W63" s="131">
        <v>9.3899999999999997E-2</v>
      </c>
      <c r="X63" s="131">
        <v>9.3799999999999994E-2</v>
      </c>
      <c r="Y63" s="131">
        <v>9.3899999999999997E-2</v>
      </c>
      <c r="Z63" s="131">
        <v>9.3799999999999994E-2</v>
      </c>
      <c r="AA63" s="131">
        <v>9.3700000000000006E-2</v>
      </c>
      <c r="AB63" s="131">
        <v>9.3799999999999994E-2</v>
      </c>
      <c r="AC63" s="131">
        <v>9.3799999999999994E-2</v>
      </c>
      <c r="AD63" s="131">
        <v>9.3799999999999994E-2</v>
      </c>
      <c r="AE63" s="131">
        <v>9.3700000000000006E-2</v>
      </c>
      <c r="AF63" s="131">
        <v>9.3700000000000006E-2</v>
      </c>
      <c r="AG63" s="131">
        <v>9.3700000000000006E-2</v>
      </c>
    </row>
    <row r="64" spans="1:33" x14ac:dyDescent="0.2">
      <c r="A64" s="136" t="s">
        <v>67</v>
      </c>
      <c r="B64" s="131">
        <v>9.6299999999999997E-2</v>
      </c>
      <c r="C64" s="131">
        <v>9.64E-2</v>
      </c>
      <c r="D64" s="131">
        <v>9.64E-2</v>
      </c>
      <c r="E64" s="131">
        <v>9.6299999999999997E-2</v>
      </c>
      <c r="F64" s="131">
        <v>9.6600000000000005E-2</v>
      </c>
      <c r="G64" s="131">
        <v>9.7199999999999995E-2</v>
      </c>
      <c r="H64" s="131">
        <v>9.8199999999999996E-2</v>
      </c>
      <c r="I64" s="131">
        <v>9.9900000000000003E-2</v>
      </c>
      <c r="J64" s="131">
        <v>0.1024</v>
      </c>
      <c r="K64" s="131">
        <v>0.1062</v>
      </c>
      <c r="L64" s="131">
        <v>0.11260000000000001</v>
      </c>
      <c r="M64" s="131">
        <v>0.1215</v>
      </c>
      <c r="N64" s="131">
        <v>0.13539999999999999</v>
      </c>
      <c r="O64" s="131">
        <v>0.15329999999999999</v>
      </c>
      <c r="P64" s="131">
        <v>0.17580000000000001</v>
      </c>
      <c r="Q64" s="131">
        <v>0.20190000999999999</v>
      </c>
      <c r="R64" s="131">
        <v>0.23480000000000001</v>
      </c>
      <c r="S64" s="131">
        <v>0.27169999</v>
      </c>
      <c r="T64" s="131">
        <v>0.31159999999999999</v>
      </c>
      <c r="U64" s="131">
        <v>0.35399999999999998</v>
      </c>
      <c r="V64" s="131">
        <v>0.39379998999999999</v>
      </c>
      <c r="W64" s="131">
        <v>0.43009998999999999</v>
      </c>
      <c r="X64" s="131">
        <v>0.46239998999999998</v>
      </c>
      <c r="Y64" s="131">
        <v>0.47560000000000002</v>
      </c>
      <c r="Z64" s="131">
        <v>0.48959999999999998</v>
      </c>
      <c r="AA64" s="131">
        <v>0.50129997999999998</v>
      </c>
      <c r="AB64" s="131">
        <v>0.51660001</v>
      </c>
      <c r="AC64" s="131">
        <v>0.53240001000000003</v>
      </c>
      <c r="AD64" s="131">
        <v>0.54960001000000003</v>
      </c>
      <c r="AE64" s="131">
        <v>0.56789999999999996</v>
      </c>
      <c r="AF64" s="131">
        <v>0.57810002999999999</v>
      </c>
      <c r="AG64" s="131">
        <v>0.58969998000000001</v>
      </c>
    </row>
    <row r="65" spans="1:33" x14ac:dyDescent="0.2">
      <c r="A65" s="136" t="s">
        <v>68</v>
      </c>
      <c r="B65" s="131">
        <v>9.6299999999999997E-2</v>
      </c>
      <c r="C65" s="131">
        <v>9.6299999999999997E-2</v>
      </c>
      <c r="D65" s="131">
        <v>9.64E-2</v>
      </c>
      <c r="E65" s="131">
        <v>9.6199999999999994E-2</v>
      </c>
      <c r="F65" s="131">
        <v>9.6600000000000005E-2</v>
      </c>
      <c r="G65" s="131">
        <v>9.7199999999999995E-2</v>
      </c>
      <c r="H65" s="131">
        <v>9.8100000000000007E-2</v>
      </c>
      <c r="I65" s="131">
        <v>9.9500000000000005E-2</v>
      </c>
      <c r="J65" s="131">
        <v>0.1019</v>
      </c>
      <c r="K65" s="131">
        <v>0.10589999999999999</v>
      </c>
      <c r="L65" s="131">
        <v>0.1119</v>
      </c>
      <c r="M65" s="131">
        <v>0.12089999999999999</v>
      </c>
      <c r="N65" s="131">
        <v>0.13400000000000001</v>
      </c>
      <c r="O65" s="131">
        <v>0.15210000000000001</v>
      </c>
      <c r="P65" s="131">
        <v>0.17430000000000001</v>
      </c>
      <c r="Q65" s="131">
        <v>0.19969999999999999</v>
      </c>
      <c r="R65" s="131">
        <v>0.23169999999999999</v>
      </c>
      <c r="S65" s="131">
        <v>0.26969999</v>
      </c>
      <c r="T65" s="131">
        <v>0.30909999999999999</v>
      </c>
      <c r="U65" s="131">
        <v>0.35089998999999999</v>
      </c>
      <c r="V65" s="131">
        <v>0.39129998999999999</v>
      </c>
      <c r="W65" s="131">
        <v>0.42699999</v>
      </c>
      <c r="X65" s="131">
        <v>0.45939999999999998</v>
      </c>
      <c r="Y65" s="131">
        <v>0.47350001000000003</v>
      </c>
      <c r="Z65" s="131">
        <v>0.48590000999999999</v>
      </c>
      <c r="AA65" s="131">
        <v>0.49790001</v>
      </c>
      <c r="AB65" s="131">
        <v>0.51310003000000004</v>
      </c>
      <c r="AC65" s="131">
        <v>0.52969997999999996</v>
      </c>
      <c r="AD65" s="131">
        <v>0.54759997000000005</v>
      </c>
      <c r="AE65" s="131">
        <v>0.56389999000000002</v>
      </c>
      <c r="AF65" s="131">
        <v>0.57520002000000003</v>
      </c>
      <c r="AG65" s="131">
        <v>0.58670001999999999</v>
      </c>
    </row>
    <row r="66" spans="1:33" x14ac:dyDescent="0.2">
      <c r="A66" s="136" t="s">
        <v>69</v>
      </c>
      <c r="B66" s="131">
        <v>9.7299999999999998E-2</v>
      </c>
      <c r="C66" s="131">
        <v>9.9400000000000002E-2</v>
      </c>
      <c r="D66" s="131">
        <v>9.8699999999999996E-2</v>
      </c>
      <c r="E66" s="131">
        <v>9.7299999999999998E-2</v>
      </c>
      <c r="F66" s="131">
        <v>9.8000000000000004E-2</v>
      </c>
      <c r="G66" s="131">
        <v>9.98E-2</v>
      </c>
      <c r="H66" s="131">
        <v>9.9299999999999999E-2</v>
      </c>
      <c r="I66" s="131">
        <v>0.1021</v>
      </c>
      <c r="J66" s="131">
        <v>0.1032</v>
      </c>
      <c r="K66" s="131">
        <v>0.1086</v>
      </c>
      <c r="L66" s="131">
        <v>0.11310000000000001</v>
      </c>
      <c r="M66" s="131">
        <v>0.12189999999999999</v>
      </c>
      <c r="N66" s="131">
        <v>0.13489999999999999</v>
      </c>
      <c r="O66" s="131">
        <v>0.15270001</v>
      </c>
      <c r="P66" s="131">
        <v>0.17519999999999999</v>
      </c>
      <c r="Q66" s="131">
        <v>0.2016</v>
      </c>
      <c r="R66" s="131">
        <v>0.23469999</v>
      </c>
      <c r="S66" s="131">
        <v>0.27169999</v>
      </c>
      <c r="T66" s="131">
        <v>0.31159999999999999</v>
      </c>
      <c r="U66" s="131">
        <v>0.35409998999999998</v>
      </c>
      <c r="V66" s="131">
        <v>0.39510000000000001</v>
      </c>
      <c r="W66" s="131">
        <v>0.43159999999999998</v>
      </c>
      <c r="X66" s="131">
        <v>0.46500000000000002</v>
      </c>
      <c r="Y66" s="131">
        <v>0.48130000000000001</v>
      </c>
      <c r="Z66" s="131">
        <v>0.49270001000000002</v>
      </c>
      <c r="AA66" s="131">
        <v>0.50449997000000002</v>
      </c>
      <c r="AB66" s="131">
        <v>0.51749997999999997</v>
      </c>
      <c r="AC66" s="131">
        <v>0.53460001999999995</v>
      </c>
      <c r="AD66" s="131">
        <v>0.55220002000000001</v>
      </c>
      <c r="AE66" s="131">
        <v>0.56980001999999996</v>
      </c>
      <c r="AF66" s="131">
        <v>0.58139998000000004</v>
      </c>
      <c r="AG66" s="131">
        <v>0.59179996999999995</v>
      </c>
    </row>
    <row r="67" spans="1:33" x14ac:dyDescent="0.2">
      <c r="A67" s="136" t="s">
        <v>70</v>
      </c>
      <c r="B67" s="131">
        <v>9.7000000000000003E-2</v>
      </c>
      <c r="C67" s="131">
        <v>9.7199999999999995E-2</v>
      </c>
      <c r="D67" s="131">
        <v>9.69E-2</v>
      </c>
      <c r="E67" s="131">
        <v>9.6799999999999997E-2</v>
      </c>
      <c r="F67" s="131">
        <v>9.7100000000000006E-2</v>
      </c>
      <c r="G67" s="131">
        <v>9.7600000000000006E-2</v>
      </c>
      <c r="H67" s="131">
        <v>9.8299999999999998E-2</v>
      </c>
      <c r="I67" s="131">
        <v>9.9500000000000005E-2</v>
      </c>
      <c r="J67" s="131">
        <v>0.1018</v>
      </c>
      <c r="K67" s="131">
        <v>0.1051</v>
      </c>
      <c r="L67" s="131">
        <v>0.11020000000000001</v>
      </c>
      <c r="M67" s="131">
        <v>0.1179</v>
      </c>
      <c r="N67" s="131">
        <v>0.12959999999999999</v>
      </c>
      <c r="O67" s="131">
        <v>0.1472</v>
      </c>
      <c r="P67" s="131">
        <v>0.16750000000000001</v>
      </c>
      <c r="Q67" s="131">
        <v>0.1918</v>
      </c>
      <c r="R67" s="131">
        <v>0.22289999999999999</v>
      </c>
      <c r="S67" s="131">
        <v>0.26030001000000003</v>
      </c>
      <c r="T67" s="131">
        <v>0.29759999999999998</v>
      </c>
      <c r="U67" s="131">
        <v>0.33979999999999999</v>
      </c>
      <c r="V67" s="131">
        <v>0.38260000999999999</v>
      </c>
      <c r="W67" s="131">
        <v>0.41920000000000002</v>
      </c>
      <c r="X67" s="131">
        <v>0.45159999000000001</v>
      </c>
      <c r="Y67" s="131">
        <v>0.47289999999999999</v>
      </c>
      <c r="Z67" s="131">
        <v>0.48080000000000001</v>
      </c>
      <c r="AA67" s="131">
        <v>0.4919</v>
      </c>
      <c r="AB67" s="131">
        <v>0.505</v>
      </c>
      <c r="AC67" s="131">
        <v>0.51749997999999997</v>
      </c>
      <c r="AD67" s="131">
        <v>0.53219998000000002</v>
      </c>
      <c r="AE67" s="131">
        <v>0.55180001000000001</v>
      </c>
      <c r="AF67" s="131">
        <v>0.56819998999999999</v>
      </c>
      <c r="AG67" s="131">
        <v>0.57730000999999997</v>
      </c>
    </row>
    <row r="68" spans="1:33" x14ac:dyDescent="0.2">
      <c r="A68" s="136" t="s">
        <v>71</v>
      </c>
      <c r="B68" s="131">
        <v>9.64E-2</v>
      </c>
      <c r="C68" s="131">
        <v>9.6699999999999994E-2</v>
      </c>
      <c r="D68" s="131">
        <v>9.6500000000000002E-2</v>
      </c>
      <c r="E68" s="131">
        <v>9.6299999999999997E-2</v>
      </c>
      <c r="F68" s="131">
        <v>9.6699999999999994E-2</v>
      </c>
      <c r="G68" s="131">
        <v>9.7100000000000006E-2</v>
      </c>
      <c r="H68" s="131">
        <v>9.8100000000000007E-2</v>
      </c>
      <c r="I68" s="131">
        <v>9.9299999999999999E-2</v>
      </c>
      <c r="J68" s="131">
        <v>0.10199999999999999</v>
      </c>
      <c r="K68" s="131">
        <v>0.1046</v>
      </c>
      <c r="L68" s="131">
        <v>0.1103</v>
      </c>
      <c r="M68" s="131">
        <v>0.1183</v>
      </c>
      <c r="N68" s="131">
        <v>0.13</v>
      </c>
      <c r="O68" s="131">
        <v>0.14599999999999999</v>
      </c>
      <c r="P68" s="131">
        <v>0.16760000999999999</v>
      </c>
      <c r="Q68" s="131">
        <v>0.19259999999999999</v>
      </c>
      <c r="R68" s="131">
        <v>0.2243</v>
      </c>
      <c r="S68" s="131">
        <v>0.26150000000000001</v>
      </c>
      <c r="T68" s="131">
        <v>0.30050000999999998</v>
      </c>
      <c r="U68" s="131">
        <v>0.34279999</v>
      </c>
      <c r="V68" s="131">
        <v>0.38490000000000002</v>
      </c>
      <c r="W68" s="131">
        <v>0.42059999999999997</v>
      </c>
      <c r="X68" s="131">
        <v>0.45179998999999998</v>
      </c>
      <c r="Y68" s="131">
        <v>0.47070000000000001</v>
      </c>
      <c r="Z68" s="131">
        <v>0.48190000999999999</v>
      </c>
      <c r="AA68" s="131">
        <v>0.49149999</v>
      </c>
      <c r="AB68" s="131">
        <v>0.50389998999999996</v>
      </c>
      <c r="AC68" s="131">
        <v>0.51829999999999998</v>
      </c>
      <c r="AD68" s="131">
        <v>0.53560001000000002</v>
      </c>
      <c r="AE68" s="131">
        <v>0.55419998999999998</v>
      </c>
      <c r="AF68" s="131">
        <v>0.56629996999999999</v>
      </c>
      <c r="AG68" s="131">
        <v>0.57830000000000004</v>
      </c>
    </row>
    <row r="69" spans="1:33" x14ac:dyDescent="0.2">
      <c r="A69" s="136" t="s">
        <v>72</v>
      </c>
      <c r="B69" s="131">
        <v>9.6500000000000002E-2</v>
      </c>
      <c r="C69" s="131">
        <v>9.6500000000000002E-2</v>
      </c>
      <c r="D69" s="131">
        <v>9.6500000000000002E-2</v>
      </c>
      <c r="E69" s="131">
        <v>9.6299999999999997E-2</v>
      </c>
      <c r="F69" s="131">
        <v>9.6799999999999997E-2</v>
      </c>
      <c r="G69" s="131">
        <v>9.7100000000000006E-2</v>
      </c>
      <c r="H69" s="131">
        <v>9.8100000000000007E-2</v>
      </c>
      <c r="I69" s="131">
        <v>9.9599999999999994E-2</v>
      </c>
      <c r="J69" s="131">
        <v>0.1018</v>
      </c>
      <c r="K69" s="131">
        <v>0.1056</v>
      </c>
      <c r="L69" s="131">
        <v>0.11119999999999999</v>
      </c>
      <c r="M69" s="131">
        <v>0.1198</v>
      </c>
      <c r="N69" s="131">
        <v>0.13189999999999999</v>
      </c>
      <c r="O69" s="131">
        <v>0.14899999999999999</v>
      </c>
      <c r="P69" s="131">
        <v>0.17110001</v>
      </c>
      <c r="Q69" s="131">
        <v>0.19760000999999999</v>
      </c>
      <c r="R69" s="131">
        <v>0.23039999999999999</v>
      </c>
      <c r="S69" s="131">
        <v>0.26699999000000002</v>
      </c>
      <c r="T69" s="131">
        <v>0.30759998999999999</v>
      </c>
      <c r="U69" s="131">
        <v>0.34889998999999999</v>
      </c>
      <c r="V69" s="131">
        <v>0.38949999000000002</v>
      </c>
      <c r="W69" s="131">
        <v>0.42410001000000003</v>
      </c>
      <c r="X69" s="131">
        <v>0.4526</v>
      </c>
      <c r="Y69" s="131">
        <v>0.46589999999999998</v>
      </c>
      <c r="Z69" s="131">
        <v>0.47520000000000001</v>
      </c>
      <c r="AA69" s="131">
        <v>0.48769999000000003</v>
      </c>
      <c r="AB69" s="131">
        <v>0.49689999000000001</v>
      </c>
      <c r="AC69" s="131">
        <v>0.51470000000000005</v>
      </c>
      <c r="AD69" s="131">
        <v>0.53219998000000002</v>
      </c>
      <c r="AE69" s="131">
        <v>0.54809998999999998</v>
      </c>
      <c r="AF69" s="131">
        <v>0.55949998000000001</v>
      </c>
      <c r="AG69" s="131">
        <v>0.56969999999999998</v>
      </c>
    </row>
    <row r="70" spans="1:33" x14ac:dyDescent="0.2">
      <c r="A70" s="136" t="s">
        <v>73</v>
      </c>
      <c r="B70" s="131">
        <v>9.8400000000000001E-2</v>
      </c>
      <c r="C70" s="131">
        <v>9.8699999999999996E-2</v>
      </c>
      <c r="D70" s="131">
        <v>9.8599999999999993E-2</v>
      </c>
      <c r="E70" s="131">
        <v>9.8400000000000001E-2</v>
      </c>
      <c r="F70" s="131">
        <v>9.8799999999999999E-2</v>
      </c>
      <c r="G70" s="131">
        <v>9.9400000000000002E-2</v>
      </c>
      <c r="H70" s="131">
        <v>0.1003</v>
      </c>
      <c r="I70" s="131">
        <v>0.1019</v>
      </c>
      <c r="J70" s="131">
        <v>0.1046</v>
      </c>
      <c r="K70" s="131">
        <v>0.1089</v>
      </c>
      <c r="L70" s="131">
        <v>0.1152</v>
      </c>
      <c r="M70" s="131">
        <v>0.12479999999999999</v>
      </c>
      <c r="N70" s="131">
        <v>0.13950001000000001</v>
      </c>
      <c r="O70" s="131">
        <v>0.16</v>
      </c>
      <c r="P70" s="131">
        <v>0.18379999999999999</v>
      </c>
      <c r="Q70" s="131">
        <v>0.21390000000000001</v>
      </c>
      <c r="R70" s="131">
        <v>0.25080001000000002</v>
      </c>
      <c r="S70" s="131">
        <v>0.29300000999999998</v>
      </c>
      <c r="T70" s="131">
        <v>0.33880000999999998</v>
      </c>
      <c r="U70" s="131">
        <v>0.38699999000000002</v>
      </c>
      <c r="V70" s="131">
        <v>0.43189999000000001</v>
      </c>
      <c r="W70" s="131">
        <v>0.47330000999999999</v>
      </c>
      <c r="X70" s="131">
        <v>0.51120001000000004</v>
      </c>
      <c r="Y70" s="131">
        <v>0.52579998999999999</v>
      </c>
      <c r="Z70" s="131">
        <v>0.54390000999999999</v>
      </c>
      <c r="AA70" s="131">
        <v>0.55919998999999998</v>
      </c>
      <c r="AB70" s="131">
        <v>0.57630002000000002</v>
      </c>
      <c r="AC70" s="131">
        <v>0.59280001999999998</v>
      </c>
      <c r="AD70" s="131">
        <v>0.60970002000000001</v>
      </c>
      <c r="AE70" s="131">
        <v>0.62769997</v>
      </c>
      <c r="AF70" s="131">
        <v>0.63690000999999996</v>
      </c>
      <c r="AG70" s="131">
        <v>0.64880002000000003</v>
      </c>
    </row>
    <row r="71" spans="1:33" x14ac:dyDescent="0.2">
      <c r="A71" s="136" t="s">
        <v>74</v>
      </c>
      <c r="B71" s="131">
        <v>9.8500000000000004E-2</v>
      </c>
      <c r="C71" s="131">
        <v>9.8500000000000004E-2</v>
      </c>
      <c r="D71" s="131">
        <v>9.9000000000000005E-2</v>
      </c>
      <c r="E71" s="131">
        <v>9.8299999999999998E-2</v>
      </c>
      <c r="F71" s="131">
        <v>9.8699999999999996E-2</v>
      </c>
      <c r="G71" s="131">
        <v>9.9299999999999999E-2</v>
      </c>
      <c r="H71" s="131">
        <v>0.1004</v>
      </c>
      <c r="I71" s="131">
        <v>0.1028</v>
      </c>
      <c r="J71" s="131">
        <v>0.1052</v>
      </c>
      <c r="K71" s="131">
        <v>0.1096</v>
      </c>
      <c r="L71" s="131">
        <v>0.1168</v>
      </c>
      <c r="M71" s="131">
        <v>0.12740000000000001</v>
      </c>
      <c r="N71" s="131">
        <v>0.14269999999999999</v>
      </c>
      <c r="O71" s="131">
        <v>0.1648</v>
      </c>
      <c r="P71" s="131">
        <v>0.19040000000000001</v>
      </c>
      <c r="Q71" s="131">
        <v>0.22139998999999999</v>
      </c>
      <c r="R71" s="131">
        <v>0.25969999999999999</v>
      </c>
      <c r="S71" s="131">
        <v>0.30320001000000002</v>
      </c>
      <c r="T71" s="131">
        <v>0.34970000000000001</v>
      </c>
      <c r="U71" s="131">
        <v>0.39840001000000003</v>
      </c>
      <c r="V71" s="131">
        <v>0.442</v>
      </c>
      <c r="W71" s="131">
        <v>0.48289999</v>
      </c>
      <c r="X71" s="131">
        <v>0.51670002999999998</v>
      </c>
      <c r="Y71" s="131">
        <v>0.52999996999999999</v>
      </c>
      <c r="Z71" s="131">
        <v>0.54799998000000005</v>
      </c>
      <c r="AA71" s="131">
        <v>0.56449996999999996</v>
      </c>
      <c r="AB71" s="131">
        <v>0.58020002000000004</v>
      </c>
      <c r="AC71" s="131">
        <v>0.59759998000000003</v>
      </c>
      <c r="AD71" s="131">
        <v>0.61409997999999999</v>
      </c>
      <c r="AE71" s="131">
        <v>0.62929999999999997</v>
      </c>
      <c r="AF71" s="131">
        <v>0.63970000000000005</v>
      </c>
      <c r="AG71" s="131">
        <v>0.65079998999999999</v>
      </c>
    </row>
    <row r="72" spans="1:33" x14ac:dyDescent="0.2">
      <c r="A72" s="136" t="s">
        <v>75</v>
      </c>
      <c r="B72" s="131">
        <v>9.7699999999999995E-2</v>
      </c>
      <c r="C72" s="131">
        <v>9.7699999999999995E-2</v>
      </c>
      <c r="D72" s="131">
        <v>9.7500000000000003E-2</v>
      </c>
      <c r="E72" s="131">
        <v>9.7299999999999998E-2</v>
      </c>
      <c r="F72" s="131">
        <v>9.7699999999999995E-2</v>
      </c>
      <c r="G72" s="131">
        <v>9.8299999999999998E-2</v>
      </c>
      <c r="H72" s="131">
        <v>9.9400000000000002E-2</v>
      </c>
      <c r="I72" s="131">
        <v>0.10100000000000001</v>
      </c>
      <c r="J72" s="131">
        <v>0.1037</v>
      </c>
      <c r="K72" s="131">
        <v>0.1081</v>
      </c>
      <c r="L72" s="131">
        <v>0.1145</v>
      </c>
      <c r="M72" s="131">
        <v>0.12479999999999999</v>
      </c>
      <c r="N72" s="131">
        <v>0.13980000000000001</v>
      </c>
      <c r="O72" s="131">
        <v>0.15979999</v>
      </c>
      <c r="P72" s="131">
        <v>0.18520001</v>
      </c>
      <c r="Q72" s="131">
        <v>0.2147</v>
      </c>
      <c r="R72" s="131">
        <v>0.25240001000000001</v>
      </c>
      <c r="S72" s="131">
        <v>0.29429999000000001</v>
      </c>
      <c r="T72" s="131">
        <v>0.34060001000000001</v>
      </c>
      <c r="U72" s="131">
        <v>0.38780000999999997</v>
      </c>
      <c r="V72" s="131">
        <v>0.43149999</v>
      </c>
      <c r="W72" s="131">
        <v>0.47160000000000002</v>
      </c>
      <c r="X72" s="131">
        <v>0.51020001999999998</v>
      </c>
      <c r="Y72" s="131">
        <v>0.52109998000000002</v>
      </c>
      <c r="Z72" s="131">
        <v>0.53899996999999999</v>
      </c>
      <c r="AA72" s="131">
        <v>0.55479997000000003</v>
      </c>
      <c r="AB72" s="131">
        <v>0.57139998999999997</v>
      </c>
      <c r="AC72" s="131">
        <v>0.58899999000000003</v>
      </c>
      <c r="AD72" s="131">
        <v>0.60519999000000002</v>
      </c>
      <c r="AE72" s="131">
        <v>0.62239999000000001</v>
      </c>
      <c r="AF72" s="131">
        <v>0.63219999999999998</v>
      </c>
      <c r="AG72" s="131">
        <v>0.64399998999999997</v>
      </c>
    </row>
    <row r="73" spans="1:33" x14ac:dyDescent="0.2">
      <c r="A73" s="136" t="s">
        <v>76</v>
      </c>
      <c r="B73" s="131">
        <v>9.6799999999999997E-2</v>
      </c>
      <c r="C73" s="131">
        <v>9.69E-2</v>
      </c>
      <c r="D73" s="131">
        <v>9.6699999999999994E-2</v>
      </c>
      <c r="E73" s="131">
        <v>9.6500000000000002E-2</v>
      </c>
      <c r="F73" s="131">
        <v>9.6799999999999997E-2</v>
      </c>
      <c r="G73" s="131">
        <v>9.7299999999999998E-2</v>
      </c>
      <c r="H73" s="131">
        <v>9.8299999999999998E-2</v>
      </c>
      <c r="I73" s="131">
        <v>9.98E-2</v>
      </c>
      <c r="J73" s="131">
        <v>0.1021</v>
      </c>
      <c r="K73" s="131">
        <v>0.1061</v>
      </c>
      <c r="L73" s="131">
        <v>0.11219999999999999</v>
      </c>
      <c r="M73" s="131">
        <v>0.12130000000000001</v>
      </c>
      <c r="N73" s="131">
        <v>0.13519998999999999</v>
      </c>
      <c r="O73" s="131">
        <v>0.15369999000000001</v>
      </c>
      <c r="P73" s="131">
        <v>0.17799999999999999</v>
      </c>
      <c r="Q73" s="131">
        <v>0.20780000000000001</v>
      </c>
      <c r="R73" s="131">
        <v>0.24279999999999999</v>
      </c>
      <c r="S73" s="131">
        <v>0.28499999999999998</v>
      </c>
      <c r="T73" s="131">
        <v>0.32940000000000003</v>
      </c>
      <c r="U73" s="131">
        <v>0.37609999999999999</v>
      </c>
      <c r="V73" s="131">
        <v>0.42140000999999999</v>
      </c>
      <c r="W73" s="131">
        <v>0.46160001000000001</v>
      </c>
      <c r="X73" s="131">
        <v>0.49860000999999998</v>
      </c>
      <c r="Y73" s="131">
        <v>0.51359999000000001</v>
      </c>
      <c r="Z73" s="131">
        <v>0.52920001999999999</v>
      </c>
      <c r="AA73" s="131">
        <v>0.54239999999999999</v>
      </c>
      <c r="AB73" s="131">
        <v>0.55519998000000004</v>
      </c>
      <c r="AC73" s="131">
        <v>0.57069999000000005</v>
      </c>
      <c r="AD73" s="131">
        <v>0.58550000000000002</v>
      </c>
      <c r="AE73" s="131">
        <v>0.60060000000000002</v>
      </c>
      <c r="AF73" s="131">
        <v>0.61240000000000006</v>
      </c>
      <c r="AG73" s="131">
        <v>0.62239999000000001</v>
      </c>
    </row>
    <row r="74" spans="1:33" x14ac:dyDescent="0.2">
      <c r="A74" s="136" t="s">
        <v>77</v>
      </c>
      <c r="B74" s="131">
        <v>9.3200000000000005E-2</v>
      </c>
      <c r="C74" s="131">
        <v>9.4200000000000006E-2</v>
      </c>
      <c r="D74" s="131">
        <v>9.3299999999999994E-2</v>
      </c>
      <c r="E74" s="131">
        <v>9.3100000000000002E-2</v>
      </c>
      <c r="F74" s="131">
        <v>9.3200000000000005E-2</v>
      </c>
      <c r="G74" s="131">
        <v>9.2799999999999994E-2</v>
      </c>
      <c r="H74" s="131">
        <v>9.2799999999999994E-2</v>
      </c>
      <c r="I74" s="131">
        <v>9.2999999999999999E-2</v>
      </c>
      <c r="J74" s="131">
        <v>9.2700000000000005E-2</v>
      </c>
      <c r="K74" s="131">
        <v>9.2799999999999994E-2</v>
      </c>
      <c r="L74" s="131">
        <v>9.2600000000000002E-2</v>
      </c>
      <c r="M74" s="131">
        <v>9.2600000000000002E-2</v>
      </c>
      <c r="N74" s="131">
        <v>9.2499999999999999E-2</v>
      </c>
      <c r="O74" s="131">
        <v>9.2399999999999996E-2</v>
      </c>
      <c r="P74" s="131">
        <v>9.2700000000000005E-2</v>
      </c>
      <c r="Q74" s="131">
        <v>9.2799999999999994E-2</v>
      </c>
      <c r="R74" s="131">
        <v>9.2899999999999996E-2</v>
      </c>
      <c r="S74" s="131">
        <v>9.2999999999999999E-2</v>
      </c>
      <c r="T74" s="131">
        <v>9.3100000000000002E-2</v>
      </c>
      <c r="U74" s="131">
        <v>9.2999999999999999E-2</v>
      </c>
      <c r="V74" s="131">
        <v>9.3200000000000005E-2</v>
      </c>
      <c r="W74" s="131">
        <v>9.3200000000000005E-2</v>
      </c>
      <c r="X74" s="131">
        <v>9.3299999999999994E-2</v>
      </c>
      <c r="Y74" s="131">
        <v>9.3200000000000005E-2</v>
      </c>
      <c r="Z74" s="131">
        <v>9.3299999999999994E-2</v>
      </c>
      <c r="AA74" s="131">
        <v>9.3100000000000002E-2</v>
      </c>
      <c r="AB74" s="131">
        <v>9.3100000000000002E-2</v>
      </c>
      <c r="AC74" s="131">
        <v>9.2899999999999996E-2</v>
      </c>
      <c r="AD74" s="131">
        <v>9.2999999999999999E-2</v>
      </c>
      <c r="AE74" s="131">
        <v>9.2899999999999996E-2</v>
      </c>
      <c r="AF74" s="131">
        <v>9.2899999999999996E-2</v>
      </c>
      <c r="AG74" s="131">
        <v>9.3100000000000002E-2</v>
      </c>
    </row>
    <row r="75" spans="1:33" x14ac:dyDescent="0.2">
      <c r="A75" s="136" t="s">
        <v>78</v>
      </c>
      <c r="B75" s="131">
        <v>9.2499999999999999E-2</v>
      </c>
      <c r="C75" s="131">
        <v>9.2600000000000002E-2</v>
      </c>
      <c r="D75" s="131">
        <v>9.2700000000000005E-2</v>
      </c>
      <c r="E75" s="131">
        <v>9.2700000000000005E-2</v>
      </c>
      <c r="F75" s="131">
        <v>9.3399999999999997E-2</v>
      </c>
      <c r="G75" s="131">
        <v>9.2999999999999999E-2</v>
      </c>
      <c r="H75" s="131">
        <v>9.2999999999999999E-2</v>
      </c>
      <c r="I75" s="131">
        <v>9.3100000000000002E-2</v>
      </c>
      <c r="J75" s="131">
        <v>9.3100000000000002E-2</v>
      </c>
      <c r="K75" s="131">
        <v>9.2999999999999999E-2</v>
      </c>
      <c r="L75" s="131">
        <v>9.2999999999999999E-2</v>
      </c>
      <c r="M75" s="131">
        <v>9.2899999999999996E-2</v>
      </c>
      <c r="N75" s="131">
        <v>9.2899999999999996E-2</v>
      </c>
      <c r="O75" s="131">
        <v>9.2700000000000005E-2</v>
      </c>
      <c r="P75" s="131">
        <v>9.3100000000000002E-2</v>
      </c>
      <c r="Q75" s="131">
        <v>9.3200000000000005E-2</v>
      </c>
      <c r="R75" s="131">
        <v>9.3200000000000005E-2</v>
      </c>
      <c r="S75" s="131">
        <v>9.3299999999999994E-2</v>
      </c>
      <c r="T75" s="131">
        <v>9.3200000000000005E-2</v>
      </c>
      <c r="U75" s="131">
        <v>9.3200000000000005E-2</v>
      </c>
      <c r="V75" s="131">
        <v>9.3299999999999994E-2</v>
      </c>
      <c r="W75" s="131">
        <v>9.3299999999999994E-2</v>
      </c>
      <c r="X75" s="131">
        <v>9.3200000000000005E-2</v>
      </c>
      <c r="Y75" s="131">
        <v>9.3299999999999994E-2</v>
      </c>
      <c r="Z75" s="131">
        <v>9.3299999999999994E-2</v>
      </c>
      <c r="AA75" s="131">
        <v>9.3200000000000005E-2</v>
      </c>
      <c r="AB75" s="131">
        <v>9.3200000000000005E-2</v>
      </c>
      <c r="AC75" s="131">
        <v>9.3100000000000002E-2</v>
      </c>
      <c r="AD75" s="131">
        <v>9.3700000000000006E-2</v>
      </c>
      <c r="AE75" s="131">
        <v>9.2999999999999999E-2</v>
      </c>
      <c r="AF75" s="131">
        <v>9.3100000000000002E-2</v>
      </c>
      <c r="AG75" s="131">
        <v>9.3200000000000005E-2</v>
      </c>
    </row>
    <row r="76" spans="1:33" x14ac:dyDescent="0.2">
      <c r="A76" s="136" t="s">
        <v>79</v>
      </c>
      <c r="B76" s="131">
        <v>9.7000000000000003E-2</v>
      </c>
      <c r="C76" s="131">
        <v>9.7000000000000003E-2</v>
      </c>
      <c r="D76" s="131">
        <v>9.7100000000000006E-2</v>
      </c>
      <c r="E76" s="131">
        <v>9.7100000000000006E-2</v>
      </c>
      <c r="F76" s="131">
        <v>9.7299999999999998E-2</v>
      </c>
      <c r="G76" s="131">
        <v>9.7600000000000006E-2</v>
      </c>
      <c r="H76" s="131">
        <v>9.8000000000000004E-2</v>
      </c>
      <c r="I76" s="131">
        <v>9.8799999999999999E-2</v>
      </c>
      <c r="J76" s="131">
        <v>9.98E-2</v>
      </c>
      <c r="K76" s="131">
        <v>0.1014</v>
      </c>
      <c r="L76" s="131">
        <v>0.1041</v>
      </c>
      <c r="M76" s="131">
        <v>0.1087</v>
      </c>
      <c r="N76" s="131">
        <v>0.1163</v>
      </c>
      <c r="O76" s="131">
        <v>0.1278</v>
      </c>
      <c r="P76" s="131">
        <v>0.14599999999999999</v>
      </c>
      <c r="Q76" s="131">
        <v>0.1701</v>
      </c>
      <c r="R76" s="131">
        <v>0.19840000999999999</v>
      </c>
      <c r="S76" s="131">
        <v>0.23130000000000001</v>
      </c>
      <c r="T76" s="131">
        <v>0.27180000999999998</v>
      </c>
      <c r="U76" s="131">
        <v>0.32329999999999998</v>
      </c>
      <c r="V76" s="131">
        <v>0.37619998999999998</v>
      </c>
      <c r="W76" s="131">
        <v>0.43169998999999998</v>
      </c>
      <c r="X76" s="131">
        <v>0.48300000999999998</v>
      </c>
      <c r="Y76" s="131">
        <v>0.52890002999999997</v>
      </c>
      <c r="Z76" s="131">
        <v>0.55059999000000004</v>
      </c>
      <c r="AA76" s="131">
        <v>0.57309997000000001</v>
      </c>
      <c r="AB76" s="131">
        <v>0.58810001999999995</v>
      </c>
      <c r="AC76" s="131">
        <v>0.60329997999999996</v>
      </c>
      <c r="AD76" s="131">
        <v>0.61639999999999995</v>
      </c>
      <c r="AE76" s="131">
        <v>0.62980002000000002</v>
      </c>
      <c r="AF76" s="131">
        <v>0.64670002000000004</v>
      </c>
      <c r="AG76" s="131">
        <v>0.66259997999999998</v>
      </c>
    </row>
    <row r="77" spans="1:33" x14ac:dyDescent="0.2">
      <c r="A77" s="136" t="s">
        <v>80</v>
      </c>
      <c r="B77" s="131">
        <v>9.7600000000000006E-2</v>
      </c>
      <c r="C77" s="131">
        <v>9.7600000000000006E-2</v>
      </c>
      <c r="D77" s="131">
        <v>9.7699999999999995E-2</v>
      </c>
      <c r="E77" s="131">
        <v>9.7000000000000003E-2</v>
      </c>
      <c r="F77" s="131">
        <v>9.7299999999999998E-2</v>
      </c>
      <c r="G77" s="131">
        <v>9.7699999999999995E-2</v>
      </c>
      <c r="H77" s="131">
        <v>9.8100000000000007E-2</v>
      </c>
      <c r="I77" s="131">
        <v>9.8699999999999996E-2</v>
      </c>
      <c r="J77" s="131">
        <v>9.9900000000000003E-2</v>
      </c>
      <c r="K77" s="131">
        <v>0.1016</v>
      </c>
      <c r="L77" s="131">
        <v>0.10440000000000001</v>
      </c>
      <c r="M77" s="131">
        <v>0.109</v>
      </c>
      <c r="N77" s="131">
        <v>0.1168</v>
      </c>
      <c r="O77" s="131">
        <v>0.12899999000000001</v>
      </c>
      <c r="P77" s="131">
        <v>0.14749999</v>
      </c>
      <c r="Q77" s="131">
        <v>0.17180000000000001</v>
      </c>
      <c r="R77" s="131">
        <v>0.20069999999999999</v>
      </c>
      <c r="S77" s="131">
        <v>0.23419999999999999</v>
      </c>
      <c r="T77" s="131">
        <v>0.27529999999999999</v>
      </c>
      <c r="U77" s="131">
        <v>0.32780000999999998</v>
      </c>
      <c r="V77" s="131">
        <v>0.38170000999999998</v>
      </c>
      <c r="W77" s="131">
        <v>0.43889999000000002</v>
      </c>
      <c r="X77" s="131">
        <v>0.49099999999999999</v>
      </c>
      <c r="Y77" s="131">
        <v>0.53769999999999996</v>
      </c>
      <c r="Z77" s="131">
        <v>0.56230002999999995</v>
      </c>
      <c r="AA77" s="131">
        <v>0.58380001999999998</v>
      </c>
      <c r="AB77" s="131">
        <v>0.60079998000000001</v>
      </c>
      <c r="AC77" s="131">
        <v>0.61430001000000001</v>
      </c>
      <c r="AD77" s="131">
        <v>0.62650001</v>
      </c>
      <c r="AE77" s="131">
        <v>0.64179998999999999</v>
      </c>
      <c r="AF77" s="131">
        <v>0.65839999999999999</v>
      </c>
      <c r="AG77" s="131">
        <v>0.67290002000000004</v>
      </c>
    </row>
    <row r="78" spans="1:33" x14ac:dyDescent="0.2">
      <c r="A78" s="136" t="s">
        <v>81</v>
      </c>
      <c r="B78" s="131">
        <v>9.8299999999999998E-2</v>
      </c>
      <c r="C78" s="131">
        <v>9.8199999999999996E-2</v>
      </c>
      <c r="D78" s="131">
        <v>9.8000000000000004E-2</v>
      </c>
      <c r="E78" s="131">
        <v>9.7900000000000001E-2</v>
      </c>
      <c r="F78" s="131">
        <v>9.8100000000000007E-2</v>
      </c>
      <c r="G78" s="131">
        <v>9.8599999999999993E-2</v>
      </c>
      <c r="H78" s="131">
        <v>9.9000000000000005E-2</v>
      </c>
      <c r="I78" s="131">
        <v>9.98E-2</v>
      </c>
      <c r="J78" s="131">
        <v>0.10100000000000001</v>
      </c>
      <c r="K78" s="131">
        <v>0.1027</v>
      </c>
      <c r="L78" s="131">
        <v>0.1056</v>
      </c>
      <c r="M78" s="131">
        <v>0.1105</v>
      </c>
      <c r="N78" s="131">
        <v>0.1188</v>
      </c>
      <c r="O78" s="131">
        <v>0.1313</v>
      </c>
      <c r="P78" s="131">
        <v>0.15040000000000001</v>
      </c>
      <c r="Q78" s="131">
        <v>0.1759</v>
      </c>
      <c r="R78" s="131">
        <v>0.2049</v>
      </c>
      <c r="S78" s="131">
        <v>0.23960000000000001</v>
      </c>
      <c r="T78" s="131">
        <v>0.28259999000000002</v>
      </c>
      <c r="U78" s="131">
        <v>0.33600000000000002</v>
      </c>
      <c r="V78" s="131">
        <v>0.39039998999999997</v>
      </c>
      <c r="W78" s="131">
        <v>0.44819998999999999</v>
      </c>
      <c r="X78" s="131">
        <v>0.49869998999999998</v>
      </c>
      <c r="Y78" s="131">
        <v>0.54470003</v>
      </c>
      <c r="Z78" s="131">
        <v>0.56529998999999997</v>
      </c>
      <c r="AA78" s="131">
        <v>0.58459996999999997</v>
      </c>
      <c r="AB78" s="131">
        <v>0.60219997000000003</v>
      </c>
      <c r="AC78" s="131">
        <v>0.61440002999999999</v>
      </c>
      <c r="AD78" s="131">
        <v>0.62699996999999996</v>
      </c>
      <c r="AE78" s="131">
        <v>0.64209998000000001</v>
      </c>
      <c r="AF78" s="131">
        <v>0.65839999999999999</v>
      </c>
      <c r="AG78" s="131">
        <v>0.67100000000000004</v>
      </c>
    </row>
    <row r="79" spans="1:33" x14ac:dyDescent="0.2">
      <c r="A79" s="136" t="s">
        <v>82</v>
      </c>
      <c r="B79" s="131">
        <v>9.7799999999999998E-2</v>
      </c>
      <c r="C79" s="131">
        <v>9.7900000000000001E-2</v>
      </c>
      <c r="D79" s="131">
        <v>9.7900000000000001E-2</v>
      </c>
      <c r="E79" s="131">
        <v>9.7699999999999995E-2</v>
      </c>
      <c r="F79" s="131">
        <v>9.8199999999999996E-2</v>
      </c>
      <c r="G79" s="131">
        <v>9.8699999999999996E-2</v>
      </c>
      <c r="H79" s="131">
        <v>9.9000000000000005E-2</v>
      </c>
      <c r="I79" s="131">
        <v>9.98E-2</v>
      </c>
      <c r="J79" s="131">
        <v>0.1013</v>
      </c>
      <c r="K79" s="131">
        <v>0.10340000000000001</v>
      </c>
      <c r="L79" s="131">
        <v>0.1067</v>
      </c>
      <c r="M79" s="131">
        <v>0.1125</v>
      </c>
      <c r="N79" s="131">
        <v>0.12189999999999999</v>
      </c>
      <c r="O79" s="131">
        <v>0.1366</v>
      </c>
      <c r="P79" s="131">
        <v>0.15690000000000001</v>
      </c>
      <c r="Q79" s="131">
        <v>0.18189999000000001</v>
      </c>
      <c r="R79" s="131">
        <v>0.21089999000000001</v>
      </c>
      <c r="S79" s="131">
        <v>0.2457</v>
      </c>
      <c r="T79" s="131">
        <v>0.28989999999999999</v>
      </c>
      <c r="U79" s="131">
        <v>0.33899998999999997</v>
      </c>
      <c r="V79" s="131">
        <v>0.39120000999999999</v>
      </c>
      <c r="W79" s="131">
        <v>0.43659999999999999</v>
      </c>
      <c r="X79" s="131">
        <v>0.47889999</v>
      </c>
      <c r="Y79" s="131">
        <v>0.51130003000000002</v>
      </c>
      <c r="Z79" s="131">
        <v>0.52439999999999998</v>
      </c>
      <c r="AA79" s="131">
        <v>0.53600000999999997</v>
      </c>
      <c r="AB79" s="131">
        <v>0.54339999000000005</v>
      </c>
      <c r="AC79" s="131">
        <v>0.54799998000000005</v>
      </c>
      <c r="AD79" s="131">
        <v>0.55459999999999998</v>
      </c>
      <c r="AE79" s="131">
        <v>0.56370001999999997</v>
      </c>
      <c r="AF79" s="131">
        <v>0.57450002</v>
      </c>
      <c r="AG79" s="131">
        <v>0.58710002999999999</v>
      </c>
    </row>
    <row r="80" spans="1:33" x14ac:dyDescent="0.2">
      <c r="A80" s="136" t="s">
        <v>83</v>
      </c>
      <c r="B80" s="131">
        <v>9.8199999999999996E-2</v>
      </c>
      <c r="C80" s="131">
        <v>9.8599999999999993E-2</v>
      </c>
      <c r="D80" s="131">
        <v>9.9299999999999999E-2</v>
      </c>
      <c r="E80" s="131">
        <v>9.9099999999999994E-2</v>
      </c>
      <c r="F80" s="131">
        <v>9.9299999999999999E-2</v>
      </c>
      <c r="G80" s="131">
        <v>9.8599999999999993E-2</v>
      </c>
      <c r="H80" s="131">
        <v>9.9900000000000003E-2</v>
      </c>
      <c r="I80" s="131">
        <v>0.1011</v>
      </c>
      <c r="J80" s="131">
        <v>0.1031</v>
      </c>
      <c r="K80" s="131">
        <v>0.10349999999999999</v>
      </c>
      <c r="L80" s="131">
        <v>0.1076</v>
      </c>
      <c r="M80" s="131">
        <v>0.113</v>
      </c>
      <c r="N80" s="131">
        <v>0.1229</v>
      </c>
      <c r="O80" s="131">
        <v>0.13750000000000001</v>
      </c>
      <c r="P80" s="131">
        <v>0.15840000000000001</v>
      </c>
      <c r="Q80" s="131">
        <v>0.18379999999999999</v>
      </c>
      <c r="R80" s="131">
        <v>0.21379999999999999</v>
      </c>
      <c r="S80" s="131">
        <v>0.24990000000000001</v>
      </c>
      <c r="T80" s="131">
        <v>0.29570001000000001</v>
      </c>
      <c r="U80" s="131">
        <v>0.34429999999999999</v>
      </c>
      <c r="V80" s="131">
        <v>0.39700001000000001</v>
      </c>
      <c r="W80" s="131">
        <v>0.43859999999999999</v>
      </c>
      <c r="X80" s="131">
        <v>0.47929999000000001</v>
      </c>
      <c r="Y80" s="131">
        <v>0.505</v>
      </c>
      <c r="Z80" s="131">
        <v>0.51630001999999997</v>
      </c>
      <c r="AA80" s="131">
        <v>0.52749997000000004</v>
      </c>
      <c r="AB80" s="131">
        <v>0.53390002000000003</v>
      </c>
      <c r="AC80" s="131">
        <v>0.53869997999999997</v>
      </c>
      <c r="AD80" s="131">
        <v>0.54460001000000002</v>
      </c>
      <c r="AE80" s="131">
        <v>0.55339998000000001</v>
      </c>
      <c r="AF80" s="131">
        <v>0.56510000999999999</v>
      </c>
      <c r="AG80" s="131">
        <v>0.57870001000000004</v>
      </c>
    </row>
    <row r="81" spans="1:33" x14ac:dyDescent="0.2">
      <c r="A81" s="136" t="s">
        <v>84</v>
      </c>
      <c r="B81" s="131">
        <v>9.7500000000000003E-2</v>
      </c>
      <c r="C81" s="131">
        <v>9.7500000000000003E-2</v>
      </c>
      <c r="D81" s="131">
        <v>9.74E-2</v>
      </c>
      <c r="E81" s="131">
        <v>9.74E-2</v>
      </c>
      <c r="F81" s="131">
        <v>9.7900000000000001E-2</v>
      </c>
      <c r="G81" s="131">
        <v>9.8400000000000001E-2</v>
      </c>
      <c r="H81" s="131">
        <v>9.8699999999999996E-2</v>
      </c>
      <c r="I81" s="131">
        <v>9.9599999999999994E-2</v>
      </c>
      <c r="J81" s="131">
        <v>0.1007</v>
      </c>
      <c r="K81" s="131">
        <v>0.10349999999999999</v>
      </c>
      <c r="L81" s="131">
        <v>0.1067</v>
      </c>
      <c r="M81" s="131">
        <v>0.1134</v>
      </c>
      <c r="N81" s="131">
        <v>0.1232</v>
      </c>
      <c r="O81" s="131">
        <v>0.13869999</v>
      </c>
      <c r="P81" s="131">
        <v>0.15939999999999999</v>
      </c>
      <c r="Q81" s="131">
        <v>0.18390000000000001</v>
      </c>
      <c r="R81" s="131">
        <v>0.214</v>
      </c>
      <c r="S81" s="131">
        <v>0.25080001000000002</v>
      </c>
      <c r="T81" s="131">
        <v>0.29640000999999999</v>
      </c>
      <c r="U81" s="131">
        <v>0.34650001000000002</v>
      </c>
      <c r="V81" s="131">
        <v>0.39770000999999999</v>
      </c>
      <c r="W81" s="131">
        <v>0.43939999000000002</v>
      </c>
      <c r="X81" s="131">
        <v>0.47909998999999998</v>
      </c>
      <c r="Y81" s="131">
        <v>0.49880001000000002</v>
      </c>
      <c r="Z81" s="131">
        <v>0.51109998999999995</v>
      </c>
      <c r="AA81" s="131">
        <v>0.52049999999999996</v>
      </c>
      <c r="AB81" s="131">
        <v>0.52530003000000003</v>
      </c>
      <c r="AC81" s="131">
        <v>0.52899998000000004</v>
      </c>
      <c r="AD81" s="131">
        <v>0.53579997999999995</v>
      </c>
      <c r="AE81" s="131">
        <v>0.54449999000000004</v>
      </c>
      <c r="AF81" s="131">
        <v>0.55489999000000001</v>
      </c>
      <c r="AG81" s="131">
        <v>0.56919998000000005</v>
      </c>
    </row>
    <row r="82" spans="1:33" x14ac:dyDescent="0.2">
      <c r="A82" s="136" t="s">
        <v>85</v>
      </c>
      <c r="B82" s="131">
        <v>9.7600000000000006E-2</v>
      </c>
      <c r="C82" s="131">
        <v>9.7699999999999995E-2</v>
      </c>
      <c r="D82" s="131">
        <v>9.7699999999999995E-2</v>
      </c>
      <c r="E82" s="131">
        <v>9.7600000000000006E-2</v>
      </c>
      <c r="F82" s="131">
        <v>9.7900000000000001E-2</v>
      </c>
      <c r="G82" s="131">
        <v>9.8500000000000004E-2</v>
      </c>
      <c r="H82" s="131">
        <v>9.9000000000000005E-2</v>
      </c>
      <c r="I82" s="131">
        <v>0.10009999999999999</v>
      </c>
      <c r="J82" s="131">
        <v>0.1018</v>
      </c>
      <c r="K82" s="131">
        <v>0.10440000000000001</v>
      </c>
      <c r="L82" s="131">
        <v>0.1087</v>
      </c>
      <c r="M82" s="131">
        <v>0.11600000000000001</v>
      </c>
      <c r="N82" s="131">
        <v>0.1275</v>
      </c>
      <c r="O82" s="131">
        <v>0.14530000000000001</v>
      </c>
      <c r="P82" s="131">
        <v>0.16949998999999999</v>
      </c>
      <c r="Q82" s="131">
        <v>0.19789999999999999</v>
      </c>
      <c r="R82" s="131">
        <v>0.23109999000000001</v>
      </c>
      <c r="S82" s="131">
        <v>0.2712</v>
      </c>
      <c r="T82" s="131">
        <v>0.31889999000000002</v>
      </c>
      <c r="U82" s="131">
        <v>0.36799999999999999</v>
      </c>
      <c r="V82" s="131">
        <v>0.41800000999999998</v>
      </c>
      <c r="W82" s="131">
        <v>0.45939999999999998</v>
      </c>
      <c r="X82" s="131">
        <v>0.49759998999999999</v>
      </c>
      <c r="Y82" s="131">
        <v>0.51779997</v>
      </c>
      <c r="Z82" s="131">
        <v>0.53350001999999996</v>
      </c>
      <c r="AA82" s="131">
        <v>0.54640001000000005</v>
      </c>
      <c r="AB82" s="131">
        <v>0.55620002999999996</v>
      </c>
      <c r="AC82" s="131">
        <v>0.56550001999999999</v>
      </c>
      <c r="AD82" s="131">
        <v>0.57639998000000003</v>
      </c>
      <c r="AE82" s="131">
        <v>0.58920002000000005</v>
      </c>
      <c r="AF82" s="131">
        <v>0.60110003000000001</v>
      </c>
      <c r="AG82" s="131">
        <v>0.61150002000000003</v>
      </c>
    </row>
    <row r="83" spans="1:33" x14ac:dyDescent="0.2">
      <c r="A83" s="136" t="s">
        <v>86</v>
      </c>
      <c r="B83" s="131">
        <v>9.7699999999999995E-2</v>
      </c>
      <c r="C83" s="131">
        <v>9.7799999999999998E-2</v>
      </c>
      <c r="D83" s="131">
        <v>9.8000000000000004E-2</v>
      </c>
      <c r="E83" s="131">
        <v>9.8000000000000004E-2</v>
      </c>
      <c r="F83" s="131">
        <v>9.8400000000000001E-2</v>
      </c>
      <c r="G83" s="131">
        <v>9.8699999999999996E-2</v>
      </c>
      <c r="H83" s="131">
        <v>9.9699999999999997E-2</v>
      </c>
      <c r="I83" s="131">
        <v>0.1003</v>
      </c>
      <c r="J83" s="131">
        <v>0.10249999999999999</v>
      </c>
      <c r="K83" s="131">
        <v>0.1048</v>
      </c>
      <c r="L83" s="131">
        <v>0.10879999999999999</v>
      </c>
      <c r="M83" s="131">
        <v>0.1162</v>
      </c>
      <c r="N83" s="131">
        <v>0.12710001000000001</v>
      </c>
      <c r="O83" s="131">
        <v>0.14470000999999999</v>
      </c>
      <c r="P83" s="131">
        <v>0.16900000000000001</v>
      </c>
      <c r="Q83" s="131">
        <v>0.19689999999999999</v>
      </c>
      <c r="R83" s="131">
        <v>0.22900000000000001</v>
      </c>
      <c r="S83" s="131">
        <v>0.26980000999999998</v>
      </c>
      <c r="T83" s="131">
        <v>0.31650001</v>
      </c>
      <c r="U83" s="131">
        <v>0.36509999999999998</v>
      </c>
      <c r="V83" s="131">
        <v>0.41389999</v>
      </c>
      <c r="W83" s="131">
        <v>0.45419999999999999</v>
      </c>
      <c r="X83" s="131">
        <v>0.49299999999999999</v>
      </c>
      <c r="Y83" s="131">
        <v>0.51130003000000002</v>
      </c>
      <c r="Z83" s="131">
        <v>0.52789998000000005</v>
      </c>
      <c r="AA83" s="131">
        <v>0.54140001999999998</v>
      </c>
      <c r="AB83" s="131">
        <v>0.55180001000000001</v>
      </c>
      <c r="AC83" s="131">
        <v>0.56029998999999997</v>
      </c>
      <c r="AD83" s="131">
        <v>0.57330000000000003</v>
      </c>
      <c r="AE83" s="131">
        <v>0.58509999999999995</v>
      </c>
      <c r="AF83" s="131">
        <v>0.59740000999999998</v>
      </c>
      <c r="AG83" s="131">
        <v>0.60750002000000003</v>
      </c>
    </row>
    <row r="84" spans="1:33" x14ac:dyDescent="0.2">
      <c r="A84" s="136" t="s">
        <v>87</v>
      </c>
      <c r="B84" s="131">
        <v>9.8299999999999998E-2</v>
      </c>
      <c r="C84" s="131">
        <v>9.8199999999999996E-2</v>
      </c>
      <c r="D84" s="131">
        <v>9.8100000000000007E-2</v>
      </c>
      <c r="E84" s="131">
        <v>9.7799999999999998E-2</v>
      </c>
      <c r="F84" s="131">
        <v>9.8299999999999998E-2</v>
      </c>
      <c r="G84" s="131">
        <v>9.9000000000000005E-2</v>
      </c>
      <c r="H84" s="131">
        <v>9.9500000000000005E-2</v>
      </c>
      <c r="I84" s="131">
        <v>0.10059999999999999</v>
      </c>
      <c r="J84" s="131">
        <v>0.1022</v>
      </c>
      <c r="K84" s="131">
        <v>0.10539999999999999</v>
      </c>
      <c r="L84" s="131">
        <v>0.1091</v>
      </c>
      <c r="M84" s="131">
        <v>0.1166</v>
      </c>
      <c r="N84" s="131">
        <v>0.12859999999999999</v>
      </c>
      <c r="O84" s="131">
        <v>0.14610000000000001</v>
      </c>
      <c r="P84" s="131">
        <v>0.1701</v>
      </c>
      <c r="Q84" s="131">
        <v>0.19769998999999999</v>
      </c>
      <c r="R84" s="131">
        <v>0.23089999999999999</v>
      </c>
      <c r="S84" s="131">
        <v>0.2712</v>
      </c>
      <c r="T84" s="131">
        <v>0.31830001000000002</v>
      </c>
      <c r="U84" s="131">
        <v>0.36820000000000003</v>
      </c>
      <c r="V84" s="131">
        <v>0.4163</v>
      </c>
      <c r="W84" s="131">
        <v>0.45730000999999998</v>
      </c>
      <c r="X84" s="131">
        <v>0.49779999000000003</v>
      </c>
      <c r="Y84" s="131">
        <v>0.51789998999999998</v>
      </c>
      <c r="Z84" s="131">
        <v>0.53420000999999995</v>
      </c>
      <c r="AA84" s="131">
        <v>0.54860001999999997</v>
      </c>
      <c r="AB84" s="131">
        <v>0.55949998000000001</v>
      </c>
      <c r="AC84" s="131">
        <v>0.56889999000000002</v>
      </c>
      <c r="AD84" s="131">
        <v>0.58039998999999998</v>
      </c>
      <c r="AE84" s="131">
        <v>0.59289997999999999</v>
      </c>
      <c r="AF84" s="131">
        <v>0.60549998000000005</v>
      </c>
      <c r="AG84" s="131">
        <v>0.61589998000000001</v>
      </c>
    </row>
    <row r="85" spans="1:33" x14ac:dyDescent="0.2">
      <c r="A85" s="136" t="s">
        <v>88</v>
      </c>
      <c r="B85" s="131">
        <v>9.6699999999999994E-2</v>
      </c>
      <c r="C85" s="131">
        <v>9.7000000000000003E-2</v>
      </c>
      <c r="D85" s="131">
        <v>9.69E-2</v>
      </c>
      <c r="E85" s="131">
        <v>9.6699999999999994E-2</v>
      </c>
      <c r="F85" s="131">
        <v>9.7199999999999995E-2</v>
      </c>
      <c r="G85" s="131">
        <v>9.74E-2</v>
      </c>
      <c r="H85" s="131">
        <v>9.8000000000000004E-2</v>
      </c>
      <c r="I85" s="131">
        <v>9.9000000000000005E-2</v>
      </c>
      <c r="J85" s="131">
        <v>0.10050000000000001</v>
      </c>
      <c r="K85" s="131">
        <v>0.1028</v>
      </c>
      <c r="L85" s="131">
        <v>0.1069</v>
      </c>
      <c r="M85" s="131">
        <v>0.11360000000000001</v>
      </c>
      <c r="N85" s="131">
        <v>0.12429999999999999</v>
      </c>
      <c r="O85" s="131">
        <v>0.14099999999999999</v>
      </c>
      <c r="P85" s="131">
        <v>0.16539999999999999</v>
      </c>
      <c r="Q85" s="131">
        <v>0.19419998999999999</v>
      </c>
      <c r="R85" s="131">
        <v>0.2291</v>
      </c>
      <c r="S85" s="131">
        <v>0.27219999</v>
      </c>
      <c r="T85" s="131">
        <v>0.32159999</v>
      </c>
      <c r="U85" s="131">
        <v>0.37380001000000002</v>
      </c>
      <c r="V85" s="131">
        <v>0.42259999999999998</v>
      </c>
      <c r="W85" s="131">
        <v>0.46779999</v>
      </c>
      <c r="X85" s="131">
        <v>0.50510001000000004</v>
      </c>
      <c r="Y85" s="131">
        <v>0.52170002000000004</v>
      </c>
      <c r="Z85" s="131">
        <v>0.54070001999999995</v>
      </c>
      <c r="AA85" s="131">
        <v>0.55290002000000005</v>
      </c>
      <c r="AB85" s="131">
        <v>0.56559998</v>
      </c>
      <c r="AC85" s="131">
        <v>0.57999997999999997</v>
      </c>
      <c r="AD85" s="131">
        <v>0.59549998999999998</v>
      </c>
      <c r="AE85" s="131">
        <v>0.61170000000000002</v>
      </c>
      <c r="AF85" s="131">
        <v>0.625</v>
      </c>
      <c r="AG85" s="131">
        <v>0.63770002000000003</v>
      </c>
    </row>
    <row r="86" spans="1:33" x14ac:dyDescent="0.2">
      <c r="A86" s="136" t="s">
        <v>89</v>
      </c>
      <c r="B86" s="131">
        <v>9.4E-2</v>
      </c>
      <c r="C86" s="131">
        <v>9.3700000000000006E-2</v>
      </c>
      <c r="D86" s="131">
        <v>9.35E-2</v>
      </c>
      <c r="E86" s="131">
        <v>9.3299999999999994E-2</v>
      </c>
      <c r="F86" s="131">
        <v>9.3399999999999997E-2</v>
      </c>
      <c r="G86" s="131">
        <v>9.35E-2</v>
      </c>
      <c r="H86" s="131">
        <v>9.3399999999999997E-2</v>
      </c>
      <c r="I86" s="131">
        <v>9.3299999999999994E-2</v>
      </c>
      <c r="J86" s="131">
        <v>9.3399999999999997E-2</v>
      </c>
      <c r="K86" s="131">
        <v>9.35E-2</v>
      </c>
      <c r="L86" s="131">
        <v>9.3399999999999997E-2</v>
      </c>
      <c r="M86" s="131">
        <v>9.3899999999999997E-2</v>
      </c>
      <c r="N86" s="131">
        <v>9.3299999999999994E-2</v>
      </c>
      <c r="O86" s="131">
        <v>9.3200000000000005E-2</v>
      </c>
      <c r="P86" s="131">
        <v>9.3399999999999997E-2</v>
      </c>
      <c r="Q86" s="131">
        <v>9.3600000000000003E-2</v>
      </c>
      <c r="R86" s="131">
        <v>9.3799999999999994E-2</v>
      </c>
      <c r="S86" s="131">
        <v>9.3799999999999994E-2</v>
      </c>
      <c r="T86" s="131">
        <v>9.3799999999999994E-2</v>
      </c>
      <c r="U86" s="131">
        <v>9.4E-2</v>
      </c>
      <c r="V86" s="131">
        <v>9.3799999999999994E-2</v>
      </c>
      <c r="W86" s="131">
        <v>9.3899999999999997E-2</v>
      </c>
      <c r="X86" s="131">
        <v>9.4E-2</v>
      </c>
      <c r="Y86" s="131">
        <v>9.4E-2</v>
      </c>
      <c r="Z86" s="131">
        <v>9.4E-2</v>
      </c>
      <c r="AA86" s="131">
        <v>9.4E-2</v>
      </c>
      <c r="AB86" s="131">
        <v>9.4E-2</v>
      </c>
      <c r="AC86" s="131">
        <v>9.3899999999999997E-2</v>
      </c>
      <c r="AD86" s="131">
        <v>9.3799999999999994E-2</v>
      </c>
      <c r="AE86" s="131">
        <v>9.3899999999999997E-2</v>
      </c>
      <c r="AF86" s="131">
        <v>9.4299999999999995E-2</v>
      </c>
      <c r="AG86" s="131">
        <v>9.4E-2</v>
      </c>
    </row>
    <row r="87" spans="1:33" x14ac:dyDescent="0.2">
      <c r="A87" s="136" t="s">
        <v>90</v>
      </c>
      <c r="B87" s="131">
        <v>9.35E-2</v>
      </c>
      <c r="C87" s="131">
        <v>9.3600000000000003E-2</v>
      </c>
      <c r="D87" s="131">
        <v>9.35E-2</v>
      </c>
      <c r="E87" s="131">
        <v>9.3399999999999997E-2</v>
      </c>
      <c r="F87" s="131">
        <v>9.3299999999999994E-2</v>
      </c>
      <c r="G87" s="131">
        <v>9.3299999999999994E-2</v>
      </c>
      <c r="H87" s="131">
        <v>9.3299999999999994E-2</v>
      </c>
      <c r="I87" s="131">
        <v>9.3299999999999994E-2</v>
      </c>
      <c r="J87" s="131">
        <v>9.3399999999999997E-2</v>
      </c>
      <c r="K87" s="131">
        <v>9.3299999999999994E-2</v>
      </c>
      <c r="L87" s="131">
        <v>9.3200000000000005E-2</v>
      </c>
      <c r="M87" s="131">
        <v>9.2999999999999999E-2</v>
      </c>
      <c r="N87" s="131">
        <v>9.2999999999999999E-2</v>
      </c>
      <c r="O87" s="131">
        <v>9.2999999999999999E-2</v>
      </c>
      <c r="P87" s="131">
        <v>9.3200000000000005E-2</v>
      </c>
      <c r="Q87" s="131">
        <v>9.3200000000000005E-2</v>
      </c>
      <c r="R87" s="131">
        <v>9.3299999999999994E-2</v>
      </c>
      <c r="S87" s="131">
        <v>9.3399999999999997E-2</v>
      </c>
      <c r="T87" s="131">
        <v>9.3299999999999994E-2</v>
      </c>
      <c r="U87" s="131">
        <v>9.3299999999999994E-2</v>
      </c>
      <c r="V87" s="131">
        <v>9.3299999999999994E-2</v>
      </c>
      <c r="W87" s="131">
        <v>9.3399999999999997E-2</v>
      </c>
      <c r="X87" s="131">
        <v>9.3399999999999997E-2</v>
      </c>
      <c r="Y87" s="131">
        <v>9.3399999999999997E-2</v>
      </c>
      <c r="Z87" s="131">
        <v>9.3299999999999994E-2</v>
      </c>
      <c r="AA87" s="131">
        <v>9.3299999999999994E-2</v>
      </c>
      <c r="AB87" s="131">
        <v>9.3299999999999994E-2</v>
      </c>
      <c r="AC87" s="131">
        <v>9.3299999999999994E-2</v>
      </c>
      <c r="AD87" s="131">
        <v>9.3200000000000005E-2</v>
      </c>
      <c r="AE87" s="131">
        <v>9.3100000000000002E-2</v>
      </c>
      <c r="AF87" s="131">
        <v>9.3200000000000005E-2</v>
      </c>
      <c r="AG87" s="131">
        <v>9.3299999999999994E-2</v>
      </c>
    </row>
    <row r="88" spans="1:33" x14ac:dyDescent="0.2">
      <c r="A88" s="136" t="s">
        <v>91</v>
      </c>
      <c r="B88" s="131">
        <v>9.6799999999999997E-2</v>
      </c>
      <c r="C88" s="131">
        <v>9.7500000000000003E-2</v>
      </c>
      <c r="D88" s="131">
        <v>9.7100000000000006E-2</v>
      </c>
      <c r="E88" s="131">
        <v>9.7100000000000006E-2</v>
      </c>
      <c r="F88" s="131">
        <v>9.74E-2</v>
      </c>
      <c r="G88" s="131">
        <v>9.7699999999999995E-2</v>
      </c>
      <c r="H88" s="131">
        <v>9.8500000000000004E-2</v>
      </c>
      <c r="I88" s="131">
        <v>9.9500000000000005E-2</v>
      </c>
      <c r="J88" s="131">
        <v>0.10100000000000001</v>
      </c>
      <c r="K88" s="131">
        <v>0.10349999999999999</v>
      </c>
      <c r="L88" s="131">
        <v>0.1077</v>
      </c>
      <c r="M88" s="131">
        <v>0.1148</v>
      </c>
      <c r="N88" s="131">
        <v>0.12620001</v>
      </c>
      <c r="O88" s="131">
        <v>0.14390000999999999</v>
      </c>
      <c r="P88" s="131">
        <v>0.16880000000000001</v>
      </c>
      <c r="Q88" s="131">
        <v>0.1983</v>
      </c>
      <c r="R88" s="131">
        <v>0.2331</v>
      </c>
      <c r="S88" s="131">
        <v>0.27450001000000002</v>
      </c>
      <c r="T88" s="131">
        <v>0.32229998999999998</v>
      </c>
      <c r="U88" s="131">
        <v>0.37149999</v>
      </c>
      <c r="V88" s="131">
        <v>0.41819999000000002</v>
      </c>
      <c r="W88" s="131">
        <v>0.46139999999999998</v>
      </c>
      <c r="X88" s="131">
        <v>0.50230001999999996</v>
      </c>
      <c r="Y88" s="131">
        <v>0.51560002999999999</v>
      </c>
      <c r="Z88" s="131">
        <v>0.53479999</v>
      </c>
      <c r="AA88" s="131">
        <v>0.54979997999999997</v>
      </c>
      <c r="AB88" s="131">
        <v>0.56069999999999998</v>
      </c>
      <c r="AC88" s="131">
        <v>0.57300001</v>
      </c>
      <c r="AD88" s="131">
        <v>0.58780003000000003</v>
      </c>
      <c r="AE88" s="131">
        <v>0.60450000000000004</v>
      </c>
      <c r="AF88" s="131">
        <v>0.62099998999999995</v>
      </c>
      <c r="AG88" s="131">
        <v>0.63249999000000001</v>
      </c>
    </row>
    <row r="89" spans="1:33" x14ac:dyDescent="0.2">
      <c r="A89" s="136" t="s">
        <v>92</v>
      </c>
      <c r="B89" s="131">
        <v>9.7199999999999995E-2</v>
      </c>
      <c r="C89" s="131">
        <v>9.7299999999999998E-2</v>
      </c>
      <c r="D89" s="131">
        <v>9.74E-2</v>
      </c>
      <c r="E89" s="131">
        <v>9.74E-2</v>
      </c>
      <c r="F89" s="131">
        <v>9.7799999999999998E-2</v>
      </c>
      <c r="G89" s="131">
        <v>9.8100000000000007E-2</v>
      </c>
      <c r="H89" s="131">
        <v>9.8799999999999999E-2</v>
      </c>
      <c r="I89" s="131">
        <v>9.98E-2</v>
      </c>
      <c r="J89" s="131">
        <v>0.1014</v>
      </c>
      <c r="K89" s="131">
        <v>0.10390000000000001</v>
      </c>
      <c r="L89" s="131">
        <v>0.1082</v>
      </c>
      <c r="M89" s="131">
        <v>0.11550000000000001</v>
      </c>
      <c r="N89" s="131">
        <v>0.1268</v>
      </c>
      <c r="O89" s="131">
        <v>0.14460000000000001</v>
      </c>
      <c r="P89" s="131">
        <v>0.16980000000000001</v>
      </c>
      <c r="Q89" s="131">
        <v>0.19939999</v>
      </c>
      <c r="R89" s="131">
        <v>0.23469999</v>
      </c>
      <c r="S89" s="131">
        <v>0.27630000999999998</v>
      </c>
      <c r="T89" s="131">
        <v>0.3251</v>
      </c>
      <c r="U89" s="131">
        <v>0.37360000999999998</v>
      </c>
      <c r="V89" s="131">
        <v>0.42089999</v>
      </c>
      <c r="W89" s="131">
        <v>0.46460000000000001</v>
      </c>
      <c r="X89" s="131">
        <v>0.50590002999999995</v>
      </c>
      <c r="Y89" s="131">
        <v>0.52060002000000005</v>
      </c>
      <c r="Z89" s="131">
        <v>0.53839999000000005</v>
      </c>
      <c r="AA89" s="131">
        <v>0.55320000999999996</v>
      </c>
      <c r="AB89" s="131">
        <v>0.56569999000000004</v>
      </c>
      <c r="AC89" s="131">
        <v>0.57859998999999995</v>
      </c>
      <c r="AD89" s="131">
        <v>0.59299999000000003</v>
      </c>
      <c r="AE89" s="131">
        <v>0.60799998</v>
      </c>
      <c r="AF89" s="131">
        <v>0.62360000999999998</v>
      </c>
      <c r="AG89" s="131">
        <v>0.63520001999999998</v>
      </c>
    </row>
    <row r="90" spans="1:33" x14ac:dyDescent="0.2">
      <c r="A90" s="136" t="s">
        <v>93</v>
      </c>
      <c r="B90" s="131">
        <v>9.7199999999999995E-2</v>
      </c>
      <c r="C90" s="131">
        <v>9.7199999999999995E-2</v>
      </c>
      <c r="D90" s="131">
        <v>9.7299999999999998E-2</v>
      </c>
      <c r="E90" s="131">
        <v>9.7199999999999995E-2</v>
      </c>
      <c r="F90" s="131">
        <v>9.7500000000000003E-2</v>
      </c>
      <c r="G90" s="131">
        <v>9.7900000000000001E-2</v>
      </c>
      <c r="H90" s="131">
        <v>9.8599999999999993E-2</v>
      </c>
      <c r="I90" s="131">
        <v>9.9699999999999997E-2</v>
      </c>
      <c r="J90" s="131">
        <v>0.1013</v>
      </c>
      <c r="K90" s="131">
        <v>0.1045</v>
      </c>
      <c r="L90" s="131">
        <v>0.10780000000000001</v>
      </c>
      <c r="M90" s="131">
        <v>0.11509999999999999</v>
      </c>
      <c r="N90" s="131">
        <v>0.12630000999999999</v>
      </c>
      <c r="O90" s="131">
        <v>0.14419999999999999</v>
      </c>
      <c r="P90" s="131">
        <v>0.16919999999999999</v>
      </c>
      <c r="Q90" s="131">
        <v>0.19869999999999999</v>
      </c>
      <c r="R90" s="131">
        <v>0.2344</v>
      </c>
      <c r="S90" s="131">
        <v>0.27649998999999997</v>
      </c>
      <c r="T90" s="131">
        <v>0.32530000999999997</v>
      </c>
      <c r="U90" s="131">
        <v>0.37450000999999999</v>
      </c>
      <c r="V90" s="131">
        <v>0.42219999000000002</v>
      </c>
      <c r="W90" s="131">
        <v>0.46619999000000001</v>
      </c>
      <c r="X90" s="131">
        <v>0.50770002999999997</v>
      </c>
      <c r="Y90" s="131">
        <v>0.52310002</v>
      </c>
      <c r="Z90" s="131">
        <v>0.54030001000000005</v>
      </c>
      <c r="AA90" s="131">
        <v>0.55479997000000003</v>
      </c>
      <c r="AB90" s="131">
        <v>0.56720000999999998</v>
      </c>
      <c r="AC90" s="131">
        <v>0.57980001000000003</v>
      </c>
      <c r="AD90" s="131">
        <v>0.59469998000000002</v>
      </c>
      <c r="AE90" s="131">
        <v>0.61019999000000003</v>
      </c>
      <c r="AF90" s="131">
        <v>0.62580000999999996</v>
      </c>
      <c r="AG90" s="131">
        <v>0.63929999000000004</v>
      </c>
    </row>
    <row r="91" spans="1:33" x14ac:dyDescent="0.2">
      <c r="A91" s="136" t="s">
        <v>94</v>
      </c>
      <c r="B91" s="131">
        <v>9.7000000000000003E-2</v>
      </c>
      <c r="C91" s="131">
        <v>9.7100000000000006E-2</v>
      </c>
      <c r="D91" s="131">
        <v>9.7100000000000006E-2</v>
      </c>
      <c r="E91" s="131">
        <v>9.7000000000000003E-2</v>
      </c>
      <c r="F91" s="131">
        <v>9.7199999999999995E-2</v>
      </c>
      <c r="G91" s="131">
        <v>9.7600000000000006E-2</v>
      </c>
      <c r="H91" s="131">
        <v>9.8500000000000004E-2</v>
      </c>
      <c r="I91" s="131">
        <v>9.9400000000000002E-2</v>
      </c>
      <c r="J91" s="131">
        <v>0.10059999999999999</v>
      </c>
      <c r="K91" s="131">
        <v>0.1027</v>
      </c>
      <c r="L91" s="131">
        <v>0.1061</v>
      </c>
      <c r="M91" s="131">
        <v>0.11219999999999999</v>
      </c>
      <c r="N91" s="131">
        <v>0.12189999999999999</v>
      </c>
      <c r="O91" s="131">
        <v>0.13689999</v>
      </c>
      <c r="P91" s="131">
        <v>0.1595</v>
      </c>
      <c r="Q91" s="131">
        <v>0.18790001000000001</v>
      </c>
      <c r="R91" s="131">
        <v>0.22130000999999999</v>
      </c>
      <c r="S91" s="131">
        <v>0.26100001</v>
      </c>
      <c r="T91" s="131">
        <v>0.30730000000000002</v>
      </c>
      <c r="U91" s="131">
        <v>0.35460001000000002</v>
      </c>
      <c r="V91" s="131">
        <v>0.40389999999999998</v>
      </c>
      <c r="W91" s="131">
        <v>0.44650000000000001</v>
      </c>
      <c r="X91" s="131">
        <v>0.48849999999999999</v>
      </c>
      <c r="Y91" s="131">
        <v>0.51039999999999996</v>
      </c>
      <c r="Z91" s="131">
        <v>0.52859997999999997</v>
      </c>
      <c r="AA91" s="131">
        <v>0.54409998999999998</v>
      </c>
      <c r="AB91" s="131">
        <v>0.55779999000000002</v>
      </c>
      <c r="AC91" s="131">
        <v>0.56849998000000002</v>
      </c>
      <c r="AD91" s="131">
        <v>0.58200001999999995</v>
      </c>
      <c r="AE91" s="131">
        <v>0.59759998000000003</v>
      </c>
      <c r="AF91" s="131">
        <v>0.61240000000000006</v>
      </c>
      <c r="AG91" s="131">
        <v>0.62429999999999997</v>
      </c>
    </row>
    <row r="92" spans="1:33" x14ac:dyDescent="0.2">
      <c r="A92" s="136" t="s">
        <v>95</v>
      </c>
      <c r="B92" s="131">
        <v>9.7299999999999998E-2</v>
      </c>
      <c r="C92" s="131">
        <v>9.69E-2</v>
      </c>
      <c r="D92" s="131">
        <v>9.7000000000000003E-2</v>
      </c>
      <c r="E92" s="131">
        <v>9.7199999999999995E-2</v>
      </c>
      <c r="F92" s="131">
        <v>9.7500000000000003E-2</v>
      </c>
      <c r="G92" s="131">
        <v>9.7600000000000006E-2</v>
      </c>
      <c r="H92" s="131">
        <v>9.8500000000000004E-2</v>
      </c>
      <c r="I92" s="131">
        <v>9.9099999999999994E-2</v>
      </c>
      <c r="J92" s="131">
        <v>0.10050000000000001</v>
      </c>
      <c r="K92" s="131">
        <v>0.1026</v>
      </c>
      <c r="L92" s="131">
        <v>0.10630000000000001</v>
      </c>
      <c r="M92" s="131">
        <v>0.11269999999999999</v>
      </c>
      <c r="N92" s="131">
        <v>0.1227</v>
      </c>
      <c r="O92" s="131">
        <v>0.13900000000000001</v>
      </c>
      <c r="P92" s="131">
        <v>0.16249999000000001</v>
      </c>
      <c r="Q92" s="131">
        <v>0.19230000999999999</v>
      </c>
      <c r="R92" s="131">
        <v>0.22589998999999999</v>
      </c>
      <c r="S92" s="131">
        <v>0.26750001000000001</v>
      </c>
      <c r="T92" s="131">
        <v>0.31479998999999997</v>
      </c>
      <c r="U92" s="131">
        <v>0.36359998999999998</v>
      </c>
      <c r="V92" s="131">
        <v>0.41110000000000002</v>
      </c>
      <c r="W92" s="131">
        <v>0.45529999999999998</v>
      </c>
      <c r="X92" s="131">
        <v>0.49640000000000001</v>
      </c>
      <c r="Y92" s="131">
        <v>0.51400000000000001</v>
      </c>
      <c r="Z92" s="131">
        <v>0.53070002999999999</v>
      </c>
      <c r="AA92" s="131">
        <v>0.54779999999999995</v>
      </c>
      <c r="AB92" s="131">
        <v>0.55959999999999999</v>
      </c>
      <c r="AC92" s="131">
        <v>0.57179999000000004</v>
      </c>
      <c r="AD92" s="131">
        <v>0.58670001999999999</v>
      </c>
      <c r="AE92" s="131">
        <v>0.60250002000000003</v>
      </c>
      <c r="AF92" s="131">
        <v>0.61529999999999996</v>
      </c>
      <c r="AG92" s="131">
        <v>0.62840003</v>
      </c>
    </row>
    <row r="93" spans="1:33" x14ac:dyDescent="0.2">
      <c r="A93" s="136" t="s">
        <v>96</v>
      </c>
      <c r="B93" s="131">
        <v>9.6600000000000005E-2</v>
      </c>
      <c r="C93" s="131">
        <v>9.69E-2</v>
      </c>
      <c r="D93" s="131">
        <v>9.7699999999999995E-2</v>
      </c>
      <c r="E93" s="131">
        <v>9.69E-2</v>
      </c>
      <c r="F93" s="131">
        <v>9.7199999999999995E-2</v>
      </c>
      <c r="G93" s="131">
        <v>9.7699999999999995E-2</v>
      </c>
      <c r="H93" s="131">
        <v>9.8100000000000007E-2</v>
      </c>
      <c r="I93" s="131">
        <v>9.9199999999999997E-2</v>
      </c>
      <c r="J93" s="131">
        <v>0.1008</v>
      </c>
      <c r="K93" s="131">
        <v>0.10290000000000001</v>
      </c>
      <c r="L93" s="131">
        <v>0.10680000000000001</v>
      </c>
      <c r="M93" s="131">
        <v>0.1137</v>
      </c>
      <c r="N93" s="131">
        <v>0.1242</v>
      </c>
      <c r="O93" s="131">
        <v>0.14120000999999999</v>
      </c>
      <c r="P93" s="131">
        <v>0.1661</v>
      </c>
      <c r="Q93" s="131">
        <v>0.19550000000000001</v>
      </c>
      <c r="R93" s="131">
        <v>0.23089999999999999</v>
      </c>
      <c r="S93" s="131">
        <v>0.27360001</v>
      </c>
      <c r="T93" s="131">
        <v>0.32150000000000001</v>
      </c>
      <c r="U93" s="131">
        <v>0.3705</v>
      </c>
      <c r="V93" s="131">
        <v>0.41789999999999999</v>
      </c>
      <c r="W93" s="131">
        <v>0.46100000000000002</v>
      </c>
      <c r="X93" s="131">
        <v>0.50089996999999997</v>
      </c>
      <c r="Y93" s="131">
        <v>0.51310003000000004</v>
      </c>
      <c r="Z93" s="131">
        <v>0.52990000999999998</v>
      </c>
      <c r="AA93" s="131">
        <v>0.54379999999999995</v>
      </c>
      <c r="AB93" s="131">
        <v>0.55680001000000001</v>
      </c>
      <c r="AC93" s="131">
        <v>0.56959998999999994</v>
      </c>
      <c r="AD93" s="131">
        <v>0.58539998999999998</v>
      </c>
      <c r="AE93" s="131">
        <v>0.60100001000000003</v>
      </c>
      <c r="AF93" s="131">
        <v>0.61240000000000006</v>
      </c>
      <c r="AG93" s="131">
        <v>0.62529999000000003</v>
      </c>
    </row>
    <row r="94" spans="1:33" x14ac:dyDescent="0.2">
      <c r="A94" s="136" t="s">
        <v>97</v>
      </c>
      <c r="B94" s="131">
        <v>9.7799999999999998E-2</v>
      </c>
      <c r="C94" s="131">
        <v>9.8799999999999999E-2</v>
      </c>
      <c r="D94" s="131">
        <v>9.8799999999999999E-2</v>
      </c>
      <c r="E94" s="131">
        <v>9.8799999999999999E-2</v>
      </c>
      <c r="F94" s="131">
        <v>9.9000000000000005E-2</v>
      </c>
      <c r="G94" s="131">
        <v>9.9299999999999999E-2</v>
      </c>
      <c r="H94" s="131">
        <v>0.10009999999999999</v>
      </c>
      <c r="I94" s="131">
        <v>0.1009</v>
      </c>
      <c r="J94" s="131">
        <v>0.1031</v>
      </c>
      <c r="K94" s="131">
        <v>0.1047</v>
      </c>
      <c r="L94" s="131">
        <v>0.1087</v>
      </c>
      <c r="M94" s="131">
        <v>0.1152</v>
      </c>
      <c r="N94" s="131">
        <v>0.1258</v>
      </c>
      <c r="O94" s="131">
        <v>0.14210001</v>
      </c>
      <c r="P94" s="131">
        <v>0.16569999999999999</v>
      </c>
      <c r="Q94" s="131">
        <v>0.19450000000000001</v>
      </c>
      <c r="R94" s="131">
        <v>0.2291</v>
      </c>
      <c r="S94" s="131">
        <v>0.27110001</v>
      </c>
      <c r="T94" s="131">
        <v>0.32170000999999998</v>
      </c>
      <c r="U94" s="131">
        <v>0.373</v>
      </c>
      <c r="V94" s="131">
        <v>0.42609998999999998</v>
      </c>
      <c r="W94" s="131">
        <v>0.47150001000000002</v>
      </c>
      <c r="X94" s="131">
        <v>0.51470000000000005</v>
      </c>
      <c r="Y94" s="131">
        <v>0.53259999000000002</v>
      </c>
      <c r="Z94" s="131">
        <v>0.55169999999999997</v>
      </c>
      <c r="AA94" s="131">
        <v>0.56590003</v>
      </c>
      <c r="AB94" s="131">
        <v>0.57840002000000001</v>
      </c>
      <c r="AC94" s="131">
        <v>0.59130000999999999</v>
      </c>
      <c r="AD94" s="131">
        <v>0.60799998</v>
      </c>
      <c r="AE94" s="131">
        <v>0.62489998000000002</v>
      </c>
      <c r="AF94" s="131">
        <v>0.63620001000000004</v>
      </c>
      <c r="AG94" s="131">
        <v>0.64880002000000003</v>
      </c>
    </row>
    <row r="95" spans="1:33" x14ac:dyDescent="0.2">
      <c r="A95" s="136" t="s">
        <v>98</v>
      </c>
      <c r="B95" s="131">
        <v>9.7900000000000001E-2</v>
      </c>
      <c r="C95" s="131">
        <v>9.8000000000000004E-2</v>
      </c>
      <c r="D95" s="131">
        <v>9.8000000000000004E-2</v>
      </c>
      <c r="E95" s="131">
        <v>9.7799999999999998E-2</v>
      </c>
      <c r="F95" s="131">
        <v>9.8100000000000007E-2</v>
      </c>
      <c r="G95" s="131">
        <v>9.8500000000000004E-2</v>
      </c>
      <c r="H95" s="131">
        <v>9.9199999999999997E-2</v>
      </c>
      <c r="I95" s="131">
        <v>0.1</v>
      </c>
      <c r="J95" s="131">
        <v>0.1013</v>
      </c>
      <c r="K95" s="131">
        <v>0.1036</v>
      </c>
      <c r="L95" s="131">
        <v>0.1074</v>
      </c>
      <c r="M95" s="131">
        <v>0.11459999999999999</v>
      </c>
      <c r="N95" s="131">
        <v>0.1246</v>
      </c>
      <c r="O95" s="131">
        <v>0.1409</v>
      </c>
      <c r="P95" s="131">
        <v>0.1646</v>
      </c>
      <c r="Q95" s="131">
        <v>0.19320001000000001</v>
      </c>
      <c r="R95" s="131">
        <v>0.22720000000000001</v>
      </c>
      <c r="S95" s="131">
        <v>0.26939999999999997</v>
      </c>
      <c r="T95" s="131">
        <v>0.31889999000000002</v>
      </c>
      <c r="U95" s="131">
        <v>0.37020001000000002</v>
      </c>
      <c r="V95" s="131">
        <v>0.42280000000000001</v>
      </c>
      <c r="W95" s="131">
        <v>0.46880000999999999</v>
      </c>
      <c r="X95" s="131">
        <v>0.51230001000000003</v>
      </c>
      <c r="Y95" s="131">
        <v>0.52969997999999996</v>
      </c>
      <c r="Z95" s="131">
        <v>0.54930000999999995</v>
      </c>
      <c r="AA95" s="131">
        <v>0.56230002999999995</v>
      </c>
      <c r="AB95" s="131">
        <v>0.57620000999999998</v>
      </c>
      <c r="AC95" s="131">
        <v>0.58850002000000001</v>
      </c>
      <c r="AD95" s="131">
        <v>0.60519999000000002</v>
      </c>
      <c r="AE95" s="131">
        <v>0.62080002000000001</v>
      </c>
      <c r="AF95" s="131">
        <v>0.63410001999999999</v>
      </c>
      <c r="AG95" s="131">
        <v>0.64539999000000003</v>
      </c>
    </row>
    <row r="96" spans="1:33" x14ac:dyDescent="0.2">
      <c r="A96" s="136" t="s">
        <v>99</v>
      </c>
      <c r="B96" s="131">
        <v>9.74E-2</v>
      </c>
      <c r="C96" s="131">
        <v>9.74E-2</v>
      </c>
      <c r="D96" s="131">
        <v>9.74E-2</v>
      </c>
      <c r="E96" s="131">
        <v>9.7299999999999998E-2</v>
      </c>
      <c r="F96" s="131">
        <v>9.7500000000000003E-2</v>
      </c>
      <c r="G96" s="131">
        <v>9.7900000000000001E-2</v>
      </c>
      <c r="H96" s="131">
        <v>9.8799999999999999E-2</v>
      </c>
      <c r="I96" s="131">
        <v>9.9400000000000002E-2</v>
      </c>
      <c r="J96" s="131">
        <v>0.10059999999999999</v>
      </c>
      <c r="K96" s="131">
        <v>0.1028</v>
      </c>
      <c r="L96" s="131">
        <v>0.10639999999999999</v>
      </c>
      <c r="M96" s="131">
        <v>0.1124</v>
      </c>
      <c r="N96" s="131">
        <v>0.1222</v>
      </c>
      <c r="O96" s="131">
        <v>0.13719999999999999</v>
      </c>
      <c r="P96" s="131">
        <v>0.15959999999999999</v>
      </c>
      <c r="Q96" s="131">
        <v>0.1875</v>
      </c>
      <c r="R96" s="131">
        <v>0.2203</v>
      </c>
      <c r="S96" s="131">
        <v>0.26079999999999998</v>
      </c>
      <c r="T96" s="131">
        <v>0.30899999</v>
      </c>
      <c r="U96" s="131">
        <v>0.35870001000000001</v>
      </c>
      <c r="V96" s="131">
        <v>0.41029999</v>
      </c>
      <c r="W96" s="131">
        <v>0.45429998999999999</v>
      </c>
      <c r="X96" s="131">
        <v>0.49739999000000001</v>
      </c>
      <c r="Y96" s="131">
        <v>0.51550001000000001</v>
      </c>
      <c r="Z96" s="131">
        <v>0.53460001999999995</v>
      </c>
      <c r="AA96" s="131">
        <v>0.54890000999999999</v>
      </c>
      <c r="AB96" s="131">
        <v>0.56160003000000003</v>
      </c>
      <c r="AC96" s="131">
        <v>0.57489997000000004</v>
      </c>
      <c r="AD96" s="131">
        <v>0.58899999000000003</v>
      </c>
      <c r="AE96" s="131">
        <v>0.60650002999999997</v>
      </c>
      <c r="AF96" s="131">
        <v>0.61909997000000005</v>
      </c>
      <c r="AG96" s="131">
        <v>0.63200003000000005</v>
      </c>
    </row>
    <row r="97" spans="1:33" x14ac:dyDescent="0.2">
      <c r="A97" s="136" t="s">
        <v>100</v>
      </c>
      <c r="B97" s="131">
        <v>9.7600000000000006E-2</v>
      </c>
      <c r="C97" s="131">
        <v>9.8000000000000004E-2</v>
      </c>
      <c r="D97" s="131">
        <v>9.7799999999999998E-2</v>
      </c>
      <c r="E97" s="131">
        <v>9.7500000000000003E-2</v>
      </c>
      <c r="F97" s="131">
        <v>9.8299999999999998E-2</v>
      </c>
      <c r="G97" s="131">
        <v>9.8400000000000001E-2</v>
      </c>
      <c r="H97" s="131">
        <v>9.9000000000000005E-2</v>
      </c>
      <c r="I97" s="131">
        <v>0.10009999999999999</v>
      </c>
      <c r="J97" s="131">
        <v>0.1017</v>
      </c>
      <c r="K97" s="131">
        <v>0.1042</v>
      </c>
      <c r="L97" s="131">
        <v>0.1082</v>
      </c>
      <c r="M97" s="131">
        <v>0.1152</v>
      </c>
      <c r="N97" s="131">
        <v>0.12630000999999999</v>
      </c>
      <c r="O97" s="131">
        <v>0.14380001000000001</v>
      </c>
      <c r="P97" s="131">
        <v>0.16859999000000001</v>
      </c>
      <c r="Q97" s="131">
        <v>0.19859999</v>
      </c>
      <c r="R97" s="131">
        <v>0.2341</v>
      </c>
      <c r="S97" s="131">
        <v>0.27829999</v>
      </c>
      <c r="T97" s="131">
        <v>0.32900000000000001</v>
      </c>
      <c r="U97" s="131">
        <v>0.38060000999999999</v>
      </c>
      <c r="V97" s="131">
        <v>0.43079999000000002</v>
      </c>
      <c r="W97" s="131">
        <v>0.47549998999999998</v>
      </c>
      <c r="X97" s="131">
        <v>0.51219999999999999</v>
      </c>
      <c r="Y97" s="131">
        <v>0.52960001999999995</v>
      </c>
      <c r="Z97" s="131">
        <v>0.54650003000000003</v>
      </c>
      <c r="AA97" s="131">
        <v>0.56010002000000003</v>
      </c>
      <c r="AB97" s="131">
        <v>0.57239996999999998</v>
      </c>
      <c r="AC97" s="131">
        <v>0.58609997999999996</v>
      </c>
      <c r="AD97" s="131">
        <v>0.60170000999999995</v>
      </c>
      <c r="AE97" s="131">
        <v>0.62019997999999998</v>
      </c>
      <c r="AF97" s="131">
        <v>0.63249999000000001</v>
      </c>
      <c r="AG97" s="131">
        <v>0.64459997000000002</v>
      </c>
    </row>
    <row r="98" spans="1:33" x14ac:dyDescent="0.2">
      <c r="A98" s="136" t="s">
        <v>101</v>
      </c>
      <c r="B98" s="131">
        <v>9.4799999999999995E-2</v>
      </c>
      <c r="C98" s="131">
        <v>9.5100000000000004E-2</v>
      </c>
      <c r="D98" s="131">
        <v>9.4700000000000006E-2</v>
      </c>
      <c r="E98" s="131">
        <v>9.4600000000000004E-2</v>
      </c>
      <c r="F98" s="131">
        <v>9.4399999999999998E-2</v>
      </c>
      <c r="G98" s="131">
        <v>9.4100000000000003E-2</v>
      </c>
      <c r="H98" s="131">
        <v>9.4299999999999995E-2</v>
      </c>
      <c r="I98" s="131">
        <v>9.4299999999999995E-2</v>
      </c>
      <c r="J98" s="131">
        <v>9.4100000000000003E-2</v>
      </c>
      <c r="K98" s="131">
        <v>9.4100000000000003E-2</v>
      </c>
      <c r="L98" s="131">
        <v>9.4E-2</v>
      </c>
      <c r="M98" s="131">
        <v>9.3700000000000006E-2</v>
      </c>
      <c r="N98" s="131">
        <v>9.3700000000000006E-2</v>
      </c>
      <c r="O98" s="131">
        <v>9.3700000000000006E-2</v>
      </c>
      <c r="P98" s="131">
        <v>9.4100000000000003E-2</v>
      </c>
      <c r="Q98" s="131">
        <v>9.4100000000000003E-2</v>
      </c>
      <c r="R98" s="131">
        <v>9.4200000000000006E-2</v>
      </c>
      <c r="S98" s="131">
        <v>9.4399999999999998E-2</v>
      </c>
      <c r="T98" s="131">
        <v>9.4200000000000006E-2</v>
      </c>
      <c r="U98" s="131">
        <v>9.4500000000000001E-2</v>
      </c>
      <c r="V98" s="131">
        <v>9.4299999999999995E-2</v>
      </c>
      <c r="W98" s="131">
        <v>9.4500000000000001E-2</v>
      </c>
      <c r="X98" s="131">
        <v>9.4399999999999998E-2</v>
      </c>
      <c r="Y98" s="131">
        <v>9.4500000000000001E-2</v>
      </c>
      <c r="Z98" s="131">
        <v>9.4600000000000004E-2</v>
      </c>
      <c r="AA98" s="131">
        <v>9.4399999999999998E-2</v>
      </c>
      <c r="AB98" s="131">
        <v>9.4399999999999998E-2</v>
      </c>
      <c r="AC98" s="131">
        <v>9.4399999999999998E-2</v>
      </c>
      <c r="AD98" s="131">
        <v>9.4200000000000006E-2</v>
      </c>
      <c r="AE98" s="131">
        <v>9.4100000000000003E-2</v>
      </c>
      <c r="AF98" s="131">
        <v>9.4200000000000006E-2</v>
      </c>
      <c r="AG98" s="131">
        <v>9.4500000000000001E-2</v>
      </c>
    </row>
    <row r="99" spans="1:33" x14ac:dyDescent="0.2">
      <c r="A99" s="136" t="s">
        <v>102</v>
      </c>
      <c r="B99" s="131">
        <v>9.3799999999999994E-2</v>
      </c>
      <c r="C99" s="131">
        <v>9.3799999999999994E-2</v>
      </c>
      <c r="D99" s="131">
        <v>9.3700000000000006E-2</v>
      </c>
      <c r="E99" s="131">
        <v>9.35E-2</v>
      </c>
      <c r="F99" s="131">
        <v>9.35E-2</v>
      </c>
      <c r="G99" s="131">
        <v>9.3399999999999997E-2</v>
      </c>
      <c r="H99" s="131">
        <v>9.3399999999999997E-2</v>
      </c>
      <c r="I99" s="131">
        <v>9.3299999999999994E-2</v>
      </c>
      <c r="J99" s="131">
        <v>9.3299999999999994E-2</v>
      </c>
      <c r="K99" s="131">
        <v>9.3299999999999994E-2</v>
      </c>
      <c r="L99" s="131">
        <v>9.3200000000000005E-2</v>
      </c>
      <c r="M99" s="131">
        <v>9.2999999999999999E-2</v>
      </c>
      <c r="N99" s="131">
        <v>9.2999999999999999E-2</v>
      </c>
      <c r="O99" s="131">
        <v>9.2899999999999996E-2</v>
      </c>
      <c r="P99" s="131">
        <v>9.3200000000000005E-2</v>
      </c>
      <c r="Q99" s="131">
        <v>9.3200000000000005E-2</v>
      </c>
      <c r="R99" s="131">
        <v>9.3299999999999994E-2</v>
      </c>
      <c r="S99" s="131">
        <v>9.3200000000000005E-2</v>
      </c>
      <c r="T99" s="131">
        <v>9.3200000000000005E-2</v>
      </c>
      <c r="U99" s="131">
        <v>9.3299999999999994E-2</v>
      </c>
      <c r="V99" s="131">
        <v>9.3200000000000005E-2</v>
      </c>
      <c r="W99" s="131">
        <v>9.3299999999999994E-2</v>
      </c>
      <c r="X99" s="131">
        <v>9.3299999999999994E-2</v>
      </c>
      <c r="Y99" s="131">
        <v>9.3399999999999997E-2</v>
      </c>
      <c r="Z99" s="131">
        <v>9.3299999999999994E-2</v>
      </c>
      <c r="AA99" s="131">
        <v>9.3299999999999994E-2</v>
      </c>
      <c r="AB99" s="131">
        <v>9.3299999999999994E-2</v>
      </c>
      <c r="AC99" s="131">
        <v>9.2999999999999999E-2</v>
      </c>
      <c r="AD99" s="131">
        <v>9.3100000000000002E-2</v>
      </c>
      <c r="AE99" s="131">
        <v>9.3600000000000003E-2</v>
      </c>
      <c r="AF99" s="131">
        <v>9.2999999999999999E-2</v>
      </c>
      <c r="AG99" s="131">
        <v>9.3299999999999994E-2</v>
      </c>
    </row>
    <row r="100" spans="1:33" x14ac:dyDescent="0.2">
      <c r="A100" s="136" t="s">
        <v>103</v>
      </c>
      <c r="B100" s="131">
        <v>9.7199999999999995E-2</v>
      </c>
      <c r="C100" s="131">
        <v>9.7299999999999998E-2</v>
      </c>
      <c r="D100" s="131">
        <v>9.7100000000000006E-2</v>
      </c>
      <c r="E100" s="131">
        <v>9.7100000000000006E-2</v>
      </c>
      <c r="F100" s="131">
        <v>9.74E-2</v>
      </c>
      <c r="G100" s="131">
        <v>9.7900000000000001E-2</v>
      </c>
      <c r="H100" s="131">
        <v>9.8900000000000002E-2</v>
      </c>
      <c r="I100" s="131">
        <v>0.1002</v>
      </c>
      <c r="J100" s="131">
        <v>0.1024</v>
      </c>
      <c r="K100" s="131">
        <v>0.1056</v>
      </c>
      <c r="L100" s="131">
        <v>0.1114</v>
      </c>
      <c r="M100" s="131">
        <v>0.1202</v>
      </c>
      <c r="N100" s="131">
        <v>0.1348</v>
      </c>
      <c r="O100" s="131">
        <v>0.15379999999999999</v>
      </c>
      <c r="P100" s="131">
        <v>0.17849999999999999</v>
      </c>
      <c r="Q100" s="131">
        <v>0.20499999999999999</v>
      </c>
      <c r="R100" s="131">
        <v>0.23639999</v>
      </c>
      <c r="S100" s="131">
        <v>0.27309999000000001</v>
      </c>
      <c r="T100" s="131">
        <v>0.31169998999999998</v>
      </c>
      <c r="U100" s="131">
        <v>0.35260001000000002</v>
      </c>
      <c r="V100" s="131">
        <v>0.39899999000000003</v>
      </c>
      <c r="W100" s="131">
        <v>0.4461</v>
      </c>
      <c r="X100" s="131">
        <v>0.49259998999999999</v>
      </c>
      <c r="Y100" s="131">
        <v>0.52899998000000004</v>
      </c>
      <c r="Z100" s="131">
        <v>0.55459999999999998</v>
      </c>
      <c r="AA100" s="131">
        <v>0.56770003000000002</v>
      </c>
      <c r="AB100" s="131">
        <v>0.58359998000000002</v>
      </c>
      <c r="AC100" s="131">
        <v>0.59579998000000001</v>
      </c>
      <c r="AD100" s="131">
        <v>0.60650002999999997</v>
      </c>
      <c r="AE100" s="131">
        <v>0.61979996999999998</v>
      </c>
      <c r="AF100" s="131">
        <v>0.63410001999999999</v>
      </c>
      <c r="AG100" s="131">
        <v>0.64939999999999998</v>
      </c>
    </row>
    <row r="101" spans="1:33" x14ac:dyDescent="0.2">
      <c r="A101" s="136" t="s">
        <v>104</v>
      </c>
      <c r="B101" s="131">
        <v>9.7199999999999995E-2</v>
      </c>
      <c r="C101" s="131">
        <v>9.7500000000000003E-2</v>
      </c>
      <c r="D101" s="131">
        <v>9.7199999999999995E-2</v>
      </c>
      <c r="E101" s="131">
        <v>9.7199999999999995E-2</v>
      </c>
      <c r="F101" s="131">
        <v>9.7699999999999995E-2</v>
      </c>
      <c r="G101" s="131">
        <v>9.8299999999999998E-2</v>
      </c>
      <c r="H101" s="131">
        <v>9.9400000000000002E-2</v>
      </c>
      <c r="I101" s="131">
        <v>0.10100000000000001</v>
      </c>
      <c r="J101" s="131">
        <v>0.1032</v>
      </c>
      <c r="K101" s="131">
        <v>0.10680000000000001</v>
      </c>
      <c r="L101" s="131">
        <v>0.11310000000000001</v>
      </c>
      <c r="M101" s="131">
        <v>0.1234</v>
      </c>
      <c r="N101" s="131">
        <v>0.1381</v>
      </c>
      <c r="O101" s="131">
        <v>0.15820000000000001</v>
      </c>
      <c r="P101" s="131">
        <v>0.1837</v>
      </c>
      <c r="Q101" s="131">
        <v>0.21160001000000001</v>
      </c>
      <c r="R101" s="131">
        <v>0.2447</v>
      </c>
      <c r="S101" s="131">
        <v>0.28279999</v>
      </c>
      <c r="T101" s="131">
        <v>0.32329999999999998</v>
      </c>
      <c r="U101" s="131">
        <v>0.36669998999999998</v>
      </c>
      <c r="V101" s="131">
        <v>0.41299998999999998</v>
      </c>
      <c r="W101" s="131">
        <v>0.46139999999999998</v>
      </c>
      <c r="X101" s="131">
        <v>0.50800002</v>
      </c>
      <c r="Y101" s="131">
        <v>0.54549998</v>
      </c>
      <c r="Z101" s="131">
        <v>0.57059996999999996</v>
      </c>
      <c r="AA101" s="131">
        <v>0.58810001999999995</v>
      </c>
      <c r="AB101" s="131">
        <v>0.60170000999999995</v>
      </c>
      <c r="AC101" s="131">
        <v>0.61390001000000005</v>
      </c>
      <c r="AD101" s="131">
        <v>0.625</v>
      </c>
      <c r="AE101" s="131">
        <v>0.63840001999999996</v>
      </c>
      <c r="AF101" s="131">
        <v>0.65280002000000004</v>
      </c>
      <c r="AG101" s="131">
        <v>0.66920000000000002</v>
      </c>
    </row>
    <row r="102" spans="1:33" x14ac:dyDescent="0.2">
      <c r="A102" s="136" t="s">
        <v>105</v>
      </c>
      <c r="B102" s="131">
        <v>9.8100000000000007E-2</v>
      </c>
      <c r="C102" s="131">
        <v>9.8400000000000001E-2</v>
      </c>
      <c r="D102" s="131">
        <v>9.8400000000000001E-2</v>
      </c>
      <c r="E102" s="131">
        <v>9.8400000000000001E-2</v>
      </c>
      <c r="F102" s="131">
        <v>9.8699999999999996E-2</v>
      </c>
      <c r="G102" s="131">
        <v>9.9500000000000005E-2</v>
      </c>
      <c r="H102" s="131">
        <v>0.1002</v>
      </c>
      <c r="I102" s="131">
        <v>0.1018</v>
      </c>
      <c r="J102" s="131">
        <v>0.10390000000000001</v>
      </c>
      <c r="K102" s="131">
        <v>0.1075</v>
      </c>
      <c r="L102" s="131">
        <v>0.1137</v>
      </c>
      <c r="M102" s="131">
        <v>0.1232</v>
      </c>
      <c r="N102" s="131">
        <v>0.13789999</v>
      </c>
      <c r="O102" s="131">
        <v>0.15800001</v>
      </c>
      <c r="P102" s="131">
        <v>0.18310000000000001</v>
      </c>
      <c r="Q102" s="131">
        <v>0.2112</v>
      </c>
      <c r="R102" s="131">
        <v>0.24349999</v>
      </c>
      <c r="S102" s="131">
        <v>0.28110000000000002</v>
      </c>
      <c r="T102" s="131">
        <v>0.32170000999999998</v>
      </c>
      <c r="U102" s="131">
        <v>0.36449999</v>
      </c>
      <c r="V102" s="131">
        <v>0.41159999000000003</v>
      </c>
      <c r="W102" s="131">
        <v>0.46149999000000003</v>
      </c>
      <c r="X102" s="131">
        <v>0.50800002</v>
      </c>
      <c r="Y102" s="131">
        <v>0.54699998999999999</v>
      </c>
      <c r="Z102" s="131">
        <v>0.57469999999999999</v>
      </c>
      <c r="AA102" s="131">
        <v>0.58890003000000002</v>
      </c>
      <c r="AB102" s="131">
        <v>0.60610001999999996</v>
      </c>
      <c r="AC102" s="131">
        <v>0.61669998999999998</v>
      </c>
      <c r="AD102" s="131">
        <v>0.62870002000000003</v>
      </c>
      <c r="AE102" s="131">
        <v>0.64190000000000003</v>
      </c>
      <c r="AF102" s="131">
        <v>0.65600002000000002</v>
      </c>
      <c r="AG102" s="131">
        <v>0.67220002000000001</v>
      </c>
    </row>
    <row r="103" spans="1:33" x14ac:dyDescent="0.2">
      <c r="A103" s="136" t="s">
        <v>106</v>
      </c>
      <c r="B103" s="131">
        <v>0.10100000000000001</v>
      </c>
      <c r="C103" s="131">
        <v>0.1031</v>
      </c>
      <c r="D103" s="131">
        <v>0.10100000000000001</v>
      </c>
      <c r="E103" s="131">
        <v>0.1009</v>
      </c>
      <c r="F103" s="131">
        <v>0.1021</v>
      </c>
      <c r="G103" s="131">
        <v>0.1032</v>
      </c>
      <c r="H103" s="131">
        <v>0.10539999999999999</v>
      </c>
      <c r="I103" s="131">
        <v>0.109</v>
      </c>
      <c r="J103" s="131">
        <v>0.1148</v>
      </c>
      <c r="K103" s="131">
        <v>0.12280000000000001</v>
      </c>
      <c r="L103" s="131">
        <v>0.13569999999999999</v>
      </c>
      <c r="M103" s="131">
        <v>0.15340000000000001</v>
      </c>
      <c r="N103" s="131">
        <v>0.17610000000000001</v>
      </c>
      <c r="O103" s="131">
        <v>0.20100001000000001</v>
      </c>
      <c r="P103" s="131">
        <v>0.22950000000000001</v>
      </c>
      <c r="Q103" s="131">
        <v>0.26359999000000001</v>
      </c>
      <c r="R103" s="131">
        <v>0.30170000000000002</v>
      </c>
      <c r="S103" s="131">
        <v>0.34240000999999998</v>
      </c>
      <c r="T103" s="131">
        <v>0.38540000000000002</v>
      </c>
      <c r="U103" s="131">
        <v>0.43059998999999999</v>
      </c>
      <c r="V103" s="131">
        <v>0.47279999</v>
      </c>
      <c r="W103" s="131">
        <v>0.51039999999999996</v>
      </c>
      <c r="X103" s="131">
        <v>0.53829998000000001</v>
      </c>
      <c r="Y103" s="131">
        <v>0.55159997999999999</v>
      </c>
      <c r="Z103" s="131">
        <v>0.56300002000000005</v>
      </c>
      <c r="AA103" s="131">
        <v>0.57480001000000003</v>
      </c>
      <c r="AB103" s="131">
        <v>0.58700001000000002</v>
      </c>
      <c r="AC103" s="131">
        <v>0.59979998999999995</v>
      </c>
      <c r="AD103" s="131">
        <v>0.61419999999999997</v>
      </c>
      <c r="AE103" s="131">
        <v>0.62919997999999999</v>
      </c>
      <c r="AF103" s="131">
        <v>0.63849997999999997</v>
      </c>
      <c r="AG103" s="131">
        <v>0.64579998999999999</v>
      </c>
    </row>
    <row r="104" spans="1:33" x14ac:dyDescent="0.2">
      <c r="A104" s="136" t="s">
        <v>107</v>
      </c>
      <c r="B104" s="131">
        <v>0.1002</v>
      </c>
      <c r="C104" s="131">
        <v>0.10050000000000001</v>
      </c>
      <c r="D104" s="131">
        <v>0.1004</v>
      </c>
      <c r="E104" s="131">
        <v>0.1003</v>
      </c>
      <c r="F104" s="131">
        <v>0.1012</v>
      </c>
      <c r="G104" s="131">
        <v>0.1024</v>
      </c>
      <c r="H104" s="131">
        <v>0.1048</v>
      </c>
      <c r="I104" s="131">
        <v>0.1081</v>
      </c>
      <c r="J104" s="131">
        <v>0.1144</v>
      </c>
      <c r="K104" s="131">
        <v>0.12239999999999999</v>
      </c>
      <c r="L104" s="131">
        <v>0.13590000999999999</v>
      </c>
      <c r="M104" s="131">
        <v>0.15360001000000001</v>
      </c>
      <c r="N104" s="131">
        <v>0.17659999000000001</v>
      </c>
      <c r="O104" s="131">
        <v>0.20119999</v>
      </c>
      <c r="P104" s="131">
        <v>0.23130000000000001</v>
      </c>
      <c r="Q104" s="131">
        <v>0.26609999000000001</v>
      </c>
      <c r="R104" s="131">
        <v>0.30450000999999999</v>
      </c>
      <c r="S104" s="131">
        <v>0.34610000000000002</v>
      </c>
      <c r="T104" s="131">
        <v>0.38999999000000002</v>
      </c>
      <c r="U104" s="131">
        <v>0.43480000000000002</v>
      </c>
      <c r="V104" s="131">
        <v>0.47549998999999998</v>
      </c>
      <c r="W104" s="131">
        <v>0.51259999999999994</v>
      </c>
      <c r="X104" s="131">
        <v>0.53579997999999995</v>
      </c>
      <c r="Y104" s="131">
        <v>0.54990000000000006</v>
      </c>
      <c r="Z104" s="131">
        <v>0.56059998</v>
      </c>
      <c r="AA104" s="131">
        <v>0.57139998999999997</v>
      </c>
      <c r="AB104" s="131">
        <v>0.58399999000000002</v>
      </c>
      <c r="AC104" s="131">
        <v>0.59660000000000002</v>
      </c>
      <c r="AD104" s="131">
        <v>0.61129999000000002</v>
      </c>
      <c r="AE104" s="131">
        <v>0.62470000999999997</v>
      </c>
      <c r="AF104" s="131">
        <v>0.63330001000000002</v>
      </c>
      <c r="AG104" s="131">
        <v>0.64080000000000004</v>
      </c>
    </row>
    <row r="105" spans="1:33" x14ac:dyDescent="0.2">
      <c r="A105" s="136" t="s">
        <v>108</v>
      </c>
      <c r="B105" s="131">
        <v>0.1</v>
      </c>
      <c r="C105" s="131">
        <v>0.10050000000000001</v>
      </c>
      <c r="D105" s="131">
        <v>0.10050000000000001</v>
      </c>
      <c r="E105" s="131">
        <v>0.1004</v>
      </c>
      <c r="F105" s="131">
        <v>0.10150000000000001</v>
      </c>
      <c r="G105" s="131">
        <v>0.1028</v>
      </c>
      <c r="H105" s="131">
        <v>0.10489999999999999</v>
      </c>
      <c r="I105" s="131">
        <v>0.1091</v>
      </c>
      <c r="J105" s="131">
        <v>0.11459999999999999</v>
      </c>
      <c r="K105" s="131">
        <v>0.123</v>
      </c>
      <c r="L105" s="131">
        <v>0.1366</v>
      </c>
      <c r="M105" s="131">
        <v>0.15409999999999999</v>
      </c>
      <c r="N105" s="131">
        <v>0.17810000000000001</v>
      </c>
      <c r="O105" s="131">
        <v>0.20180000000000001</v>
      </c>
      <c r="P105" s="131">
        <v>0.23190000999999999</v>
      </c>
      <c r="Q105" s="131">
        <v>0.26579999999999998</v>
      </c>
      <c r="R105" s="131">
        <v>0.30410000999999998</v>
      </c>
      <c r="S105" s="131">
        <v>0.34599998999999998</v>
      </c>
      <c r="T105" s="131">
        <v>0.38940001000000002</v>
      </c>
      <c r="U105" s="131">
        <v>0.43569999999999998</v>
      </c>
      <c r="V105" s="131">
        <v>0.47479999000000001</v>
      </c>
      <c r="W105" s="131">
        <v>0.50959997999999995</v>
      </c>
      <c r="X105" s="131">
        <v>0.52899998000000004</v>
      </c>
      <c r="Y105" s="131">
        <v>0.54200000000000004</v>
      </c>
      <c r="Z105" s="131">
        <v>0.55309998999999999</v>
      </c>
      <c r="AA105" s="131">
        <v>0.56320000000000003</v>
      </c>
      <c r="AB105" s="131">
        <v>0.57590001999999996</v>
      </c>
      <c r="AC105" s="131">
        <v>0.58899999000000003</v>
      </c>
      <c r="AD105" s="131">
        <v>0.60170000999999995</v>
      </c>
      <c r="AE105" s="131">
        <v>0.61479998000000002</v>
      </c>
      <c r="AF105" s="131">
        <v>0.62330001999999995</v>
      </c>
      <c r="AG105" s="131">
        <v>0.63150001</v>
      </c>
    </row>
    <row r="106" spans="1:33" x14ac:dyDescent="0.2">
      <c r="A106" s="136" t="s">
        <v>109</v>
      </c>
      <c r="B106" s="131">
        <v>9.8799999999999999E-2</v>
      </c>
      <c r="C106" s="131">
        <v>9.9000000000000005E-2</v>
      </c>
      <c r="D106" s="131">
        <v>9.8900000000000002E-2</v>
      </c>
      <c r="E106" s="131">
        <v>9.8799999999999999E-2</v>
      </c>
      <c r="F106" s="131">
        <v>9.9400000000000002E-2</v>
      </c>
      <c r="G106" s="131">
        <v>0.1004</v>
      </c>
      <c r="H106" s="131">
        <v>0.1018</v>
      </c>
      <c r="I106" s="131">
        <v>0.1042</v>
      </c>
      <c r="J106" s="131">
        <v>0.1079</v>
      </c>
      <c r="K106" s="131">
        <v>0.114</v>
      </c>
      <c r="L106" s="131">
        <v>0.12379999999999999</v>
      </c>
      <c r="M106" s="131">
        <v>0.13880000000000001</v>
      </c>
      <c r="N106" s="131">
        <v>0.15920000000000001</v>
      </c>
      <c r="O106" s="131">
        <v>0.1837</v>
      </c>
      <c r="P106" s="131">
        <v>0.2102</v>
      </c>
      <c r="Q106" s="131">
        <v>0.24049999999999999</v>
      </c>
      <c r="R106" s="131">
        <v>0.27649998999999997</v>
      </c>
      <c r="S106" s="131">
        <v>0.31420000999999997</v>
      </c>
      <c r="T106" s="131">
        <v>0.35489999999999999</v>
      </c>
      <c r="U106" s="131">
        <v>0.39680000999999998</v>
      </c>
      <c r="V106" s="131">
        <v>0.44080001000000002</v>
      </c>
      <c r="W106" s="131">
        <v>0.48080000000000001</v>
      </c>
      <c r="X106" s="131">
        <v>0.51829999999999998</v>
      </c>
      <c r="Y106" s="131">
        <v>0.54379999999999995</v>
      </c>
      <c r="Z106" s="131">
        <v>0.55599999</v>
      </c>
      <c r="AA106" s="131">
        <v>0.56730002000000002</v>
      </c>
      <c r="AB106" s="131">
        <v>0.57770001999999998</v>
      </c>
      <c r="AC106" s="131">
        <v>0.58920002000000005</v>
      </c>
      <c r="AD106" s="131">
        <v>0.60350000999999998</v>
      </c>
      <c r="AE106" s="131">
        <v>0.61760002000000003</v>
      </c>
      <c r="AF106" s="131">
        <v>0.63160002000000004</v>
      </c>
      <c r="AG106" s="131">
        <v>0.64410000999999995</v>
      </c>
    </row>
    <row r="107" spans="1:33" x14ac:dyDescent="0.2">
      <c r="A107" s="136" t="s">
        <v>110</v>
      </c>
      <c r="B107" s="131">
        <v>9.8900000000000002E-2</v>
      </c>
      <c r="C107" s="131">
        <v>9.9000000000000005E-2</v>
      </c>
      <c r="D107" s="131">
        <v>9.9299999999999999E-2</v>
      </c>
      <c r="E107" s="131">
        <v>9.9400000000000002E-2</v>
      </c>
      <c r="F107" s="131">
        <v>9.9699999999999997E-2</v>
      </c>
      <c r="G107" s="131">
        <v>0.10050000000000001</v>
      </c>
      <c r="H107" s="131">
        <v>0.1021</v>
      </c>
      <c r="I107" s="131">
        <v>0.10440000000000001</v>
      </c>
      <c r="J107" s="131">
        <v>0.10829999999999999</v>
      </c>
      <c r="K107" s="131">
        <v>0.1143</v>
      </c>
      <c r="L107" s="131">
        <v>0.1244</v>
      </c>
      <c r="M107" s="131">
        <v>0.13980000000000001</v>
      </c>
      <c r="N107" s="131">
        <v>0.16039999999999999</v>
      </c>
      <c r="O107" s="131">
        <v>0.18490000000000001</v>
      </c>
      <c r="P107" s="131">
        <v>0.21199999999999999</v>
      </c>
      <c r="Q107" s="131">
        <v>0.24250000999999999</v>
      </c>
      <c r="R107" s="131">
        <v>0.2782</v>
      </c>
      <c r="S107" s="131">
        <v>0.31659999</v>
      </c>
      <c r="T107" s="131">
        <v>0.35679999000000001</v>
      </c>
      <c r="U107" s="131">
        <v>0.39939999999999998</v>
      </c>
      <c r="V107" s="131">
        <v>0.44429999999999997</v>
      </c>
      <c r="W107" s="131">
        <v>0.48269999000000002</v>
      </c>
      <c r="X107" s="131">
        <v>0.51920003000000003</v>
      </c>
      <c r="Y107" s="131">
        <v>0.54070001999999995</v>
      </c>
      <c r="Z107" s="131">
        <v>0.55449998</v>
      </c>
      <c r="AA107" s="131">
        <v>0.56679999999999997</v>
      </c>
      <c r="AB107" s="131">
        <v>0.57700001999999995</v>
      </c>
      <c r="AC107" s="131">
        <v>0.58969998000000001</v>
      </c>
      <c r="AD107" s="131">
        <v>0.60210001000000002</v>
      </c>
      <c r="AE107" s="131">
        <v>0.61669998999999998</v>
      </c>
      <c r="AF107" s="131">
        <v>0.63020003000000002</v>
      </c>
      <c r="AG107" s="131">
        <v>0.64289998999999998</v>
      </c>
    </row>
    <row r="108" spans="1:33" x14ac:dyDescent="0.2">
      <c r="A108" s="136" t="s">
        <v>111</v>
      </c>
      <c r="B108" s="131">
        <v>9.8699999999999996E-2</v>
      </c>
      <c r="C108" s="131">
        <v>9.8599999999999993E-2</v>
      </c>
      <c r="D108" s="131">
        <v>9.8500000000000004E-2</v>
      </c>
      <c r="E108" s="131">
        <v>9.8400000000000001E-2</v>
      </c>
      <c r="F108" s="131">
        <v>9.9000000000000005E-2</v>
      </c>
      <c r="G108" s="131">
        <v>9.9699999999999997E-2</v>
      </c>
      <c r="H108" s="131">
        <v>0.1012</v>
      </c>
      <c r="I108" s="131">
        <v>0.10340000000000001</v>
      </c>
      <c r="J108" s="131">
        <v>0.107</v>
      </c>
      <c r="K108" s="131">
        <v>0.11260000000000001</v>
      </c>
      <c r="L108" s="131">
        <v>0.122</v>
      </c>
      <c r="M108" s="131">
        <v>0.1366</v>
      </c>
      <c r="N108" s="131">
        <v>0.15629999</v>
      </c>
      <c r="O108" s="131">
        <v>0.18009998999999999</v>
      </c>
      <c r="P108" s="131">
        <v>0.20630001000000001</v>
      </c>
      <c r="Q108" s="131">
        <v>0.23599999999999999</v>
      </c>
      <c r="R108" s="131">
        <v>0.27020000999999999</v>
      </c>
      <c r="S108" s="131">
        <v>0.3075</v>
      </c>
      <c r="T108" s="131">
        <v>0.34689998999999999</v>
      </c>
      <c r="U108" s="131">
        <v>0.3881</v>
      </c>
      <c r="V108" s="131">
        <v>0.43140000000000001</v>
      </c>
      <c r="W108" s="131">
        <v>0.47040000999999998</v>
      </c>
      <c r="X108" s="131">
        <v>0.50690000999999996</v>
      </c>
      <c r="Y108" s="131">
        <v>0.53060001000000001</v>
      </c>
      <c r="Z108" s="131">
        <v>0.54299998000000005</v>
      </c>
      <c r="AA108" s="131">
        <v>0.55400002000000004</v>
      </c>
      <c r="AB108" s="131">
        <v>0.56430000000000002</v>
      </c>
      <c r="AC108" s="131">
        <v>0.57679999000000004</v>
      </c>
      <c r="AD108" s="131">
        <v>0.58909999999999996</v>
      </c>
      <c r="AE108" s="131">
        <v>0.60360002999999995</v>
      </c>
      <c r="AF108" s="131">
        <v>0.61799996999999995</v>
      </c>
      <c r="AG108" s="131">
        <v>0.63239997999999997</v>
      </c>
    </row>
    <row r="109" spans="1:33" x14ac:dyDescent="0.2">
      <c r="A109" s="136" t="s">
        <v>112</v>
      </c>
      <c r="B109" s="131">
        <v>9.6600000000000005E-2</v>
      </c>
      <c r="C109" s="131">
        <v>9.69E-2</v>
      </c>
      <c r="D109" s="131">
        <v>9.6600000000000005E-2</v>
      </c>
      <c r="E109" s="131">
        <v>9.64E-2</v>
      </c>
      <c r="F109" s="131">
        <v>9.69E-2</v>
      </c>
      <c r="G109" s="131">
        <v>9.7600000000000006E-2</v>
      </c>
      <c r="H109" s="131">
        <v>9.8799999999999999E-2</v>
      </c>
      <c r="I109" s="131">
        <v>0.10059999999999999</v>
      </c>
      <c r="J109" s="131">
        <v>0.1037</v>
      </c>
      <c r="K109" s="131">
        <v>0.10829999999999999</v>
      </c>
      <c r="L109" s="131">
        <v>0.11650000000000001</v>
      </c>
      <c r="M109" s="131">
        <v>0.12970001</v>
      </c>
      <c r="N109" s="131">
        <v>0.1487</v>
      </c>
      <c r="O109" s="131">
        <v>0.1736</v>
      </c>
      <c r="P109" s="131">
        <v>0.2026</v>
      </c>
      <c r="Q109" s="131">
        <v>0.23649998999999999</v>
      </c>
      <c r="R109" s="131">
        <v>0.27599998999999997</v>
      </c>
      <c r="S109" s="131">
        <v>0.31729998999999998</v>
      </c>
      <c r="T109" s="131">
        <v>0.3624</v>
      </c>
      <c r="U109" s="131">
        <v>0.4093</v>
      </c>
      <c r="V109" s="131">
        <v>0.45550001000000001</v>
      </c>
      <c r="W109" s="131">
        <v>0.49360000999999998</v>
      </c>
      <c r="X109" s="131">
        <v>0.52810000999999995</v>
      </c>
      <c r="Y109" s="131">
        <v>0.54290002999999998</v>
      </c>
      <c r="Z109" s="131">
        <v>0.55909997</v>
      </c>
      <c r="AA109" s="131">
        <v>0.57160001999999999</v>
      </c>
      <c r="AB109" s="131">
        <v>0.58569998000000001</v>
      </c>
      <c r="AC109" s="131">
        <v>0.60039997000000001</v>
      </c>
      <c r="AD109" s="131">
        <v>0.61659998000000005</v>
      </c>
      <c r="AE109" s="131">
        <v>0.63340001999999995</v>
      </c>
      <c r="AF109" s="131">
        <v>0.64380002000000003</v>
      </c>
      <c r="AG109" s="131">
        <v>0.65439999000000004</v>
      </c>
    </row>
    <row r="110" spans="1:33" x14ac:dyDescent="0.2">
      <c r="A110" s="136" t="s">
        <v>113</v>
      </c>
      <c r="B110" s="131">
        <v>9.4200000000000006E-2</v>
      </c>
      <c r="C110" s="131">
        <v>9.3899999999999997E-2</v>
      </c>
      <c r="D110" s="131">
        <v>9.3799999999999994E-2</v>
      </c>
      <c r="E110" s="131">
        <v>9.3600000000000003E-2</v>
      </c>
      <c r="F110" s="131">
        <v>9.35E-2</v>
      </c>
      <c r="G110" s="131">
        <v>9.3200000000000005E-2</v>
      </c>
      <c r="H110" s="131">
        <v>9.3299999999999994E-2</v>
      </c>
      <c r="I110" s="131">
        <v>9.3200000000000005E-2</v>
      </c>
      <c r="J110" s="131">
        <v>9.3200000000000005E-2</v>
      </c>
      <c r="K110" s="131">
        <v>9.3100000000000002E-2</v>
      </c>
      <c r="L110" s="131">
        <v>9.2899999999999996E-2</v>
      </c>
      <c r="M110" s="131">
        <v>9.2799999999999994E-2</v>
      </c>
      <c r="N110" s="131">
        <v>9.2700000000000005E-2</v>
      </c>
      <c r="O110" s="131">
        <v>9.2600000000000002E-2</v>
      </c>
      <c r="P110" s="131">
        <v>9.2999999999999999E-2</v>
      </c>
      <c r="Q110" s="131">
        <v>9.2999999999999999E-2</v>
      </c>
      <c r="R110" s="131">
        <v>9.3200000000000005E-2</v>
      </c>
      <c r="S110" s="131">
        <v>9.3299999999999994E-2</v>
      </c>
      <c r="T110" s="131">
        <v>9.3299999999999994E-2</v>
      </c>
      <c r="U110" s="131">
        <v>9.3399999999999997E-2</v>
      </c>
      <c r="V110" s="131">
        <v>9.3299999999999994E-2</v>
      </c>
      <c r="W110" s="131">
        <v>9.3399999999999997E-2</v>
      </c>
      <c r="X110" s="131">
        <v>9.3399999999999997E-2</v>
      </c>
      <c r="Y110" s="131">
        <v>9.35E-2</v>
      </c>
      <c r="Z110" s="131">
        <v>9.3399999999999997E-2</v>
      </c>
      <c r="AA110" s="131">
        <v>9.3399999999999997E-2</v>
      </c>
      <c r="AB110" s="131">
        <v>9.3299999999999994E-2</v>
      </c>
      <c r="AC110" s="131">
        <v>9.3200000000000005E-2</v>
      </c>
      <c r="AD110" s="131">
        <v>9.3200000000000005E-2</v>
      </c>
      <c r="AE110" s="131">
        <v>9.3100000000000002E-2</v>
      </c>
      <c r="AF110" s="131">
        <v>9.3200000000000005E-2</v>
      </c>
      <c r="AG110" s="131">
        <v>9.3399999999999997E-2</v>
      </c>
    </row>
    <row r="111" spans="1:33" x14ac:dyDescent="0.2">
      <c r="A111" s="136" t="s">
        <v>114</v>
      </c>
      <c r="B111" s="131">
        <v>9.3799999999999994E-2</v>
      </c>
      <c r="C111" s="131">
        <v>9.3899999999999997E-2</v>
      </c>
      <c r="D111" s="131">
        <v>9.3799999999999994E-2</v>
      </c>
      <c r="E111" s="131">
        <v>9.3700000000000006E-2</v>
      </c>
      <c r="F111" s="131">
        <v>9.3600000000000003E-2</v>
      </c>
      <c r="G111" s="131">
        <v>9.35E-2</v>
      </c>
      <c r="H111" s="131">
        <v>9.3600000000000003E-2</v>
      </c>
      <c r="I111" s="131">
        <v>9.3600000000000003E-2</v>
      </c>
      <c r="J111" s="131">
        <v>9.3399999999999997E-2</v>
      </c>
      <c r="K111" s="131">
        <v>9.3299999999999994E-2</v>
      </c>
      <c r="L111" s="131">
        <v>9.3600000000000003E-2</v>
      </c>
      <c r="M111" s="131">
        <v>9.3299999999999994E-2</v>
      </c>
      <c r="N111" s="131">
        <v>9.3299999999999994E-2</v>
      </c>
      <c r="O111" s="131">
        <v>9.3299999999999994E-2</v>
      </c>
      <c r="P111" s="131">
        <v>9.3600000000000003E-2</v>
      </c>
      <c r="Q111" s="131">
        <v>9.3700000000000006E-2</v>
      </c>
      <c r="R111" s="131">
        <v>9.3700000000000006E-2</v>
      </c>
      <c r="S111" s="131">
        <v>9.35E-2</v>
      </c>
      <c r="T111" s="131">
        <v>9.3799999999999994E-2</v>
      </c>
      <c r="U111" s="131">
        <v>9.3299999999999994E-2</v>
      </c>
      <c r="V111" s="131">
        <v>9.3799999999999994E-2</v>
      </c>
      <c r="W111" s="131">
        <v>9.3799999999999994E-2</v>
      </c>
      <c r="X111" s="131">
        <v>9.3700000000000006E-2</v>
      </c>
      <c r="Y111" s="131">
        <v>9.3700000000000006E-2</v>
      </c>
      <c r="Z111" s="131">
        <v>9.3700000000000006E-2</v>
      </c>
      <c r="AA111" s="131">
        <v>9.3600000000000003E-2</v>
      </c>
      <c r="AB111" s="131">
        <v>9.3700000000000006E-2</v>
      </c>
      <c r="AC111" s="131">
        <v>9.35E-2</v>
      </c>
      <c r="AD111" s="131">
        <v>9.3399999999999997E-2</v>
      </c>
      <c r="AE111" s="131">
        <v>9.3200000000000005E-2</v>
      </c>
      <c r="AF111" s="131">
        <v>9.35E-2</v>
      </c>
      <c r="AG111" s="131">
        <v>9.4299999999999995E-2</v>
      </c>
    </row>
    <row r="112" spans="1:33" x14ac:dyDescent="0.2">
      <c r="A112" s="136" t="s">
        <v>115</v>
      </c>
      <c r="B112" s="131">
        <v>9.7199999999999995E-2</v>
      </c>
      <c r="C112" s="131">
        <v>9.7299999999999998E-2</v>
      </c>
      <c r="D112" s="131">
        <v>9.7199999999999995E-2</v>
      </c>
      <c r="E112" s="131">
        <v>9.7100000000000006E-2</v>
      </c>
      <c r="F112" s="131">
        <v>9.7699999999999995E-2</v>
      </c>
      <c r="G112" s="131">
        <v>9.8400000000000001E-2</v>
      </c>
      <c r="H112" s="131">
        <v>9.98E-2</v>
      </c>
      <c r="I112" s="131">
        <v>0.1019</v>
      </c>
      <c r="J112" s="131">
        <v>0.1052</v>
      </c>
      <c r="K112" s="131">
        <v>0.11070000000000001</v>
      </c>
      <c r="L112" s="131">
        <v>0.11990000000000001</v>
      </c>
      <c r="M112" s="131">
        <v>0.13410000999999999</v>
      </c>
      <c r="N112" s="131">
        <v>0.1542</v>
      </c>
      <c r="O112" s="131">
        <v>0.1802</v>
      </c>
      <c r="P112" s="131">
        <v>0.2079</v>
      </c>
      <c r="Q112" s="131">
        <v>0.2392</v>
      </c>
      <c r="R112" s="131">
        <v>0.27520000999999999</v>
      </c>
      <c r="S112" s="131">
        <v>0.31259998999999999</v>
      </c>
      <c r="T112" s="131">
        <v>0.35270000000000001</v>
      </c>
      <c r="U112" s="131">
        <v>0.39529999999999998</v>
      </c>
      <c r="V112" s="131">
        <v>0.43730000000000002</v>
      </c>
      <c r="W112" s="131">
        <v>0.47330000999999999</v>
      </c>
      <c r="X112" s="131">
        <v>0.50849997999999996</v>
      </c>
      <c r="Y112" s="131">
        <v>0.52890002999999997</v>
      </c>
      <c r="Z112" s="131">
        <v>0.54350001000000003</v>
      </c>
      <c r="AA112" s="131">
        <v>0.55690002000000005</v>
      </c>
      <c r="AB112" s="131">
        <v>0.57050002</v>
      </c>
      <c r="AC112" s="131">
        <v>0.58340000999999997</v>
      </c>
      <c r="AD112" s="131">
        <v>0.5988</v>
      </c>
      <c r="AE112" s="131">
        <v>0.61510003000000002</v>
      </c>
      <c r="AF112" s="131">
        <v>0.62959999</v>
      </c>
      <c r="AG112" s="131">
        <v>0.64060002999999999</v>
      </c>
    </row>
    <row r="113" spans="1:33" x14ac:dyDescent="0.2">
      <c r="A113" s="136" t="s">
        <v>116</v>
      </c>
      <c r="B113" s="131">
        <v>9.7500000000000003E-2</v>
      </c>
      <c r="C113" s="131">
        <v>9.8699999999999996E-2</v>
      </c>
      <c r="D113" s="131">
        <v>9.8799999999999999E-2</v>
      </c>
      <c r="E113" s="131">
        <v>9.8799999999999999E-2</v>
      </c>
      <c r="F113" s="131">
        <v>9.9299999999999999E-2</v>
      </c>
      <c r="G113" s="131">
        <v>0.1</v>
      </c>
      <c r="H113" s="131">
        <v>0.1014</v>
      </c>
      <c r="I113" s="131">
        <v>0.104</v>
      </c>
      <c r="J113" s="131">
        <v>0.10680000000000001</v>
      </c>
      <c r="K113" s="131">
        <v>0.11219999999999999</v>
      </c>
      <c r="L113" s="131">
        <v>0.12130000000000001</v>
      </c>
      <c r="M113" s="131">
        <v>0.13569999999999999</v>
      </c>
      <c r="N113" s="131">
        <v>0.15620001</v>
      </c>
      <c r="O113" s="131">
        <v>0.18189999000000001</v>
      </c>
      <c r="P113" s="131">
        <v>0.21029999999999999</v>
      </c>
      <c r="Q113" s="131">
        <v>0.24169999</v>
      </c>
      <c r="R113" s="131">
        <v>0.27770001</v>
      </c>
      <c r="S113" s="131">
        <v>0.31590000000000001</v>
      </c>
      <c r="T113" s="131">
        <v>0.35640000999999999</v>
      </c>
      <c r="U113" s="131">
        <v>0.39889999999999998</v>
      </c>
      <c r="V113" s="131">
        <v>0.44100001</v>
      </c>
      <c r="W113" s="131">
        <v>0.47639999</v>
      </c>
      <c r="X113" s="131">
        <v>0.51230001000000003</v>
      </c>
      <c r="Y113" s="131">
        <v>0.53159999999999996</v>
      </c>
      <c r="Z113" s="131">
        <v>0.54699998999999999</v>
      </c>
      <c r="AA113" s="131">
        <v>0.56059998</v>
      </c>
      <c r="AB113" s="131">
        <v>0.57270001999999998</v>
      </c>
      <c r="AC113" s="131">
        <v>0.58689999999999998</v>
      </c>
      <c r="AD113" s="131">
        <v>0.60290003000000003</v>
      </c>
      <c r="AE113" s="131">
        <v>0.61870002999999996</v>
      </c>
      <c r="AF113" s="131">
        <v>0.63349997999999996</v>
      </c>
      <c r="AG113" s="131">
        <v>0.64359999000000001</v>
      </c>
    </row>
    <row r="114" spans="1:33" x14ac:dyDescent="0.2">
      <c r="A114" s="136" t="s">
        <v>117</v>
      </c>
      <c r="B114" s="131">
        <v>9.8400000000000001E-2</v>
      </c>
      <c r="C114" s="131">
        <v>9.8599999999999993E-2</v>
      </c>
      <c r="D114" s="131">
        <v>9.8599999999999993E-2</v>
      </c>
      <c r="E114" s="131">
        <v>9.8699999999999996E-2</v>
      </c>
      <c r="F114" s="131">
        <v>9.9000000000000005E-2</v>
      </c>
      <c r="G114" s="131">
        <v>9.9699999999999997E-2</v>
      </c>
      <c r="H114" s="131">
        <v>0.1012</v>
      </c>
      <c r="I114" s="131">
        <v>0.1033</v>
      </c>
      <c r="J114" s="131">
        <v>0.1066</v>
      </c>
      <c r="K114" s="131">
        <v>0.1118</v>
      </c>
      <c r="L114" s="131">
        <v>0.1207</v>
      </c>
      <c r="M114" s="131">
        <v>0.13550000000000001</v>
      </c>
      <c r="N114" s="131">
        <v>0.156</v>
      </c>
      <c r="O114" s="131">
        <v>0.18160000000000001</v>
      </c>
      <c r="P114" s="131">
        <v>0.20999999</v>
      </c>
      <c r="Q114" s="131">
        <v>0.24169999</v>
      </c>
      <c r="R114" s="131">
        <v>0.27770001</v>
      </c>
      <c r="S114" s="131">
        <v>0.31630000000000003</v>
      </c>
      <c r="T114" s="131">
        <v>0.35710001000000002</v>
      </c>
      <c r="U114" s="131">
        <v>0.40020000999999999</v>
      </c>
      <c r="V114" s="131">
        <v>0.44170000999999998</v>
      </c>
      <c r="W114" s="131">
        <v>0.47749998999999999</v>
      </c>
      <c r="X114" s="131">
        <v>0.51259999999999994</v>
      </c>
      <c r="Y114" s="131">
        <v>0.53179997000000001</v>
      </c>
      <c r="Z114" s="131">
        <v>0.54629998999999996</v>
      </c>
      <c r="AA114" s="131">
        <v>0.55949998000000001</v>
      </c>
      <c r="AB114" s="131">
        <v>0.57230002000000002</v>
      </c>
      <c r="AC114" s="131">
        <v>0.58590001000000003</v>
      </c>
      <c r="AD114" s="131">
        <v>0.60210001000000002</v>
      </c>
      <c r="AE114" s="131">
        <v>0.61819999999999997</v>
      </c>
      <c r="AF114" s="131">
        <v>0.63300002</v>
      </c>
      <c r="AG114" s="131">
        <v>0.64219999000000005</v>
      </c>
    </row>
    <row r="115" spans="1:33" x14ac:dyDescent="0.2">
      <c r="A115" s="136" t="s">
        <v>118</v>
      </c>
      <c r="B115" s="131">
        <v>9.7299999999999998E-2</v>
      </c>
      <c r="C115" s="131">
        <v>9.7500000000000003E-2</v>
      </c>
      <c r="D115" s="131">
        <v>9.74E-2</v>
      </c>
      <c r="E115" s="131">
        <v>9.7500000000000003E-2</v>
      </c>
      <c r="F115" s="131">
        <v>9.7900000000000001E-2</v>
      </c>
      <c r="G115" s="131">
        <v>9.8599999999999993E-2</v>
      </c>
      <c r="H115" s="131">
        <v>9.9599999999999994E-2</v>
      </c>
      <c r="I115" s="131">
        <v>0.10150000000000001</v>
      </c>
      <c r="J115" s="131">
        <v>0.10440000000000001</v>
      </c>
      <c r="K115" s="131">
        <v>0.109</v>
      </c>
      <c r="L115" s="131">
        <v>0.1171</v>
      </c>
      <c r="M115" s="131">
        <v>0.12989998999999999</v>
      </c>
      <c r="N115" s="131">
        <v>0.14910001000000001</v>
      </c>
      <c r="O115" s="131">
        <v>0.17380001</v>
      </c>
      <c r="P115" s="131">
        <v>0.20190000999999999</v>
      </c>
      <c r="Q115" s="131">
        <v>0.23250000000000001</v>
      </c>
      <c r="R115" s="131">
        <v>0.26800001000000001</v>
      </c>
      <c r="S115" s="131">
        <v>0.30659999999999998</v>
      </c>
      <c r="T115" s="131">
        <v>0.34760001000000001</v>
      </c>
      <c r="U115" s="131">
        <v>0.38980000999999997</v>
      </c>
      <c r="V115" s="131">
        <v>0.4325</v>
      </c>
      <c r="W115" s="131">
        <v>0.47060001000000001</v>
      </c>
      <c r="X115" s="131">
        <v>0.50559997999999995</v>
      </c>
      <c r="Y115" s="131">
        <v>0.53320003000000005</v>
      </c>
      <c r="Z115" s="131">
        <v>0.54629998999999996</v>
      </c>
      <c r="AA115" s="131">
        <v>0.56129998000000003</v>
      </c>
      <c r="AB115" s="131">
        <v>0.57209997999999995</v>
      </c>
      <c r="AC115" s="131">
        <v>0.58550000000000002</v>
      </c>
      <c r="AD115" s="131">
        <v>0.60039997000000001</v>
      </c>
      <c r="AE115" s="131">
        <v>0.61529999999999996</v>
      </c>
      <c r="AF115" s="131">
        <v>0.63129997000000004</v>
      </c>
      <c r="AG115" s="131">
        <v>0.64310001999999999</v>
      </c>
    </row>
    <row r="116" spans="1:33" x14ac:dyDescent="0.2">
      <c r="A116" s="136" t="s">
        <v>119</v>
      </c>
      <c r="B116" s="131">
        <v>9.7000000000000003E-2</v>
      </c>
      <c r="C116" s="131">
        <v>9.7000000000000003E-2</v>
      </c>
      <c r="D116" s="131">
        <v>9.7799999999999998E-2</v>
      </c>
      <c r="E116" s="131">
        <v>9.7799999999999998E-2</v>
      </c>
      <c r="F116" s="131">
        <v>9.8199999999999996E-2</v>
      </c>
      <c r="G116" s="131">
        <v>9.8699999999999996E-2</v>
      </c>
      <c r="H116" s="131">
        <v>9.9900000000000003E-2</v>
      </c>
      <c r="I116" s="131">
        <v>0.10199999999999999</v>
      </c>
      <c r="J116" s="131">
        <v>0.1047</v>
      </c>
      <c r="K116" s="131">
        <v>0.10929999999999999</v>
      </c>
      <c r="L116" s="131">
        <v>0.1172</v>
      </c>
      <c r="M116" s="131">
        <v>0.13060000999999999</v>
      </c>
      <c r="N116" s="131">
        <v>0.15009998999999999</v>
      </c>
      <c r="O116" s="131">
        <v>0.1749</v>
      </c>
      <c r="P116" s="131">
        <v>0.20290000999999999</v>
      </c>
      <c r="Q116" s="131">
        <v>0.2341</v>
      </c>
      <c r="R116" s="131">
        <v>0.27010000000000001</v>
      </c>
      <c r="S116" s="131">
        <v>0.30819999999999997</v>
      </c>
      <c r="T116" s="131">
        <v>0.34940000999999998</v>
      </c>
      <c r="U116" s="131">
        <v>0.39179998999999999</v>
      </c>
      <c r="V116" s="131">
        <v>0.43459999999999999</v>
      </c>
      <c r="W116" s="131">
        <v>0.47139998999999999</v>
      </c>
      <c r="X116" s="131">
        <v>0.50730001999999996</v>
      </c>
      <c r="Y116" s="131">
        <v>0.52890002999999997</v>
      </c>
      <c r="Z116" s="131">
        <v>0.54299998000000005</v>
      </c>
      <c r="AA116" s="131">
        <v>0.55470001999999996</v>
      </c>
      <c r="AB116" s="131">
        <v>0.56760001000000004</v>
      </c>
      <c r="AC116" s="131">
        <v>0.58109999000000001</v>
      </c>
      <c r="AD116" s="131">
        <v>0.59519999999999995</v>
      </c>
      <c r="AE116" s="131">
        <v>0.61159998000000004</v>
      </c>
      <c r="AF116" s="131">
        <v>0.62609999999999999</v>
      </c>
      <c r="AG116" s="131">
        <v>0.63709998000000001</v>
      </c>
    </row>
    <row r="117" spans="1:33" x14ac:dyDescent="0.2">
      <c r="A117" s="136" t="s">
        <v>120</v>
      </c>
      <c r="B117" s="131">
        <v>9.5899999999999999E-2</v>
      </c>
      <c r="C117" s="131">
        <v>9.6000000000000002E-2</v>
      </c>
      <c r="D117" s="131">
        <v>9.5899999999999999E-2</v>
      </c>
      <c r="E117" s="131">
        <v>9.5899999999999999E-2</v>
      </c>
      <c r="F117" s="131">
        <v>9.6299999999999997E-2</v>
      </c>
      <c r="G117" s="131">
        <v>9.6799999999999997E-2</v>
      </c>
      <c r="H117" s="131">
        <v>9.8000000000000004E-2</v>
      </c>
      <c r="I117" s="131">
        <v>9.9400000000000002E-2</v>
      </c>
      <c r="J117" s="131">
        <v>0.10199999999999999</v>
      </c>
      <c r="K117" s="131">
        <v>0.1061</v>
      </c>
      <c r="L117" s="131">
        <v>0.11360000000000001</v>
      </c>
      <c r="M117" s="131">
        <v>0.12620001</v>
      </c>
      <c r="N117" s="131">
        <v>0.14300001000000001</v>
      </c>
      <c r="O117" s="131">
        <v>0.16680001</v>
      </c>
      <c r="P117" s="131">
        <v>0.1946</v>
      </c>
      <c r="Q117" s="131">
        <v>0.22370000000000001</v>
      </c>
      <c r="R117" s="131">
        <v>0.25830001000000002</v>
      </c>
      <c r="S117" s="131">
        <v>0.29530001</v>
      </c>
      <c r="T117" s="131">
        <v>0.33510000000000001</v>
      </c>
      <c r="U117" s="131">
        <v>0.37580001000000002</v>
      </c>
      <c r="V117" s="131">
        <v>0.41319999000000002</v>
      </c>
      <c r="W117" s="131">
        <v>0.44829999999999998</v>
      </c>
      <c r="X117" s="131">
        <v>0.48010001000000002</v>
      </c>
      <c r="Y117" s="131">
        <v>0.49239999000000001</v>
      </c>
      <c r="Z117" s="131">
        <v>0.50410001999999998</v>
      </c>
      <c r="AA117" s="131">
        <v>0.51730001000000003</v>
      </c>
      <c r="AB117" s="131">
        <v>0.52990000999999998</v>
      </c>
      <c r="AC117" s="131">
        <v>0.54420000000000002</v>
      </c>
      <c r="AD117" s="131">
        <v>0.56059998</v>
      </c>
      <c r="AE117" s="131">
        <v>0.57650000000000001</v>
      </c>
      <c r="AF117" s="131">
        <v>0.58939998999999998</v>
      </c>
      <c r="AG117" s="131">
        <v>0.60019999999999996</v>
      </c>
    </row>
    <row r="118" spans="1:33" x14ac:dyDescent="0.2">
      <c r="A118" s="136" t="s">
        <v>121</v>
      </c>
      <c r="B118" s="131">
        <v>9.7799999999999998E-2</v>
      </c>
      <c r="C118" s="131">
        <v>9.7900000000000001E-2</v>
      </c>
      <c r="D118" s="131">
        <v>9.7600000000000006E-2</v>
      </c>
      <c r="E118" s="131">
        <v>9.7600000000000006E-2</v>
      </c>
      <c r="F118" s="131">
        <v>9.8100000000000007E-2</v>
      </c>
      <c r="G118" s="131">
        <v>9.8599999999999993E-2</v>
      </c>
      <c r="H118" s="131">
        <v>0.1</v>
      </c>
      <c r="I118" s="131">
        <v>0.1018</v>
      </c>
      <c r="J118" s="131">
        <v>0.1047</v>
      </c>
      <c r="K118" s="131">
        <v>0.1094</v>
      </c>
      <c r="L118" s="131">
        <v>0.11749999999999999</v>
      </c>
      <c r="M118" s="131">
        <v>0.13039999999999999</v>
      </c>
      <c r="N118" s="131">
        <v>0.14879999999999999</v>
      </c>
      <c r="O118" s="131">
        <v>0.1734</v>
      </c>
      <c r="P118" s="131">
        <v>0.20190000999999999</v>
      </c>
      <c r="Q118" s="131">
        <v>0.23540000999999999</v>
      </c>
      <c r="R118" s="131">
        <v>0.27500001000000002</v>
      </c>
      <c r="S118" s="131">
        <v>0.31670000999999998</v>
      </c>
      <c r="T118" s="131">
        <v>0.36230001000000001</v>
      </c>
      <c r="U118" s="131">
        <v>0.41020000000000001</v>
      </c>
      <c r="V118" s="131">
        <v>0.45730000999999998</v>
      </c>
      <c r="W118" s="131">
        <v>0.49700000999999999</v>
      </c>
      <c r="X118" s="131">
        <v>0.53469997999999996</v>
      </c>
      <c r="Y118" s="131">
        <v>0.54960001000000003</v>
      </c>
      <c r="Z118" s="131">
        <v>0.56699997000000002</v>
      </c>
      <c r="AA118" s="131">
        <v>0.58060001999999999</v>
      </c>
      <c r="AB118" s="131">
        <v>0.59200001000000002</v>
      </c>
      <c r="AC118" s="131">
        <v>0.60610001999999996</v>
      </c>
      <c r="AD118" s="131">
        <v>0.62360000999999998</v>
      </c>
      <c r="AE118" s="131">
        <v>0.6401</v>
      </c>
      <c r="AF118" s="131">
        <v>0.65229999999999999</v>
      </c>
      <c r="AG118" s="131">
        <v>0.66269999999999996</v>
      </c>
    </row>
    <row r="119" spans="1:33" x14ac:dyDescent="0.2">
      <c r="A119" s="136" t="s">
        <v>122</v>
      </c>
      <c r="B119" s="131">
        <v>9.7900000000000001E-2</v>
      </c>
      <c r="C119" s="131">
        <v>9.8000000000000004E-2</v>
      </c>
      <c r="D119" s="131">
        <v>9.7900000000000001E-2</v>
      </c>
      <c r="E119" s="131">
        <v>9.7699999999999995E-2</v>
      </c>
      <c r="F119" s="131">
        <v>9.8299999999999998E-2</v>
      </c>
      <c r="G119" s="131">
        <v>9.8900000000000002E-2</v>
      </c>
      <c r="H119" s="131">
        <v>0.1003</v>
      </c>
      <c r="I119" s="131">
        <v>0.1021</v>
      </c>
      <c r="J119" s="131">
        <v>0.1053</v>
      </c>
      <c r="K119" s="131">
        <v>0.1103</v>
      </c>
      <c r="L119" s="131">
        <v>0.1186</v>
      </c>
      <c r="M119" s="131">
        <v>0.13189999999999999</v>
      </c>
      <c r="N119" s="131">
        <v>0.15140000000000001</v>
      </c>
      <c r="O119" s="131">
        <v>0.17630000000000001</v>
      </c>
      <c r="P119" s="131">
        <v>0.2059</v>
      </c>
      <c r="Q119" s="131">
        <v>0.23909999000000001</v>
      </c>
      <c r="R119" s="131">
        <v>0.27880000999999999</v>
      </c>
      <c r="S119" s="131">
        <v>0.32170000999999998</v>
      </c>
      <c r="T119" s="131">
        <v>0.36759998999999999</v>
      </c>
      <c r="U119" s="131">
        <v>0.41539999999999999</v>
      </c>
      <c r="V119" s="131">
        <v>0.4612</v>
      </c>
      <c r="W119" s="131">
        <v>0.50150001</v>
      </c>
      <c r="X119" s="131">
        <v>0.53689998000000005</v>
      </c>
      <c r="Y119" s="131">
        <v>0.54979997999999997</v>
      </c>
      <c r="Z119" s="131">
        <v>0.56590003</v>
      </c>
      <c r="AA119" s="131">
        <v>0.58139998000000004</v>
      </c>
      <c r="AB119" s="131">
        <v>0.59299999000000003</v>
      </c>
      <c r="AC119" s="131">
        <v>0.60689998000000001</v>
      </c>
      <c r="AD119" s="131">
        <v>0.62459998999999999</v>
      </c>
      <c r="AE119" s="131">
        <v>0.64020001999999998</v>
      </c>
      <c r="AF119" s="131">
        <v>0.65109998000000002</v>
      </c>
      <c r="AG119" s="131">
        <v>0.66079997999999995</v>
      </c>
    </row>
    <row r="120" spans="1:33" x14ac:dyDescent="0.2">
      <c r="A120" s="136" t="s">
        <v>123</v>
      </c>
      <c r="B120" s="131">
        <v>9.7900000000000001E-2</v>
      </c>
      <c r="C120" s="131">
        <v>9.9400000000000002E-2</v>
      </c>
      <c r="D120" s="131">
        <v>9.9000000000000005E-2</v>
      </c>
      <c r="E120" s="131">
        <v>9.8699999999999996E-2</v>
      </c>
      <c r="F120" s="131">
        <v>0.1002</v>
      </c>
      <c r="G120" s="131">
        <v>9.98E-2</v>
      </c>
      <c r="H120" s="131">
        <v>0.10249999999999999</v>
      </c>
      <c r="I120" s="131">
        <v>0.1032</v>
      </c>
      <c r="J120" s="131">
        <v>0.1061</v>
      </c>
      <c r="K120" s="131">
        <v>0.1114</v>
      </c>
      <c r="L120" s="131">
        <v>0.1198</v>
      </c>
      <c r="M120" s="131">
        <v>0.1336</v>
      </c>
      <c r="N120" s="131">
        <v>0.15340000000000001</v>
      </c>
      <c r="O120" s="131">
        <v>0.17820000999999999</v>
      </c>
      <c r="P120" s="131">
        <v>0.20739999000000001</v>
      </c>
      <c r="Q120" s="131">
        <v>0.24169999</v>
      </c>
      <c r="R120" s="131">
        <v>0.28130000999999999</v>
      </c>
      <c r="S120" s="131">
        <v>0.32350001</v>
      </c>
      <c r="T120" s="131">
        <v>0.37</v>
      </c>
      <c r="U120" s="131">
        <v>0.41800000999999998</v>
      </c>
      <c r="V120" s="131">
        <v>0.46550000000000002</v>
      </c>
      <c r="W120" s="131">
        <v>0.50419997999999999</v>
      </c>
      <c r="X120" s="131">
        <v>0.53700000000000003</v>
      </c>
      <c r="Y120" s="131">
        <v>0.54979997999999997</v>
      </c>
      <c r="Z120" s="131">
        <v>0.56709999</v>
      </c>
      <c r="AA120" s="131">
        <v>0.58109999000000001</v>
      </c>
      <c r="AB120" s="131">
        <v>0.59420002000000005</v>
      </c>
      <c r="AC120" s="131">
        <v>0.60799998</v>
      </c>
      <c r="AD120" s="131">
        <v>0.62559998000000006</v>
      </c>
      <c r="AE120" s="131">
        <v>0.64109998999999995</v>
      </c>
      <c r="AF120" s="131">
        <v>0.65109998000000002</v>
      </c>
      <c r="AG120" s="131">
        <v>0.66280001</v>
      </c>
    </row>
    <row r="121" spans="1:33" x14ac:dyDescent="0.2">
      <c r="A121" s="136" t="s">
        <v>124</v>
      </c>
      <c r="B121" s="131">
        <v>9.7500000000000003E-2</v>
      </c>
      <c r="C121" s="131">
        <v>9.7600000000000006E-2</v>
      </c>
      <c r="D121" s="131">
        <v>9.74E-2</v>
      </c>
      <c r="E121" s="131">
        <v>9.74E-2</v>
      </c>
      <c r="F121" s="131">
        <v>9.7799999999999998E-2</v>
      </c>
      <c r="G121" s="131">
        <v>9.8500000000000004E-2</v>
      </c>
      <c r="H121" s="131">
        <v>9.9699999999999997E-2</v>
      </c>
      <c r="I121" s="131">
        <v>0.1018</v>
      </c>
      <c r="J121" s="131">
        <v>0.1048</v>
      </c>
      <c r="K121" s="131">
        <v>0.11</v>
      </c>
      <c r="L121" s="131">
        <v>0.1187</v>
      </c>
      <c r="M121" s="131">
        <v>0.13339999</v>
      </c>
      <c r="N121" s="131">
        <v>0.15270001</v>
      </c>
      <c r="O121" s="131">
        <v>0.17839999000000001</v>
      </c>
      <c r="P121" s="131">
        <v>0.20780000000000001</v>
      </c>
      <c r="Q121" s="131">
        <v>0.2419</v>
      </c>
      <c r="R121" s="131">
        <v>0.28160000000000002</v>
      </c>
      <c r="S121" s="131">
        <v>0.32350001</v>
      </c>
      <c r="T121" s="131">
        <v>0.36820000000000003</v>
      </c>
      <c r="U121" s="131">
        <v>0.41409998999999997</v>
      </c>
      <c r="V121" s="131">
        <v>0.45609999000000001</v>
      </c>
      <c r="W121" s="131">
        <v>0.49439999000000001</v>
      </c>
      <c r="X121" s="131">
        <v>0.52969997999999996</v>
      </c>
      <c r="Y121" s="131">
        <v>0.54500002000000003</v>
      </c>
      <c r="Z121" s="131">
        <v>0.55820000000000003</v>
      </c>
      <c r="AA121" s="131">
        <v>0.57090001999999995</v>
      </c>
      <c r="AB121" s="131">
        <v>0.58490001999999996</v>
      </c>
      <c r="AC121" s="131">
        <v>0.59990001000000004</v>
      </c>
      <c r="AD121" s="131">
        <v>0.61699998</v>
      </c>
      <c r="AE121" s="131">
        <v>0.63290000000000002</v>
      </c>
      <c r="AF121" s="131">
        <v>0.64459997000000002</v>
      </c>
      <c r="AG121" s="131">
        <v>0.65359997999999997</v>
      </c>
    </row>
    <row r="122" spans="1:33" x14ac:dyDescent="0.2">
      <c r="A122" s="136" t="s">
        <v>125</v>
      </c>
      <c r="B122" s="131">
        <v>9.4600000000000004E-2</v>
      </c>
      <c r="C122" s="131">
        <v>9.3799999999999994E-2</v>
      </c>
      <c r="D122" s="131">
        <v>9.3899999999999997E-2</v>
      </c>
      <c r="E122" s="131">
        <v>9.4E-2</v>
      </c>
      <c r="F122" s="131">
        <v>9.4100000000000003E-2</v>
      </c>
      <c r="G122" s="131">
        <v>9.3899999999999997E-2</v>
      </c>
      <c r="H122" s="131">
        <v>9.4E-2</v>
      </c>
      <c r="I122" s="131">
        <v>9.3899999999999997E-2</v>
      </c>
      <c r="J122" s="131">
        <v>9.7000000000000003E-2</v>
      </c>
      <c r="K122" s="131">
        <v>9.3799999999999994E-2</v>
      </c>
      <c r="L122" s="131">
        <v>9.35E-2</v>
      </c>
      <c r="M122" s="131">
        <v>9.3399999999999997E-2</v>
      </c>
      <c r="N122" s="131">
        <v>9.3299999999999994E-2</v>
      </c>
      <c r="O122" s="131">
        <v>9.3200000000000005E-2</v>
      </c>
      <c r="P122" s="131">
        <v>9.4100000000000003E-2</v>
      </c>
      <c r="Q122" s="131">
        <v>9.3700000000000006E-2</v>
      </c>
      <c r="R122" s="131">
        <v>9.3799999999999994E-2</v>
      </c>
      <c r="S122" s="131">
        <v>9.3899999999999997E-2</v>
      </c>
      <c r="T122" s="131">
        <v>9.3899999999999997E-2</v>
      </c>
      <c r="U122" s="131">
        <v>9.3799999999999994E-2</v>
      </c>
      <c r="V122" s="131">
        <v>9.4E-2</v>
      </c>
      <c r="W122" s="131">
        <v>9.4E-2</v>
      </c>
      <c r="X122" s="131">
        <v>9.3799999999999994E-2</v>
      </c>
      <c r="Y122" s="131">
        <v>9.3899999999999997E-2</v>
      </c>
      <c r="Z122" s="131">
        <v>9.3799999999999994E-2</v>
      </c>
      <c r="AA122" s="131">
        <v>9.3799999999999994E-2</v>
      </c>
      <c r="AB122" s="131">
        <v>9.3700000000000006E-2</v>
      </c>
      <c r="AC122" s="131">
        <v>9.3600000000000003E-2</v>
      </c>
      <c r="AD122" s="131">
        <v>9.35E-2</v>
      </c>
      <c r="AE122" s="131">
        <v>9.3399999999999997E-2</v>
      </c>
      <c r="AF122" s="131">
        <v>9.35E-2</v>
      </c>
      <c r="AG122" s="131">
        <v>9.3799999999999994E-2</v>
      </c>
    </row>
    <row r="123" spans="1:33" x14ac:dyDescent="0.2">
      <c r="A123" s="136" t="s">
        <v>126</v>
      </c>
      <c r="B123" s="131">
        <v>9.3600000000000003E-2</v>
      </c>
      <c r="C123" s="131">
        <v>9.3799999999999994E-2</v>
      </c>
      <c r="D123" s="131">
        <v>9.3700000000000006E-2</v>
      </c>
      <c r="E123" s="131">
        <v>9.3600000000000003E-2</v>
      </c>
      <c r="F123" s="131">
        <v>9.3600000000000003E-2</v>
      </c>
      <c r="G123" s="131">
        <v>9.3299999999999994E-2</v>
      </c>
      <c r="H123" s="131">
        <v>9.3600000000000003E-2</v>
      </c>
      <c r="I123" s="131">
        <v>9.35E-2</v>
      </c>
      <c r="J123" s="131">
        <v>9.3399999999999997E-2</v>
      </c>
      <c r="K123" s="131">
        <v>9.3200000000000005E-2</v>
      </c>
      <c r="L123" s="131">
        <v>9.3100000000000002E-2</v>
      </c>
      <c r="M123" s="131">
        <v>9.2799999999999994E-2</v>
      </c>
      <c r="N123" s="131">
        <v>9.2999999999999999E-2</v>
      </c>
      <c r="O123" s="131">
        <v>9.2700000000000005E-2</v>
      </c>
      <c r="P123" s="131">
        <v>9.2999999999999999E-2</v>
      </c>
      <c r="Q123" s="131">
        <v>9.3100000000000002E-2</v>
      </c>
      <c r="R123" s="131">
        <v>9.3299999999999994E-2</v>
      </c>
      <c r="S123" s="131">
        <v>9.3100000000000002E-2</v>
      </c>
      <c r="T123" s="131">
        <v>9.3700000000000006E-2</v>
      </c>
      <c r="U123" s="131">
        <v>9.3200000000000005E-2</v>
      </c>
      <c r="V123" s="131">
        <v>9.3200000000000005E-2</v>
      </c>
      <c r="W123" s="131">
        <v>9.3100000000000002E-2</v>
      </c>
      <c r="X123" s="131">
        <v>9.3100000000000002E-2</v>
      </c>
      <c r="Y123" s="131">
        <v>9.3299999999999994E-2</v>
      </c>
      <c r="Z123" s="131">
        <v>9.3100000000000002E-2</v>
      </c>
      <c r="AA123" s="131">
        <v>9.3100000000000002E-2</v>
      </c>
      <c r="AB123" s="131">
        <v>9.2999999999999999E-2</v>
      </c>
      <c r="AC123" s="131">
        <v>9.2899999999999996E-2</v>
      </c>
      <c r="AD123" s="131">
        <v>9.2799999999999994E-2</v>
      </c>
      <c r="AE123" s="131">
        <v>9.2700000000000005E-2</v>
      </c>
      <c r="AF123" s="131">
        <v>9.2799999999999994E-2</v>
      </c>
      <c r="AG123" s="131">
        <v>9.3100000000000002E-2</v>
      </c>
    </row>
    <row r="124" spans="1:33" x14ac:dyDescent="0.2">
      <c r="A124" s="136" t="s">
        <v>127</v>
      </c>
      <c r="B124" s="131">
        <v>9.3899999999999997E-2</v>
      </c>
      <c r="C124" s="131">
        <v>9.3899999999999997E-2</v>
      </c>
      <c r="D124" s="131">
        <v>9.3899999999999997E-2</v>
      </c>
      <c r="E124" s="131">
        <v>9.3700000000000006E-2</v>
      </c>
      <c r="F124" s="131">
        <v>9.35E-2</v>
      </c>
      <c r="G124" s="131">
        <v>9.3399999999999997E-2</v>
      </c>
      <c r="H124" s="131">
        <v>9.3399999999999997E-2</v>
      </c>
      <c r="I124" s="131">
        <v>9.3399999999999997E-2</v>
      </c>
      <c r="J124" s="131">
        <v>9.3299999999999994E-2</v>
      </c>
      <c r="K124" s="131">
        <v>9.3200000000000005E-2</v>
      </c>
      <c r="L124" s="131">
        <v>9.2999999999999999E-2</v>
      </c>
      <c r="M124" s="131">
        <v>9.2700000000000005E-2</v>
      </c>
      <c r="N124" s="131">
        <v>9.2899999999999996E-2</v>
      </c>
      <c r="O124" s="131">
        <v>9.2700000000000005E-2</v>
      </c>
      <c r="P124" s="131">
        <v>9.2999999999999999E-2</v>
      </c>
      <c r="Q124" s="131">
        <v>9.3100000000000002E-2</v>
      </c>
      <c r="R124" s="131">
        <v>9.3200000000000005E-2</v>
      </c>
      <c r="S124" s="131">
        <v>9.3200000000000005E-2</v>
      </c>
      <c r="T124" s="131">
        <v>9.3200000000000005E-2</v>
      </c>
      <c r="U124" s="131">
        <v>9.3200000000000005E-2</v>
      </c>
      <c r="V124" s="131">
        <v>9.3200000000000005E-2</v>
      </c>
      <c r="W124" s="131">
        <v>9.3200000000000005E-2</v>
      </c>
      <c r="X124" s="131">
        <v>9.3100000000000002E-2</v>
      </c>
      <c r="Y124" s="131">
        <v>9.3399999999999997E-2</v>
      </c>
      <c r="Z124" s="131">
        <v>9.3200000000000005E-2</v>
      </c>
      <c r="AA124" s="131">
        <v>9.3200000000000005E-2</v>
      </c>
      <c r="AB124" s="131">
        <v>9.3200000000000005E-2</v>
      </c>
      <c r="AC124" s="131">
        <v>9.3200000000000005E-2</v>
      </c>
      <c r="AD124" s="131">
        <v>9.2999999999999999E-2</v>
      </c>
      <c r="AE124" s="131">
        <v>9.2999999999999999E-2</v>
      </c>
      <c r="AF124" s="131">
        <v>9.2999999999999999E-2</v>
      </c>
      <c r="AG124" s="131">
        <v>9.3299999999999994E-2</v>
      </c>
    </row>
    <row r="125" spans="1:33" x14ac:dyDescent="0.2">
      <c r="A125" s="136" t="s">
        <v>128</v>
      </c>
      <c r="B125" s="131">
        <v>9.5100000000000004E-2</v>
      </c>
      <c r="C125" s="131">
        <v>9.5000000000000001E-2</v>
      </c>
      <c r="D125" s="131">
        <v>9.5699999999999993E-2</v>
      </c>
      <c r="E125" s="131">
        <v>9.6600000000000005E-2</v>
      </c>
      <c r="F125" s="131">
        <v>9.7100000000000006E-2</v>
      </c>
      <c r="G125" s="131">
        <v>0.10100000000000001</v>
      </c>
      <c r="H125" s="131">
        <v>9.4500000000000001E-2</v>
      </c>
      <c r="I125" s="131">
        <v>9.5399999999999999E-2</v>
      </c>
      <c r="J125" s="131">
        <v>9.6100000000000005E-2</v>
      </c>
      <c r="K125" s="131">
        <v>9.7199999999999995E-2</v>
      </c>
      <c r="L125" s="131">
        <v>9.4600000000000004E-2</v>
      </c>
      <c r="M125" s="131">
        <v>9.7199999999999995E-2</v>
      </c>
      <c r="N125" s="131">
        <v>9.6100000000000005E-2</v>
      </c>
      <c r="O125" s="131">
        <v>9.7000000000000003E-2</v>
      </c>
      <c r="P125" s="131">
        <v>9.5399999999999999E-2</v>
      </c>
      <c r="Q125" s="131">
        <v>9.4899999999999998E-2</v>
      </c>
      <c r="R125" s="131">
        <v>9.4600000000000004E-2</v>
      </c>
      <c r="S125" s="131">
        <v>9.5899999999999999E-2</v>
      </c>
      <c r="T125" s="131">
        <v>9.6600000000000005E-2</v>
      </c>
      <c r="U125" s="131">
        <v>9.4399999999999998E-2</v>
      </c>
      <c r="V125" s="131">
        <v>9.5000000000000001E-2</v>
      </c>
      <c r="W125" s="131">
        <v>9.4100000000000003E-2</v>
      </c>
      <c r="X125" s="131">
        <v>9.4500000000000001E-2</v>
      </c>
      <c r="Y125" s="131">
        <v>9.4700000000000006E-2</v>
      </c>
      <c r="Z125" s="131">
        <v>9.4299999999999995E-2</v>
      </c>
      <c r="AA125" s="131">
        <v>9.4399999999999998E-2</v>
      </c>
      <c r="AB125" s="131">
        <v>9.5100000000000004E-2</v>
      </c>
      <c r="AC125" s="131">
        <v>9.5000000000000001E-2</v>
      </c>
      <c r="AD125" s="131">
        <v>9.4200000000000006E-2</v>
      </c>
      <c r="AE125" s="131">
        <v>9.3899999999999997E-2</v>
      </c>
      <c r="AF125" s="131">
        <v>9.4700000000000006E-2</v>
      </c>
      <c r="AG125" s="131">
        <v>9.4399999999999998E-2</v>
      </c>
    </row>
    <row r="126" spans="1:33" x14ac:dyDescent="0.2">
      <c r="A126" s="136" t="s">
        <v>129</v>
      </c>
      <c r="B126" s="131">
        <v>9.4500000000000001E-2</v>
      </c>
      <c r="C126" s="131">
        <v>9.4399999999999998E-2</v>
      </c>
      <c r="D126" s="131">
        <v>9.4200000000000006E-2</v>
      </c>
      <c r="E126" s="131">
        <v>9.4E-2</v>
      </c>
      <c r="F126" s="131">
        <v>9.3899999999999997E-2</v>
      </c>
      <c r="G126" s="131">
        <v>9.3799999999999994E-2</v>
      </c>
      <c r="H126" s="131">
        <v>9.3799999999999994E-2</v>
      </c>
      <c r="I126" s="131">
        <v>9.3799999999999994E-2</v>
      </c>
      <c r="J126" s="131">
        <v>9.3799999999999994E-2</v>
      </c>
      <c r="K126" s="131">
        <v>9.3700000000000006E-2</v>
      </c>
      <c r="L126" s="131">
        <v>9.3399999999999997E-2</v>
      </c>
      <c r="M126" s="131">
        <v>9.3399999999999997E-2</v>
      </c>
      <c r="N126" s="131">
        <v>9.3399999999999997E-2</v>
      </c>
      <c r="O126" s="131">
        <v>9.3399999999999997E-2</v>
      </c>
      <c r="P126" s="131">
        <v>9.35E-2</v>
      </c>
      <c r="Q126" s="131">
        <v>9.3600000000000003E-2</v>
      </c>
      <c r="R126" s="131">
        <v>9.3600000000000003E-2</v>
      </c>
      <c r="S126" s="131">
        <v>9.3799999999999994E-2</v>
      </c>
      <c r="T126" s="131">
        <v>9.3799999999999994E-2</v>
      </c>
      <c r="U126" s="131">
        <v>9.3799999999999994E-2</v>
      </c>
      <c r="V126" s="131">
        <v>9.3899999999999997E-2</v>
      </c>
      <c r="W126" s="131">
        <v>9.3600000000000003E-2</v>
      </c>
      <c r="X126" s="131">
        <v>9.3700000000000006E-2</v>
      </c>
      <c r="Y126" s="131">
        <v>9.3899999999999997E-2</v>
      </c>
      <c r="Z126" s="131">
        <v>9.3600000000000003E-2</v>
      </c>
      <c r="AA126" s="131">
        <v>9.35E-2</v>
      </c>
      <c r="AB126" s="131">
        <v>9.3700000000000006E-2</v>
      </c>
      <c r="AC126" s="131">
        <v>9.3600000000000003E-2</v>
      </c>
      <c r="AD126" s="131">
        <v>9.35E-2</v>
      </c>
      <c r="AE126" s="131">
        <v>9.3200000000000005E-2</v>
      </c>
      <c r="AF126" s="131">
        <v>9.3399999999999997E-2</v>
      </c>
      <c r="AG126" s="131">
        <v>9.4200000000000006E-2</v>
      </c>
    </row>
    <row r="127" spans="1:33" x14ac:dyDescent="0.2">
      <c r="A127" s="136" t="s">
        <v>130</v>
      </c>
      <c r="B127" s="131">
        <v>9.5299999999999996E-2</v>
      </c>
      <c r="C127" s="131">
        <v>9.5500000000000002E-2</v>
      </c>
      <c r="D127" s="131">
        <v>9.6000000000000002E-2</v>
      </c>
      <c r="E127" s="131">
        <v>9.69E-2</v>
      </c>
      <c r="F127" s="131">
        <v>9.7000000000000003E-2</v>
      </c>
      <c r="G127" s="131">
        <v>9.5699999999999993E-2</v>
      </c>
      <c r="H127" s="131">
        <v>9.4299999999999995E-2</v>
      </c>
      <c r="I127" s="131">
        <v>9.4799999999999995E-2</v>
      </c>
      <c r="J127" s="131">
        <v>9.69E-2</v>
      </c>
      <c r="K127" s="131">
        <v>9.6299999999999997E-2</v>
      </c>
      <c r="L127" s="131">
        <v>9.4700000000000006E-2</v>
      </c>
      <c r="M127" s="131">
        <v>9.5000000000000001E-2</v>
      </c>
      <c r="N127" s="131">
        <v>9.6000000000000002E-2</v>
      </c>
      <c r="O127" s="131">
        <v>9.4700000000000006E-2</v>
      </c>
      <c r="P127" s="131">
        <v>9.4399999999999998E-2</v>
      </c>
      <c r="Q127" s="131">
        <v>9.4600000000000004E-2</v>
      </c>
      <c r="R127" s="131">
        <v>9.4399999999999998E-2</v>
      </c>
      <c r="S127" s="131">
        <v>9.4600000000000004E-2</v>
      </c>
      <c r="T127" s="131">
        <v>9.4899999999999998E-2</v>
      </c>
      <c r="U127" s="131">
        <v>9.4700000000000006E-2</v>
      </c>
      <c r="V127" s="131">
        <v>9.5299999999999996E-2</v>
      </c>
      <c r="W127" s="131">
        <v>9.4299999999999995E-2</v>
      </c>
      <c r="X127" s="131">
        <v>9.4299999999999995E-2</v>
      </c>
      <c r="Y127" s="131">
        <v>9.4600000000000004E-2</v>
      </c>
      <c r="Z127" s="131">
        <v>9.4299999999999995E-2</v>
      </c>
      <c r="AA127" s="131">
        <v>9.4200000000000006E-2</v>
      </c>
      <c r="AB127" s="131">
        <v>9.4299999999999995E-2</v>
      </c>
      <c r="AC127" s="131">
        <v>9.4299999999999995E-2</v>
      </c>
      <c r="AD127" s="131">
        <v>9.4100000000000003E-2</v>
      </c>
      <c r="AE127" s="131">
        <v>9.3700000000000006E-2</v>
      </c>
      <c r="AF127" s="131">
        <v>9.3899999999999997E-2</v>
      </c>
      <c r="AG127" s="131">
        <v>9.4E-2</v>
      </c>
    </row>
    <row r="128" spans="1:33" x14ac:dyDescent="0.2">
      <c r="A128" s="136" t="s">
        <v>131</v>
      </c>
      <c r="B128" s="131">
        <v>9.4600000000000004E-2</v>
      </c>
      <c r="C128" s="131">
        <v>9.4399999999999998E-2</v>
      </c>
      <c r="D128" s="131">
        <v>9.4299999999999995E-2</v>
      </c>
      <c r="E128" s="131">
        <v>9.3899999999999997E-2</v>
      </c>
      <c r="F128" s="131">
        <v>9.3899999999999997E-2</v>
      </c>
      <c r="G128" s="131">
        <v>9.3700000000000006E-2</v>
      </c>
      <c r="H128" s="131">
        <v>9.3600000000000003E-2</v>
      </c>
      <c r="I128" s="131">
        <v>9.3600000000000003E-2</v>
      </c>
      <c r="J128" s="131">
        <v>9.35E-2</v>
      </c>
      <c r="K128" s="131">
        <v>9.3399999999999997E-2</v>
      </c>
      <c r="L128" s="131">
        <v>9.3299999999999994E-2</v>
      </c>
      <c r="M128" s="131">
        <v>9.3200000000000005E-2</v>
      </c>
      <c r="N128" s="131">
        <v>9.3200000000000005E-2</v>
      </c>
      <c r="O128" s="131">
        <v>9.3100000000000002E-2</v>
      </c>
      <c r="P128" s="131">
        <v>9.3399999999999997E-2</v>
      </c>
      <c r="Q128" s="131">
        <v>9.35E-2</v>
      </c>
      <c r="R128" s="131">
        <v>9.3600000000000003E-2</v>
      </c>
      <c r="S128" s="131">
        <v>9.3799999999999994E-2</v>
      </c>
      <c r="T128" s="131">
        <v>9.3700000000000006E-2</v>
      </c>
      <c r="U128" s="131">
        <v>9.3700000000000006E-2</v>
      </c>
      <c r="V128" s="131">
        <v>9.3700000000000006E-2</v>
      </c>
      <c r="W128" s="131">
        <v>9.3799999999999994E-2</v>
      </c>
      <c r="X128" s="131">
        <v>9.3700000000000006E-2</v>
      </c>
      <c r="Y128" s="131">
        <v>9.3899999999999997E-2</v>
      </c>
      <c r="Z128" s="131">
        <v>9.3799999999999994E-2</v>
      </c>
      <c r="AA128" s="131">
        <v>9.3799999999999994E-2</v>
      </c>
      <c r="AB128" s="131">
        <v>9.3700000000000006E-2</v>
      </c>
      <c r="AC128" s="131">
        <v>9.3700000000000006E-2</v>
      </c>
      <c r="AD128" s="131">
        <v>9.3600000000000003E-2</v>
      </c>
      <c r="AE128" s="131">
        <v>9.3600000000000003E-2</v>
      </c>
      <c r="AF128" s="131">
        <v>9.3600000000000003E-2</v>
      </c>
      <c r="AG128" s="131">
        <v>9.3899999999999997E-2</v>
      </c>
    </row>
    <row r="129" spans="1:33" x14ac:dyDescent="0.2">
      <c r="A129" s="136" t="s">
        <v>132</v>
      </c>
      <c r="B129" s="131">
        <v>9.4E-2</v>
      </c>
      <c r="C129" s="131">
        <v>9.4500000000000001E-2</v>
      </c>
      <c r="D129" s="131">
        <v>9.3799999999999994E-2</v>
      </c>
      <c r="E129" s="131">
        <v>9.3600000000000003E-2</v>
      </c>
      <c r="F129" s="131">
        <v>9.35E-2</v>
      </c>
      <c r="G129" s="131">
        <v>9.3299999999999994E-2</v>
      </c>
      <c r="H129" s="131">
        <v>9.3299999999999994E-2</v>
      </c>
      <c r="I129" s="131">
        <v>9.3200000000000005E-2</v>
      </c>
      <c r="J129" s="131">
        <v>9.3200000000000005E-2</v>
      </c>
      <c r="K129" s="131">
        <v>9.3100000000000002E-2</v>
      </c>
      <c r="L129" s="131">
        <v>9.2999999999999999E-2</v>
      </c>
      <c r="M129" s="131">
        <v>9.2899999999999996E-2</v>
      </c>
      <c r="N129" s="131">
        <v>9.2799999999999994E-2</v>
      </c>
      <c r="O129" s="131">
        <v>9.2799999999999994E-2</v>
      </c>
      <c r="P129" s="131">
        <v>9.3100000000000002E-2</v>
      </c>
      <c r="Q129" s="131">
        <v>9.3200000000000005E-2</v>
      </c>
      <c r="R129" s="131">
        <v>9.3899999999999997E-2</v>
      </c>
      <c r="S129" s="131">
        <v>9.3299999999999994E-2</v>
      </c>
      <c r="T129" s="131">
        <v>9.3299999999999994E-2</v>
      </c>
      <c r="U129" s="131">
        <v>9.3200000000000005E-2</v>
      </c>
      <c r="V129" s="131">
        <v>9.3200000000000005E-2</v>
      </c>
      <c r="W129" s="131">
        <v>9.3200000000000005E-2</v>
      </c>
      <c r="X129" s="131">
        <v>9.3200000000000005E-2</v>
      </c>
      <c r="Y129" s="131">
        <v>9.3399999999999997E-2</v>
      </c>
      <c r="Z129" s="131">
        <v>9.3299999999999994E-2</v>
      </c>
      <c r="AA129" s="131">
        <v>9.3200000000000005E-2</v>
      </c>
      <c r="AB129" s="131">
        <v>9.3200000000000005E-2</v>
      </c>
      <c r="AC129" s="131">
        <v>9.3100000000000002E-2</v>
      </c>
      <c r="AD129" s="131">
        <v>9.2999999999999999E-2</v>
      </c>
      <c r="AE129" s="131">
        <v>9.2899999999999996E-2</v>
      </c>
      <c r="AF129" s="131">
        <v>9.3100000000000002E-2</v>
      </c>
      <c r="AG129" s="131">
        <v>9.3299999999999994E-2</v>
      </c>
    </row>
    <row r="130" spans="1:33" x14ac:dyDescent="0.2">
      <c r="A130" s="136" t="s">
        <v>133</v>
      </c>
      <c r="B130" s="131">
        <v>9.3600000000000003E-2</v>
      </c>
      <c r="C130" s="131">
        <v>9.35E-2</v>
      </c>
      <c r="D130" s="131">
        <v>9.3299999999999994E-2</v>
      </c>
      <c r="E130" s="131">
        <v>9.3100000000000002E-2</v>
      </c>
      <c r="F130" s="131">
        <v>9.2899999999999996E-2</v>
      </c>
      <c r="G130" s="131">
        <v>9.3399999999999997E-2</v>
      </c>
      <c r="H130" s="131">
        <v>9.2799999999999994E-2</v>
      </c>
      <c r="I130" s="131">
        <v>9.2799999999999994E-2</v>
      </c>
      <c r="J130" s="131">
        <v>9.2799999999999994E-2</v>
      </c>
      <c r="K130" s="131">
        <v>9.2600000000000002E-2</v>
      </c>
      <c r="L130" s="131">
        <v>9.2499999999999999E-2</v>
      </c>
      <c r="M130" s="131">
        <v>9.2399999999999996E-2</v>
      </c>
      <c r="N130" s="131">
        <v>9.2299999999999993E-2</v>
      </c>
      <c r="O130" s="131">
        <v>9.2299999999999993E-2</v>
      </c>
      <c r="P130" s="131">
        <v>9.2600000000000002E-2</v>
      </c>
      <c r="Q130" s="131">
        <v>9.2600000000000002E-2</v>
      </c>
      <c r="R130" s="131">
        <v>9.2899999999999996E-2</v>
      </c>
      <c r="S130" s="131">
        <v>9.2799999999999994E-2</v>
      </c>
      <c r="T130" s="131">
        <v>9.2799999999999994E-2</v>
      </c>
      <c r="U130" s="131">
        <v>9.2899999999999996E-2</v>
      </c>
      <c r="V130" s="131">
        <v>9.2799999999999994E-2</v>
      </c>
      <c r="W130" s="131">
        <v>9.2899999999999996E-2</v>
      </c>
      <c r="X130" s="131">
        <v>9.2799999999999994E-2</v>
      </c>
      <c r="Y130" s="131">
        <v>9.2899999999999996E-2</v>
      </c>
      <c r="Z130" s="131">
        <v>9.2799999999999994E-2</v>
      </c>
      <c r="AA130" s="131">
        <v>9.2700000000000005E-2</v>
      </c>
      <c r="AB130" s="131">
        <v>9.2799999999999994E-2</v>
      </c>
      <c r="AC130" s="131">
        <v>9.2700000000000005E-2</v>
      </c>
      <c r="AD130" s="131">
        <v>9.2600000000000002E-2</v>
      </c>
      <c r="AE130" s="131">
        <v>9.2499999999999999E-2</v>
      </c>
      <c r="AF130" s="131">
        <v>9.2499999999999999E-2</v>
      </c>
      <c r="AG130" s="131">
        <v>9.2799999999999994E-2</v>
      </c>
    </row>
    <row r="131" spans="1:33" x14ac:dyDescent="0.2">
      <c r="A131" s="136" t="s">
        <v>134</v>
      </c>
      <c r="B131" s="131">
        <v>9.3399999999999997E-2</v>
      </c>
      <c r="C131" s="131">
        <v>9.3399999999999997E-2</v>
      </c>
      <c r="D131" s="131">
        <v>9.3299999999999994E-2</v>
      </c>
      <c r="E131" s="131">
        <v>9.3399999999999997E-2</v>
      </c>
      <c r="F131" s="131">
        <v>9.3200000000000005E-2</v>
      </c>
      <c r="G131" s="131">
        <v>9.3100000000000002E-2</v>
      </c>
      <c r="H131" s="131">
        <v>9.2999999999999999E-2</v>
      </c>
      <c r="I131" s="131">
        <v>9.3100000000000002E-2</v>
      </c>
      <c r="J131" s="131">
        <v>9.3100000000000002E-2</v>
      </c>
      <c r="K131" s="131">
        <v>9.2999999999999999E-2</v>
      </c>
      <c r="L131" s="131">
        <v>9.2899999999999996E-2</v>
      </c>
      <c r="M131" s="131">
        <v>9.2799999999999994E-2</v>
      </c>
      <c r="N131" s="131">
        <v>9.2799999999999994E-2</v>
      </c>
      <c r="O131" s="131">
        <v>9.2799999999999994E-2</v>
      </c>
      <c r="P131" s="131">
        <v>9.2999999999999999E-2</v>
      </c>
      <c r="Q131" s="131">
        <v>9.3200000000000005E-2</v>
      </c>
      <c r="R131" s="131">
        <v>9.3299999999999994E-2</v>
      </c>
      <c r="S131" s="131">
        <v>9.3299999999999994E-2</v>
      </c>
      <c r="T131" s="131">
        <v>9.3299999999999994E-2</v>
      </c>
      <c r="U131" s="131">
        <v>9.3200000000000005E-2</v>
      </c>
      <c r="V131" s="131">
        <v>9.3200000000000005E-2</v>
      </c>
      <c r="W131" s="131">
        <v>9.3299999999999994E-2</v>
      </c>
      <c r="X131" s="131">
        <v>9.3299999999999994E-2</v>
      </c>
      <c r="Y131" s="131">
        <v>9.3399999999999997E-2</v>
      </c>
      <c r="Z131" s="131">
        <v>9.3299999999999994E-2</v>
      </c>
      <c r="AA131" s="131">
        <v>9.3200000000000005E-2</v>
      </c>
      <c r="AB131" s="131">
        <v>9.3200000000000005E-2</v>
      </c>
      <c r="AC131" s="131">
        <v>9.2999999999999999E-2</v>
      </c>
      <c r="AD131" s="131">
        <v>9.3100000000000002E-2</v>
      </c>
      <c r="AE131" s="131">
        <v>9.2899999999999996E-2</v>
      </c>
      <c r="AF131" s="131">
        <v>9.2999999999999999E-2</v>
      </c>
      <c r="AG131" s="131">
        <v>9.3299999999999994E-2</v>
      </c>
    </row>
    <row r="132" spans="1:33" x14ac:dyDescent="0.2">
      <c r="A132" s="136" t="s">
        <v>135</v>
      </c>
      <c r="B132" s="131">
        <v>9.4200000000000006E-2</v>
      </c>
      <c r="C132" s="131">
        <v>9.4299999999999995E-2</v>
      </c>
      <c r="D132" s="131">
        <v>9.4200000000000006E-2</v>
      </c>
      <c r="E132" s="131">
        <v>9.4E-2</v>
      </c>
      <c r="F132" s="131">
        <v>9.3899999999999997E-2</v>
      </c>
      <c r="G132" s="131">
        <v>9.3799999999999994E-2</v>
      </c>
      <c r="H132" s="131">
        <v>9.3700000000000006E-2</v>
      </c>
      <c r="I132" s="131">
        <v>9.3600000000000003E-2</v>
      </c>
      <c r="J132" s="131">
        <v>9.35E-2</v>
      </c>
      <c r="K132" s="131">
        <v>9.35E-2</v>
      </c>
      <c r="L132" s="131">
        <v>9.3899999999999997E-2</v>
      </c>
      <c r="M132" s="131">
        <v>9.3100000000000002E-2</v>
      </c>
      <c r="N132" s="131">
        <v>9.3100000000000002E-2</v>
      </c>
      <c r="O132" s="131">
        <v>9.2999999999999999E-2</v>
      </c>
      <c r="P132" s="131">
        <v>9.3299999999999994E-2</v>
      </c>
      <c r="Q132" s="131">
        <v>9.3399999999999997E-2</v>
      </c>
      <c r="R132" s="131">
        <v>9.3600000000000003E-2</v>
      </c>
      <c r="S132" s="131">
        <v>9.3700000000000006E-2</v>
      </c>
      <c r="T132" s="131">
        <v>9.3700000000000006E-2</v>
      </c>
      <c r="U132" s="131">
        <v>9.3700000000000006E-2</v>
      </c>
      <c r="V132" s="131">
        <v>9.3600000000000003E-2</v>
      </c>
      <c r="W132" s="131">
        <v>9.3700000000000006E-2</v>
      </c>
      <c r="X132" s="131">
        <v>9.3600000000000003E-2</v>
      </c>
      <c r="Y132" s="131">
        <v>9.3700000000000006E-2</v>
      </c>
      <c r="Z132" s="131">
        <v>9.3600000000000003E-2</v>
      </c>
      <c r="AA132" s="131">
        <v>9.3600000000000003E-2</v>
      </c>
      <c r="AB132" s="131">
        <v>9.35E-2</v>
      </c>
      <c r="AC132" s="131">
        <v>9.3399999999999997E-2</v>
      </c>
      <c r="AD132" s="131">
        <v>9.3399999999999997E-2</v>
      </c>
      <c r="AE132" s="131">
        <v>9.3299999999999994E-2</v>
      </c>
      <c r="AF132" s="131">
        <v>9.3299999999999994E-2</v>
      </c>
      <c r="AG132" s="131">
        <v>9.3700000000000006E-2</v>
      </c>
    </row>
    <row r="133" spans="1:33" x14ac:dyDescent="0.2">
      <c r="A133" s="136" t="s">
        <v>136</v>
      </c>
      <c r="B133" s="131">
        <v>9.6000000000000002E-2</v>
      </c>
      <c r="C133" s="131">
        <v>9.5600000000000004E-2</v>
      </c>
      <c r="D133" s="131">
        <v>9.5399999999999999E-2</v>
      </c>
      <c r="E133" s="131">
        <v>9.5299999999999996E-2</v>
      </c>
      <c r="F133" s="131">
        <v>9.5299999999999996E-2</v>
      </c>
      <c r="G133" s="131">
        <v>9.5200000000000007E-2</v>
      </c>
      <c r="H133" s="131">
        <v>9.5100000000000004E-2</v>
      </c>
      <c r="I133" s="131">
        <v>9.5200000000000007E-2</v>
      </c>
      <c r="J133" s="131">
        <v>9.4899999999999998E-2</v>
      </c>
      <c r="K133" s="131">
        <v>9.5000000000000001E-2</v>
      </c>
      <c r="L133" s="131">
        <v>9.5000000000000001E-2</v>
      </c>
      <c r="M133" s="131">
        <v>9.4799999999999995E-2</v>
      </c>
      <c r="N133" s="131">
        <v>9.4799999999999995E-2</v>
      </c>
      <c r="O133" s="131">
        <v>9.4700000000000006E-2</v>
      </c>
      <c r="P133" s="131">
        <v>9.5100000000000004E-2</v>
      </c>
      <c r="Q133" s="131">
        <v>9.5100000000000004E-2</v>
      </c>
      <c r="R133" s="131">
        <v>9.5299999999999996E-2</v>
      </c>
      <c r="S133" s="131">
        <v>9.6100000000000005E-2</v>
      </c>
      <c r="T133" s="131">
        <v>9.5399999999999999E-2</v>
      </c>
      <c r="U133" s="131">
        <v>9.5500000000000002E-2</v>
      </c>
      <c r="V133" s="131">
        <v>9.5399999999999999E-2</v>
      </c>
      <c r="W133" s="131">
        <v>9.5399999999999999E-2</v>
      </c>
      <c r="X133" s="131">
        <v>9.5500000000000002E-2</v>
      </c>
      <c r="Y133" s="131">
        <v>9.5600000000000004E-2</v>
      </c>
      <c r="Z133" s="131">
        <v>9.5399999999999999E-2</v>
      </c>
      <c r="AA133" s="131">
        <v>9.5399999999999999E-2</v>
      </c>
      <c r="AB133" s="131">
        <v>9.5299999999999996E-2</v>
      </c>
      <c r="AC133" s="131">
        <v>9.5200000000000007E-2</v>
      </c>
      <c r="AD133" s="131">
        <v>9.5200000000000007E-2</v>
      </c>
      <c r="AE133" s="131">
        <v>9.5000000000000001E-2</v>
      </c>
      <c r="AF133" s="131">
        <v>9.5200000000000007E-2</v>
      </c>
      <c r="AG133" s="131">
        <v>9.5399999999999999E-2</v>
      </c>
    </row>
    <row r="134" spans="1:33" x14ac:dyDescent="0.2">
      <c r="A134" s="136" t="s">
        <v>137</v>
      </c>
      <c r="B134" s="131">
        <v>9.8599999999999993E-2</v>
      </c>
      <c r="C134" s="131">
        <v>9.74E-2</v>
      </c>
      <c r="D134" s="131">
        <v>9.7299999999999998E-2</v>
      </c>
      <c r="E134" s="131">
        <v>9.69E-2</v>
      </c>
      <c r="F134" s="131">
        <v>9.8900000000000002E-2</v>
      </c>
      <c r="G134" s="131">
        <v>9.7299999999999998E-2</v>
      </c>
      <c r="H134" s="131">
        <v>9.8699999999999996E-2</v>
      </c>
      <c r="I134" s="131">
        <v>9.7600000000000006E-2</v>
      </c>
      <c r="J134" s="131">
        <v>9.7199999999999995E-2</v>
      </c>
      <c r="K134" s="131">
        <v>9.7299999999999998E-2</v>
      </c>
      <c r="L134" s="131">
        <v>9.7299999999999998E-2</v>
      </c>
      <c r="M134" s="131">
        <v>9.69E-2</v>
      </c>
      <c r="N134" s="131">
        <v>9.7299999999999998E-2</v>
      </c>
      <c r="O134" s="131">
        <v>9.6600000000000005E-2</v>
      </c>
      <c r="P134" s="131">
        <v>9.69E-2</v>
      </c>
      <c r="Q134" s="131">
        <v>9.7199999999999995E-2</v>
      </c>
      <c r="R134" s="131">
        <v>9.7600000000000006E-2</v>
      </c>
      <c r="S134" s="131">
        <v>9.74E-2</v>
      </c>
      <c r="T134" s="131">
        <v>9.7799999999999998E-2</v>
      </c>
      <c r="U134" s="131">
        <v>9.7500000000000003E-2</v>
      </c>
      <c r="V134" s="131">
        <v>9.8900000000000002E-2</v>
      </c>
      <c r="W134" s="131">
        <v>9.9099999999999994E-2</v>
      </c>
      <c r="X134" s="131">
        <v>9.8000000000000004E-2</v>
      </c>
      <c r="Y134" s="131">
        <v>9.7799999999999998E-2</v>
      </c>
      <c r="Z134" s="131">
        <v>9.7699999999999995E-2</v>
      </c>
      <c r="AA134" s="131">
        <v>9.7900000000000001E-2</v>
      </c>
      <c r="AB134" s="131">
        <v>9.7199999999999995E-2</v>
      </c>
      <c r="AC134" s="131">
        <v>9.7799999999999998E-2</v>
      </c>
      <c r="AD134" s="131">
        <v>9.74E-2</v>
      </c>
      <c r="AE134" s="131">
        <v>9.7100000000000006E-2</v>
      </c>
      <c r="AF134" s="131">
        <v>9.7199999999999995E-2</v>
      </c>
      <c r="AG134" s="131">
        <v>9.8199999999999996E-2</v>
      </c>
    </row>
    <row r="135" spans="1:33" x14ac:dyDescent="0.2">
      <c r="A135" s="131"/>
      <c r="B135" s="131"/>
      <c r="C135" s="131"/>
      <c r="D135" s="131"/>
      <c r="E135" s="131"/>
      <c r="F135" s="131"/>
      <c r="G135" s="131"/>
      <c r="H135" s="131"/>
      <c r="I135" s="131"/>
      <c r="J135" s="131"/>
      <c r="K135" s="131"/>
      <c r="L135" s="131"/>
      <c r="M135" s="131"/>
      <c r="N135" s="131"/>
      <c r="O135" s="131"/>
      <c r="P135" s="131"/>
      <c r="Q135" s="131"/>
      <c r="R135" s="131"/>
      <c r="S135" s="131"/>
      <c r="T135" s="131"/>
      <c r="U135" s="131"/>
      <c r="V135" s="131"/>
      <c r="W135" s="131"/>
      <c r="X135" s="131"/>
      <c r="Y135" s="131"/>
      <c r="Z135" s="131"/>
      <c r="AA135" s="131"/>
      <c r="AB135" s="131"/>
      <c r="AC135" s="131"/>
      <c r="AD135" s="131"/>
      <c r="AE135" s="131"/>
      <c r="AF135" s="131"/>
      <c r="AG135" s="131"/>
    </row>
    <row r="136" spans="1:33" x14ac:dyDescent="0.2">
      <c r="A136" s="131"/>
      <c r="B136" s="131"/>
      <c r="C136" s="131"/>
      <c r="D136" s="131"/>
      <c r="E136" s="131"/>
      <c r="F136" s="131"/>
      <c r="G136" s="131"/>
      <c r="H136" s="131"/>
      <c r="I136" s="131"/>
      <c r="J136" s="131"/>
      <c r="K136" s="131"/>
      <c r="L136" s="131"/>
      <c r="M136" s="131"/>
      <c r="N136" s="131"/>
      <c r="O136" s="131"/>
      <c r="P136" s="131"/>
      <c r="Q136" s="131"/>
      <c r="R136" s="131"/>
      <c r="S136" s="131"/>
      <c r="T136" s="131"/>
      <c r="U136" s="131"/>
      <c r="V136" s="131"/>
      <c r="W136" s="131"/>
      <c r="X136" s="131"/>
      <c r="Y136" s="131"/>
      <c r="Z136" s="131"/>
      <c r="AA136" s="131"/>
      <c r="AB136" s="131"/>
      <c r="AC136" s="131"/>
      <c r="AD136" s="131"/>
      <c r="AE136" s="131"/>
      <c r="AF136" s="131"/>
      <c r="AG136" s="131"/>
    </row>
    <row r="137" spans="1:33" x14ac:dyDescent="0.2">
      <c r="A137" s="131"/>
      <c r="B137" s="131"/>
      <c r="C137" s="131"/>
      <c r="D137" s="131"/>
      <c r="E137" s="131"/>
      <c r="F137" s="131"/>
      <c r="G137" s="131"/>
      <c r="H137" s="131"/>
      <c r="I137" s="131"/>
      <c r="J137" s="131"/>
      <c r="K137" s="131"/>
      <c r="L137" s="131"/>
      <c r="M137" s="131"/>
      <c r="N137" s="131"/>
      <c r="O137" s="131"/>
      <c r="P137" s="131"/>
      <c r="Q137" s="131"/>
      <c r="R137" s="131"/>
      <c r="S137" s="131"/>
      <c r="T137" s="131"/>
      <c r="U137" s="131"/>
      <c r="V137" s="131"/>
      <c r="W137" s="131"/>
      <c r="X137" s="131"/>
      <c r="Y137" s="131"/>
      <c r="Z137" s="131"/>
      <c r="AA137" s="131"/>
      <c r="AB137" s="131"/>
      <c r="AC137" s="131"/>
      <c r="AD137" s="131"/>
      <c r="AE137" s="131"/>
      <c r="AF137" s="131"/>
      <c r="AG137" s="131"/>
    </row>
    <row r="138" spans="1:33" x14ac:dyDescent="0.2">
      <c r="A138" s="131"/>
      <c r="B138" s="131"/>
      <c r="C138" s="131"/>
      <c r="D138" s="131"/>
      <c r="E138" s="131"/>
      <c r="F138" s="131"/>
      <c r="G138" s="131"/>
      <c r="H138" s="131"/>
      <c r="I138" s="131"/>
      <c r="J138" s="131"/>
      <c r="K138" s="131"/>
      <c r="L138" s="131"/>
      <c r="M138" s="131"/>
      <c r="N138" s="131"/>
      <c r="O138" s="131"/>
      <c r="P138" s="131"/>
      <c r="Q138" s="131"/>
      <c r="R138" s="131"/>
      <c r="S138" s="131"/>
      <c r="T138" s="131"/>
      <c r="U138" s="131"/>
      <c r="V138" s="131"/>
      <c r="W138" s="131"/>
      <c r="X138" s="131"/>
      <c r="Y138" s="131"/>
      <c r="Z138" s="131"/>
      <c r="AA138" s="131"/>
      <c r="AB138" s="131"/>
      <c r="AC138" s="131"/>
      <c r="AD138" s="131"/>
      <c r="AE138" s="131"/>
      <c r="AF138" s="131"/>
      <c r="AG138" s="131"/>
    </row>
    <row r="139" spans="1:33" x14ac:dyDescent="0.2">
      <c r="A139" s="131" t="s">
        <v>138</v>
      </c>
      <c r="B139" s="133">
        <v>43223.74559027778</v>
      </c>
      <c r="C139" s="131"/>
      <c r="D139" s="131"/>
      <c r="E139" s="131"/>
      <c r="F139" s="131"/>
      <c r="G139" s="131"/>
      <c r="H139" s="131"/>
      <c r="I139" s="131"/>
      <c r="J139" s="131"/>
      <c r="K139" s="131"/>
      <c r="L139" s="131"/>
      <c r="M139" s="131"/>
      <c r="N139" s="131"/>
      <c r="O139" s="131"/>
      <c r="P139" s="131"/>
      <c r="Q139" s="131"/>
      <c r="R139" s="131"/>
      <c r="S139" s="131"/>
      <c r="T139" s="131"/>
      <c r="U139" s="131"/>
      <c r="V139" s="131"/>
      <c r="W139" s="131"/>
      <c r="X139" s="131"/>
      <c r="Y139" s="131"/>
      <c r="Z139" s="131"/>
      <c r="AA139" s="131"/>
      <c r="AB139" s="131"/>
      <c r="AC139" s="131"/>
      <c r="AD139" s="131"/>
      <c r="AE139" s="131"/>
      <c r="AF139" s="131"/>
      <c r="AG139" s="131"/>
    </row>
  </sheetData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22D55-5D7A-9847-8A58-1D998F43FB99}">
  <sheetPr codeName="Sheet270"/>
  <dimension ref="A1:F4"/>
  <sheetViews>
    <sheetView workbookViewId="0"/>
  </sheetViews>
  <sheetFormatPr baseColWidth="10" defaultRowHeight="15" x14ac:dyDescent="0.2"/>
  <sheetData>
    <row r="1" spans="1:6" x14ac:dyDescent="0.2">
      <c r="A1" t="s">
        <v>229</v>
      </c>
      <c r="B1" t="s">
        <v>230</v>
      </c>
      <c r="C1" t="s">
        <v>231</v>
      </c>
      <c r="D1" t="s">
        <v>232</v>
      </c>
      <c r="E1" t="s">
        <v>233</v>
      </c>
      <c r="F1" t="s">
        <v>234</v>
      </c>
    </row>
    <row r="2" spans="1:6" x14ac:dyDescent="0.2">
      <c r="A2">
        <v>1</v>
      </c>
      <c r="B2">
        <v>0</v>
      </c>
      <c r="C2" t="s">
        <v>199</v>
      </c>
      <c r="D2" s="162" t="s">
        <v>55</v>
      </c>
      <c r="E2">
        <f>'NSA739std-B'!$J$51</f>
        <v>29.9</v>
      </c>
      <c r="F2" s="172">
        <f>'NSA739std-B'!$J$45</f>
        <v>0.99718884199507296</v>
      </c>
    </row>
    <row r="3" spans="1:6" x14ac:dyDescent="0.2">
      <c r="A3">
        <v>1</v>
      </c>
      <c r="B3">
        <v>0</v>
      </c>
      <c r="C3" t="s">
        <v>199</v>
      </c>
      <c r="D3" s="163" t="s">
        <v>56</v>
      </c>
      <c r="E3">
        <f>'NSA739std-B'!$P$51</f>
        <v>29.5</v>
      </c>
      <c r="F3" s="172">
        <f>'NSA739std-B'!$P$45</f>
        <v>0.99721913159784925</v>
      </c>
    </row>
    <row r="4" spans="1:6" x14ac:dyDescent="0.2">
      <c r="A4">
        <v>1</v>
      </c>
      <c r="B4">
        <v>0</v>
      </c>
      <c r="C4" t="s">
        <v>199</v>
      </c>
      <c r="D4" s="164" t="s">
        <v>57</v>
      </c>
      <c r="E4">
        <f>'NSA739std-B'!$V$51</f>
        <v>31.6</v>
      </c>
      <c r="F4" s="172">
        <f>'NSA739std-B'!$V$45</f>
        <v>0.9949458053717144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1EED-4908-9D4F-AFD8-190FEE3E5EA1}">
  <sheetPr codeName="Sheet273"/>
  <dimension ref="A42:AG102"/>
  <sheetViews>
    <sheetView workbookViewId="0">
      <selection activeCell="R97" sqref="R97"/>
    </sheetView>
  </sheetViews>
  <sheetFormatPr baseColWidth="10" defaultRowHeight="15" x14ac:dyDescent="0.2"/>
  <sheetData>
    <row r="42" spans="9:24" x14ac:dyDescent="0.2">
      <c r="I42" t="s">
        <v>281</v>
      </c>
      <c r="O42" t="s">
        <v>281</v>
      </c>
      <c r="U42" t="s">
        <v>281</v>
      </c>
    </row>
    <row r="43" spans="9:24" x14ac:dyDescent="0.2">
      <c r="I43" t="s">
        <v>282</v>
      </c>
      <c r="J43" s="167">
        <f t="array" ref="J43:K47">LOGEST($H$94:$R$94,$H$54:$R$54,TRUE,TRUE)</f>
        <v>1.0003866674658315</v>
      </c>
      <c r="K43" s="167">
        <v>6.0193434506695346E-4</v>
      </c>
      <c r="L43" t="s">
        <v>287</v>
      </c>
      <c r="O43" t="s">
        <v>282</v>
      </c>
      <c r="P43" s="167">
        <f t="array" ref="P43:Q47">LOGEST($H$95:$R$95,$H$54:$R$54,TRUE,TRUE)</f>
        <v>1.0003912076010173</v>
      </c>
      <c r="Q43" s="167">
        <v>5.7101425928125175E-4</v>
      </c>
      <c r="R43" t="s">
        <v>287</v>
      </c>
      <c r="U43" t="s">
        <v>282</v>
      </c>
      <c r="V43" s="167">
        <f t="array" ref="V43:W47">LOGEST($H$96:$R$96,$H$54:$R$54,TRUE,TRUE)</f>
        <v>1.0003653471844587</v>
      </c>
      <c r="W43" s="167">
        <v>7.8314104512633312E-4</v>
      </c>
      <c r="X43" t="s">
        <v>287</v>
      </c>
    </row>
    <row r="44" spans="9:24" x14ac:dyDescent="0.2">
      <c r="I44" t="s">
        <v>283</v>
      </c>
      <c r="J44" s="167">
        <v>6.8420516793324205E-6</v>
      </c>
      <c r="K44" s="167">
        <v>7.0487774308076581E-2</v>
      </c>
      <c r="L44" t="s">
        <v>288</v>
      </c>
      <c r="O44" t="s">
        <v>283</v>
      </c>
      <c r="P44" s="167">
        <v>6.8848742377442586E-6</v>
      </c>
      <c r="Q44" s="167">
        <v>7.0928938300120939E-2</v>
      </c>
      <c r="R44" t="s">
        <v>288</v>
      </c>
      <c r="U44" t="s">
        <v>283</v>
      </c>
      <c r="V44" s="167">
        <v>8.6782359978008157E-6</v>
      </c>
      <c r="W44" s="167">
        <v>8.9404402228206253E-2</v>
      </c>
      <c r="X44" t="s">
        <v>288</v>
      </c>
    </row>
    <row r="45" spans="9:24" x14ac:dyDescent="0.2">
      <c r="I45" t="s">
        <v>284</v>
      </c>
      <c r="J45" s="172">
        <v>0.99718884199507296</v>
      </c>
      <c r="K45" s="167">
        <v>6.4591802203521828E-2</v>
      </c>
      <c r="L45" t="s">
        <v>289</v>
      </c>
      <c r="O45" t="s">
        <v>284</v>
      </c>
      <c r="P45" s="172">
        <v>0.99721913159784925</v>
      </c>
      <c r="Q45" s="167">
        <v>6.4996064894366642E-2</v>
      </c>
      <c r="R45" t="s">
        <v>289</v>
      </c>
      <c r="U45" t="s">
        <v>284</v>
      </c>
      <c r="V45" s="172">
        <v>0.9949458053717144</v>
      </c>
      <c r="W45" s="167">
        <v>8.1926142817460482E-2</v>
      </c>
      <c r="X45" t="s">
        <v>289</v>
      </c>
    </row>
    <row r="46" spans="9:24" x14ac:dyDescent="0.2">
      <c r="I46" t="s">
        <v>285</v>
      </c>
      <c r="J46" s="167">
        <v>3192.5276210820412</v>
      </c>
      <c r="K46" s="167">
        <v>9</v>
      </c>
      <c r="L46" t="s">
        <v>290</v>
      </c>
      <c r="O46" t="s">
        <v>285</v>
      </c>
      <c r="P46" s="167">
        <v>3227.3991021795409</v>
      </c>
      <c r="Q46" s="167">
        <v>9</v>
      </c>
      <c r="R46" t="s">
        <v>290</v>
      </c>
      <c r="U46" t="s">
        <v>285</v>
      </c>
      <c r="V46" s="167">
        <v>1771.6991344638584</v>
      </c>
      <c r="W46" s="167">
        <v>9</v>
      </c>
      <c r="X46" t="s">
        <v>290</v>
      </c>
    </row>
    <row r="47" spans="9:24" x14ac:dyDescent="0.2">
      <c r="I47" t="s">
        <v>286</v>
      </c>
      <c r="J47" s="167">
        <v>13.319547399178768</v>
      </c>
      <c r="K47" s="167">
        <v>3.7548908207089983E-2</v>
      </c>
      <c r="L47" t="s">
        <v>291</v>
      </c>
      <c r="O47" t="s">
        <v>286</v>
      </c>
      <c r="P47" s="167">
        <v>13.634110236354569</v>
      </c>
      <c r="Q47" s="167">
        <v>3.8020396065774481E-2</v>
      </c>
      <c r="R47" t="s">
        <v>291</v>
      </c>
      <c r="U47" t="s">
        <v>286</v>
      </c>
      <c r="V47" s="167">
        <v>11.891454800701016</v>
      </c>
      <c r="W47" s="167">
        <v>6.0407035892522387E-2</v>
      </c>
      <c r="X47" t="s">
        <v>291</v>
      </c>
    </row>
    <row r="49" spans="1:33" x14ac:dyDescent="0.2">
      <c r="I49" t="s">
        <v>292</v>
      </c>
      <c r="J49">
        <f>LN($J$43)</f>
        <v>3.8659272923177918E-4</v>
      </c>
      <c r="O49" t="s">
        <v>292</v>
      </c>
      <c r="P49">
        <f>LN($P$43)</f>
        <v>3.9113109927514086E-4</v>
      </c>
      <c r="U49" t="s">
        <v>292</v>
      </c>
      <c r="V49">
        <f>LN($V$43)</f>
        <v>3.6528046142697698E-4</v>
      </c>
    </row>
    <row r="50" spans="1:33" x14ac:dyDescent="0.2">
      <c r="I50" t="s">
        <v>293</v>
      </c>
      <c r="J50">
        <f>ROUND(LN(2)/$J$49, 1)</f>
        <v>1793</v>
      </c>
      <c r="O50" t="s">
        <v>293</v>
      </c>
      <c r="P50">
        <f>ROUND(LN(2)/$P$49, 1)</f>
        <v>1772.2</v>
      </c>
      <c r="U50" t="s">
        <v>293</v>
      </c>
      <c r="V50">
        <f>ROUND(LN(2)/$V$49, 1)</f>
        <v>1897.6</v>
      </c>
    </row>
    <row r="51" spans="1:33" x14ac:dyDescent="0.2">
      <c r="I51" t="s">
        <v>233</v>
      </c>
      <c r="J51" s="161">
        <f>ROUND($J$50/60, 1)</f>
        <v>29.9</v>
      </c>
      <c r="O51" t="s">
        <v>233</v>
      </c>
      <c r="P51" s="161">
        <f>ROUND($P$50/60, 1)</f>
        <v>29.5</v>
      </c>
      <c r="U51" t="s">
        <v>233</v>
      </c>
      <c r="V51" s="161">
        <f>ROUND($V$50/60, 1)</f>
        <v>31.6</v>
      </c>
    </row>
    <row r="54" spans="1:33" x14ac:dyDescent="0.2">
      <c r="A54" t="s">
        <v>235</v>
      </c>
      <c r="B54" s="131">
        <v>0</v>
      </c>
      <c r="C54" s="131">
        <v>900.1</v>
      </c>
      <c r="D54" s="131">
        <v>1800.2</v>
      </c>
      <c r="E54" s="131">
        <v>2700.3</v>
      </c>
      <c r="F54" s="131">
        <v>3600.4</v>
      </c>
      <c r="G54" s="131">
        <v>4500.5</v>
      </c>
      <c r="H54" s="131">
        <v>5400.6</v>
      </c>
      <c r="I54" s="131">
        <v>6300.7</v>
      </c>
      <c r="J54" s="131">
        <v>7200.8</v>
      </c>
      <c r="K54" s="131">
        <v>8100.9</v>
      </c>
      <c r="L54" s="131">
        <v>9001</v>
      </c>
      <c r="M54" s="131">
        <v>9901.1</v>
      </c>
      <c r="N54" s="131">
        <v>10801.2</v>
      </c>
      <c r="O54" s="131">
        <v>11701.3</v>
      </c>
      <c r="P54" s="131">
        <v>12601.4</v>
      </c>
      <c r="Q54" s="131">
        <v>13501.6</v>
      </c>
      <c r="R54" s="131">
        <v>14401.7</v>
      </c>
      <c r="S54" s="131">
        <v>15301.8</v>
      </c>
      <c r="T54" s="131">
        <v>16201.9</v>
      </c>
      <c r="U54" s="131">
        <v>17102</v>
      </c>
      <c r="V54" s="131">
        <v>18002.099999999999</v>
      </c>
      <c r="W54" s="131">
        <v>18902.2</v>
      </c>
      <c r="X54" s="131">
        <v>19802.3</v>
      </c>
      <c r="Y54" s="131">
        <v>20702.400000000001</v>
      </c>
      <c r="Z54" s="131">
        <v>21602.5</v>
      </c>
      <c r="AA54" s="131">
        <v>22502.6</v>
      </c>
      <c r="AB54" s="131">
        <v>23402.7</v>
      </c>
      <c r="AC54" s="131">
        <v>24302.799999999999</v>
      </c>
      <c r="AD54" s="131">
        <v>25202.9</v>
      </c>
      <c r="AE54" s="131">
        <v>26103</v>
      </c>
      <c r="AF54" s="131">
        <v>27003.1</v>
      </c>
      <c r="AG54" s="154">
        <v>27903.200000000001</v>
      </c>
    </row>
    <row r="55" spans="1:33" x14ac:dyDescent="0.2">
      <c r="A55" s="162" t="s">
        <v>236</v>
      </c>
      <c r="B55" s="162">
        <v>9.6299999999999997E-2</v>
      </c>
      <c r="C55" s="162">
        <v>9.6699999999999994E-2</v>
      </c>
      <c r="D55" s="162">
        <v>9.6699999999999994E-2</v>
      </c>
      <c r="E55" s="162">
        <v>9.6600000000000005E-2</v>
      </c>
      <c r="F55" s="162">
        <v>9.7000000000000003E-2</v>
      </c>
      <c r="G55" s="162">
        <v>9.7500000000000003E-2</v>
      </c>
      <c r="H55" s="162">
        <v>9.8299999999999998E-2</v>
      </c>
      <c r="I55" s="162">
        <v>9.9900000000000003E-2</v>
      </c>
      <c r="J55" s="162">
        <v>0.1021</v>
      </c>
      <c r="K55" s="162">
        <v>0.10580000000000001</v>
      </c>
      <c r="L55" s="162">
        <v>0.11169999999999999</v>
      </c>
      <c r="M55" s="162">
        <v>0.12039999999999999</v>
      </c>
      <c r="N55" s="162">
        <v>0.13370000000000001</v>
      </c>
      <c r="O55" s="162">
        <v>0.1525</v>
      </c>
      <c r="P55" s="162">
        <v>0.17659999000000001</v>
      </c>
      <c r="Q55" s="162">
        <v>0.20460001</v>
      </c>
      <c r="R55" s="162">
        <v>0.23830000000000001</v>
      </c>
      <c r="S55" s="162">
        <v>0.27849998999999998</v>
      </c>
      <c r="T55" s="162">
        <v>0.32359999</v>
      </c>
      <c r="U55" s="162">
        <v>0.37169998999999998</v>
      </c>
      <c r="V55" s="162">
        <v>0.42399998999999999</v>
      </c>
      <c r="W55" s="162">
        <v>0.47490000999999998</v>
      </c>
      <c r="X55" s="162">
        <v>0.51779997</v>
      </c>
      <c r="Y55" s="162">
        <v>0.55080003</v>
      </c>
      <c r="Z55" s="162">
        <v>0.56639998999999996</v>
      </c>
      <c r="AA55" s="162">
        <v>0.58270001000000005</v>
      </c>
      <c r="AB55" s="162">
        <v>0.59969996999999997</v>
      </c>
      <c r="AC55" s="162">
        <v>0.61470002000000001</v>
      </c>
      <c r="AD55" s="162">
        <v>0.63190000999999996</v>
      </c>
      <c r="AE55" s="162">
        <v>0.64770000999999999</v>
      </c>
      <c r="AF55" s="162">
        <v>0.66420000999999995</v>
      </c>
      <c r="AG55" s="162">
        <v>0.67739998999999995</v>
      </c>
    </row>
    <row r="56" spans="1:33" x14ac:dyDescent="0.2">
      <c r="A56" s="163" t="s">
        <v>237</v>
      </c>
      <c r="B56" s="163">
        <v>9.6299999999999997E-2</v>
      </c>
      <c r="C56" s="163">
        <v>9.6500000000000002E-2</v>
      </c>
      <c r="D56" s="163">
        <v>9.6600000000000005E-2</v>
      </c>
      <c r="E56" s="163">
        <v>9.64E-2</v>
      </c>
      <c r="F56" s="163">
        <v>9.6799999999999997E-2</v>
      </c>
      <c r="G56" s="163">
        <v>9.74E-2</v>
      </c>
      <c r="H56" s="163">
        <v>9.8100000000000007E-2</v>
      </c>
      <c r="I56" s="163">
        <v>9.9599999999999994E-2</v>
      </c>
      <c r="J56" s="163">
        <v>0.10199999999999999</v>
      </c>
      <c r="K56" s="163">
        <v>0.10539999999999999</v>
      </c>
      <c r="L56" s="163">
        <v>0.1124</v>
      </c>
      <c r="M56" s="163">
        <v>0.1205</v>
      </c>
      <c r="N56" s="163">
        <v>0.13349999000000001</v>
      </c>
      <c r="O56" s="163">
        <v>0.15229999999999999</v>
      </c>
      <c r="P56" s="163">
        <v>0.17710000000000001</v>
      </c>
      <c r="Q56" s="163">
        <v>0.20479998999999999</v>
      </c>
      <c r="R56" s="163">
        <v>0.2384</v>
      </c>
      <c r="S56" s="163">
        <v>0.27880000999999999</v>
      </c>
      <c r="T56" s="163">
        <v>0.32379999999999998</v>
      </c>
      <c r="U56" s="163">
        <v>0.37319999999999998</v>
      </c>
      <c r="V56" s="163">
        <v>0.42599999999999999</v>
      </c>
      <c r="W56" s="163">
        <v>0.47620001000000001</v>
      </c>
      <c r="X56" s="163">
        <v>0.5212</v>
      </c>
      <c r="Y56" s="163">
        <v>0.55360001000000003</v>
      </c>
      <c r="Z56" s="163">
        <v>0.56849998000000002</v>
      </c>
      <c r="AA56" s="163">
        <v>0.58700001000000002</v>
      </c>
      <c r="AB56" s="163">
        <v>0.60299999000000004</v>
      </c>
      <c r="AC56" s="163">
        <v>0.61809999000000004</v>
      </c>
      <c r="AD56" s="163">
        <v>0.63510001000000005</v>
      </c>
      <c r="AE56" s="163">
        <v>0.64969999</v>
      </c>
      <c r="AF56" s="163">
        <v>0.66739999999999999</v>
      </c>
      <c r="AG56" s="163">
        <v>0.68129998000000003</v>
      </c>
    </row>
    <row r="57" spans="1:33" x14ac:dyDescent="0.2">
      <c r="A57" s="164" t="s">
        <v>238</v>
      </c>
      <c r="B57" s="164">
        <v>9.8500000000000004E-2</v>
      </c>
      <c r="C57" s="164">
        <v>9.8599999999999993E-2</v>
      </c>
      <c r="D57" s="164">
        <v>9.7900000000000001E-2</v>
      </c>
      <c r="E57" s="164">
        <v>9.7799999999999998E-2</v>
      </c>
      <c r="F57" s="164">
        <v>9.8100000000000007E-2</v>
      </c>
      <c r="G57" s="164">
        <v>9.9299999999999999E-2</v>
      </c>
      <c r="H57" s="164">
        <v>9.9500000000000005E-2</v>
      </c>
      <c r="I57" s="164">
        <v>0.10100000000000001</v>
      </c>
      <c r="J57" s="164">
        <v>0.1031</v>
      </c>
      <c r="K57" s="164">
        <v>0.10680000000000001</v>
      </c>
      <c r="L57" s="164">
        <v>0.1123</v>
      </c>
      <c r="M57" s="164">
        <v>0.1208</v>
      </c>
      <c r="N57" s="164">
        <v>0.13669999999999999</v>
      </c>
      <c r="O57" s="164">
        <v>0.15290000000000001</v>
      </c>
      <c r="P57" s="164">
        <v>0.1754</v>
      </c>
      <c r="Q57" s="164">
        <v>0.20319999999999999</v>
      </c>
      <c r="R57" s="164">
        <v>0.23599999999999999</v>
      </c>
      <c r="S57" s="164">
        <v>0.27639999999999998</v>
      </c>
      <c r="T57" s="164">
        <v>0.32089999000000002</v>
      </c>
      <c r="U57" s="164">
        <v>0.37040001</v>
      </c>
      <c r="V57" s="164">
        <v>0.42320001000000002</v>
      </c>
      <c r="W57" s="164">
        <v>0.47400001000000003</v>
      </c>
      <c r="X57" s="164">
        <v>0.51859999000000001</v>
      </c>
      <c r="Y57" s="164">
        <v>0.55720000999999997</v>
      </c>
      <c r="Z57" s="164">
        <v>0.56809997999999995</v>
      </c>
      <c r="AA57" s="164">
        <v>0.58770001000000005</v>
      </c>
      <c r="AB57" s="164">
        <v>0.60199999999999998</v>
      </c>
      <c r="AC57" s="164">
        <v>0.62010001999999997</v>
      </c>
      <c r="AD57" s="164">
        <v>0.63349997999999996</v>
      </c>
      <c r="AE57" s="164">
        <v>0.65130001000000004</v>
      </c>
      <c r="AF57" s="164">
        <v>0.66659999000000003</v>
      </c>
      <c r="AG57" s="164">
        <v>0.68069999999999997</v>
      </c>
    </row>
    <row r="58" spans="1:33" x14ac:dyDescent="0.2">
      <c r="A58" s="165" t="s">
        <v>239</v>
      </c>
      <c r="B58" s="166">
        <v>9.1899999999999996E-2</v>
      </c>
      <c r="C58" s="166">
        <v>9.1999999999999998E-2</v>
      </c>
      <c r="D58" s="166">
        <v>9.1999999999999998E-2</v>
      </c>
      <c r="E58" s="166">
        <v>9.1800000000000007E-2</v>
      </c>
      <c r="F58" s="166">
        <v>9.1899999999999996E-2</v>
      </c>
      <c r="G58" s="166">
        <v>9.1800000000000007E-2</v>
      </c>
      <c r="H58" s="166">
        <v>9.1899999999999996E-2</v>
      </c>
      <c r="I58" s="166">
        <v>9.1800000000000007E-2</v>
      </c>
      <c r="J58" s="166">
        <v>9.1800000000000007E-2</v>
      </c>
      <c r="K58" s="166">
        <v>9.1800000000000007E-2</v>
      </c>
      <c r="L58" s="166">
        <v>9.1700000000000004E-2</v>
      </c>
      <c r="M58" s="166">
        <v>9.1700000000000004E-2</v>
      </c>
      <c r="N58" s="166">
        <v>9.1499999999999998E-2</v>
      </c>
      <c r="O58" s="166">
        <v>9.1499999999999998E-2</v>
      </c>
      <c r="P58" s="166">
        <v>9.1700000000000004E-2</v>
      </c>
      <c r="Q58" s="166">
        <v>9.1800000000000007E-2</v>
      </c>
      <c r="R58" s="166">
        <v>9.1899999999999996E-2</v>
      </c>
      <c r="S58" s="166">
        <v>9.1999999999999998E-2</v>
      </c>
      <c r="T58" s="166">
        <v>9.1999999999999998E-2</v>
      </c>
      <c r="U58" s="166">
        <v>9.2100000000000001E-2</v>
      </c>
      <c r="V58" s="166">
        <v>9.1999999999999998E-2</v>
      </c>
      <c r="W58" s="166">
        <v>9.2100000000000001E-2</v>
      </c>
      <c r="X58" s="166">
        <v>9.1999999999999998E-2</v>
      </c>
      <c r="Y58" s="166">
        <v>9.2100000000000001E-2</v>
      </c>
      <c r="Z58" s="166">
        <v>9.2100000000000001E-2</v>
      </c>
      <c r="AA58" s="166">
        <v>9.1999999999999998E-2</v>
      </c>
      <c r="AB58" s="166">
        <v>9.1999999999999998E-2</v>
      </c>
      <c r="AC58" s="166">
        <v>9.1899999999999996E-2</v>
      </c>
      <c r="AD58" s="166">
        <v>9.2100000000000001E-2</v>
      </c>
      <c r="AE58" s="166">
        <v>9.1800000000000007E-2</v>
      </c>
      <c r="AF58" s="166">
        <v>9.1899999999999996E-2</v>
      </c>
      <c r="AG58" s="166">
        <v>9.1899999999999996E-2</v>
      </c>
    </row>
    <row r="59" spans="1:33" x14ac:dyDescent="0.2">
      <c r="A59" s="165" t="s">
        <v>240</v>
      </c>
      <c r="B59" s="166">
        <v>9.2299999999999993E-2</v>
      </c>
      <c r="C59" s="166">
        <v>9.2200000000000004E-2</v>
      </c>
      <c r="D59" s="166">
        <v>9.2100000000000001E-2</v>
      </c>
      <c r="E59" s="166">
        <v>9.1999999999999998E-2</v>
      </c>
      <c r="F59" s="166">
        <v>9.1999999999999998E-2</v>
      </c>
      <c r="G59" s="166">
        <v>9.1999999999999998E-2</v>
      </c>
      <c r="H59" s="166">
        <v>9.1999999999999998E-2</v>
      </c>
      <c r="I59" s="166">
        <v>9.1999999999999998E-2</v>
      </c>
      <c r="J59" s="166">
        <v>9.1999999999999998E-2</v>
      </c>
      <c r="K59" s="166">
        <v>9.1899999999999996E-2</v>
      </c>
      <c r="L59" s="166">
        <v>9.1899999999999996E-2</v>
      </c>
      <c r="M59" s="166">
        <v>9.1899999999999996E-2</v>
      </c>
      <c r="N59" s="166">
        <v>9.1700000000000004E-2</v>
      </c>
      <c r="O59" s="166">
        <v>9.1600000000000001E-2</v>
      </c>
      <c r="P59" s="166">
        <v>9.1899999999999996E-2</v>
      </c>
      <c r="Q59" s="166">
        <v>9.1899999999999996E-2</v>
      </c>
      <c r="R59" s="166">
        <v>9.1999999999999998E-2</v>
      </c>
      <c r="S59" s="166">
        <v>9.2200000000000004E-2</v>
      </c>
      <c r="T59" s="166">
        <v>9.2200000000000004E-2</v>
      </c>
      <c r="U59" s="166">
        <v>9.2200000000000004E-2</v>
      </c>
      <c r="V59" s="166">
        <v>9.2200000000000004E-2</v>
      </c>
      <c r="W59" s="166">
        <v>9.2299999999999993E-2</v>
      </c>
      <c r="X59" s="166">
        <v>9.2200000000000004E-2</v>
      </c>
      <c r="Y59" s="166">
        <v>9.2200000000000004E-2</v>
      </c>
      <c r="Z59" s="166">
        <v>9.2100000000000001E-2</v>
      </c>
      <c r="AA59" s="166">
        <v>9.2200000000000004E-2</v>
      </c>
      <c r="AB59" s="166">
        <v>9.2200000000000004E-2</v>
      </c>
      <c r="AC59" s="166">
        <v>9.2200000000000004E-2</v>
      </c>
      <c r="AD59" s="166">
        <v>9.2200000000000004E-2</v>
      </c>
      <c r="AE59" s="166">
        <v>9.2200000000000004E-2</v>
      </c>
      <c r="AF59" s="166">
        <v>9.2100000000000001E-2</v>
      </c>
      <c r="AG59" s="166">
        <v>9.2200000000000004E-2</v>
      </c>
    </row>
    <row r="60" spans="1:33" x14ac:dyDescent="0.2">
      <c r="A60" s="165" t="s">
        <v>241</v>
      </c>
      <c r="B60" s="166">
        <v>9.2700000000000005E-2</v>
      </c>
      <c r="C60" s="166">
        <v>9.2499999999999999E-2</v>
      </c>
      <c r="D60" s="166">
        <v>9.2399999999999996E-2</v>
      </c>
      <c r="E60" s="166">
        <v>9.2200000000000004E-2</v>
      </c>
      <c r="F60" s="166">
        <v>9.2200000000000004E-2</v>
      </c>
      <c r="G60" s="166">
        <v>9.2100000000000001E-2</v>
      </c>
      <c r="H60" s="166">
        <v>9.2100000000000001E-2</v>
      </c>
      <c r="I60" s="166">
        <v>9.2200000000000004E-2</v>
      </c>
      <c r="J60" s="166">
        <v>9.2200000000000004E-2</v>
      </c>
      <c r="K60" s="166">
        <v>9.2100000000000001E-2</v>
      </c>
      <c r="L60" s="166">
        <v>9.2100000000000001E-2</v>
      </c>
      <c r="M60" s="166">
        <v>9.1999999999999998E-2</v>
      </c>
      <c r="N60" s="166">
        <v>9.1899999999999996E-2</v>
      </c>
      <c r="O60" s="166">
        <v>9.1800000000000007E-2</v>
      </c>
      <c r="P60" s="166">
        <v>9.2100000000000001E-2</v>
      </c>
      <c r="Q60" s="166">
        <v>9.2100000000000001E-2</v>
      </c>
      <c r="R60" s="166">
        <v>9.2200000000000004E-2</v>
      </c>
      <c r="S60" s="166">
        <v>9.2299999999999993E-2</v>
      </c>
      <c r="T60" s="166">
        <v>9.2299999999999993E-2</v>
      </c>
      <c r="U60" s="166">
        <v>9.2399999999999996E-2</v>
      </c>
      <c r="V60" s="166">
        <v>9.2399999999999996E-2</v>
      </c>
      <c r="W60" s="166">
        <v>9.2399999999999996E-2</v>
      </c>
      <c r="X60" s="166">
        <v>9.2299999999999993E-2</v>
      </c>
      <c r="Y60" s="166">
        <v>9.2299999999999993E-2</v>
      </c>
      <c r="Z60" s="166">
        <v>9.2299999999999993E-2</v>
      </c>
      <c r="AA60" s="166">
        <v>9.2200000000000004E-2</v>
      </c>
      <c r="AB60" s="166">
        <v>9.2299999999999993E-2</v>
      </c>
      <c r="AC60" s="166">
        <v>9.2200000000000004E-2</v>
      </c>
      <c r="AD60" s="166">
        <v>9.2200000000000004E-2</v>
      </c>
      <c r="AE60" s="166">
        <v>9.2200000000000004E-2</v>
      </c>
      <c r="AF60" s="166">
        <v>9.2200000000000004E-2</v>
      </c>
      <c r="AG60" s="166">
        <v>9.2200000000000004E-2</v>
      </c>
    </row>
    <row r="61" spans="1:33" x14ac:dyDescent="0.2">
      <c r="A61" s="165" t="s">
        <v>242</v>
      </c>
      <c r="B61" s="166">
        <v>9.2299999999999993E-2</v>
      </c>
      <c r="C61" s="166">
        <v>9.2299999999999993E-2</v>
      </c>
      <c r="D61" s="166">
        <v>9.2200000000000004E-2</v>
      </c>
      <c r="E61" s="166">
        <v>9.1999999999999998E-2</v>
      </c>
      <c r="F61" s="166">
        <v>9.2100000000000001E-2</v>
      </c>
      <c r="G61" s="166">
        <v>9.1999999999999998E-2</v>
      </c>
      <c r="H61" s="166">
        <v>9.2100000000000001E-2</v>
      </c>
      <c r="I61" s="166">
        <v>9.2100000000000001E-2</v>
      </c>
      <c r="J61" s="166">
        <v>9.2200000000000004E-2</v>
      </c>
      <c r="K61" s="166">
        <v>9.1999999999999998E-2</v>
      </c>
      <c r="L61" s="166">
        <v>9.1999999999999998E-2</v>
      </c>
      <c r="M61" s="166">
        <v>9.1899999999999996E-2</v>
      </c>
      <c r="N61" s="166">
        <v>9.1899999999999996E-2</v>
      </c>
      <c r="O61" s="166">
        <v>9.1700000000000004E-2</v>
      </c>
      <c r="P61" s="166">
        <v>9.2100000000000001E-2</v>
      </c>
      <c r="Q61" s="166">
        <v>9.2100000000000001E-2</v>
      </c>
      <c r="R61" s="166">
        <v>9.2200000000000004E-2</v>
      </c>
      <c r="S61" s="166">
        <v>9.2299999999999993E-2</v>
      </c>
      <c r="T61" s="166">
        <v>9.2799999999999994E-2</v>
      </c>
      <c r="U61" s="166">
        <v>9.2399999999999996E-2</v>
      </c>
      <c r="V61" s="166">
        <v>9.2399999999999996E-2</v>
      </c>
      <c r="W61" s="166">
        <v>9.2399999999999996E-2</v>
      </c>
      <c r="X61" s="166">
        <v>9.2399999999999996E-2</v>
      </c>
      <c r="Y61" s="166">
        <v>9.2399999999999996E-2</v>
      </c>
      <c r="Z61" s="166">
        <v>9.2299999999999993E-2</v>
      </c>
      <c r="AA61" s="166">
        <v>9.2299999999999993E-2</v>
      </c>
      <c r="AB61" s="166">
        <v>9.2299999999999993E-2</v>
      </c>
      <c r="AC61" s="166">
        <v>9.2299999999999993E-2</v>
      </c>
      <c r="AD61" s="166">
        <v>9.2399999999999996E-2</v>
      </c>
      <c r="AE61" s="166">
        <v>9.2200000000000004E-2</v>
      </c>
      <c r="AF61" s="166">
        <v>9.2299999999999993E-2</v>
      </c>
      <c r="AG61" s="166">
        <v>9.2299999999999993E-2</v>
      </c>
    </row>
    <row r="62" spans="1:33" x14ac:dyDescent="0.2">
      <c r="A62" s="165" t="s">
        <v>243</v>
      </c>
      <c r="B62" s="166">
        <v>9.2700000000000005E-2</v>
      </c>
      <c r="C62" s="166">
        <v>9.2799999999999994E-2</v>
      </c>
      <c r="D62" s="166">
        <v>9.2600000000000002E-2</v>
      </c>
      <c r="E62" s="166">
        <v>9.2399999999999996E-2</v>
      </c>
      <c r="F62" s="166">
        <v>9.2399999999999996E-2</v>
      </c>
      <c r="G62" s="166">
        <v>9.2299999999999993E-2</v>
      </c>
      <c r="H62" s="166">
        <v>9.2299999999999993E-2</v>
      </c>
      <c r="I62" s="166">
        <v>9.2399999999999996E-2</v>
      </c>
      <c r="J62" s="166">
        <v>9.2399999999999996E-2</v>
      </c>
      <c r="K62" s="166">
        <v>9.2299999999999993E-2</v>
      </c>
      <c r="L62" s="166">
        <v>9.2299999999999993E-2</v>
      </c>
      <c r="M62" s="166">
        <v>9.2200000000000004E-2</v>
      </c>
      <c r="N62" s="166">
        <v>9.2100000000000001E-2</v>
      </c>
      <c r="O62" s="166">
        <v>9.1999999999999998E-2</v>
      </c>
      <c r="P62" s="166">
        <v>9.2299999999999993E-2</v>
      </c>
      <c r="Q62" s="166">
        <v>9.2399999999999996E-2</v>
      </c>
      <c r="R62" s="166">
        <v>9.2499999999999999E-2</v>
      </c>
      <c r="S62" s="166">
        <v>9.2700000000000005E-2</v>
      </c>
      <c r="T62" s="166">
        <v>9.2700000000000005E-2</v>
      </c>
      <c r="U62" s="166">
        <v>9.2799999999999994E-2</v>
      </c>
      <c r="V62" s="166">
        <v>9.2799999999999994E-2</v>
      </c>
      <c r="W62" s="166">
        <v>9.2799999999999994E-2</v>
      </c>
      <c r="X62" s="166">
        <v>9.2700000000000005E-2</v>
      </c>
      <c r="Y62" s="166">
        <v>9.2799999999999994E-2</v>
      </c>
      <c r="Z62" s="166">
        <v>9.2700000000000005E-2</v>
      </c>
      <c r="AA62" s="166">
        <v>9.2700000000000005E-2</v>
      </c>
      <c r="AB62" s="166">
        <v>9.2700000000000005E-2</v>
      </c>
      <c r="AC62" s="166">
        <v>9.2700000000000005E-2</v>
      </c>
      <c r="AD62" s="166">
        <v>9.2700000000000005E-2</v>
      </c>
      <c r="AE62" s="166">
        <v>9.2700000000000005E-2</v>
      </c>
      <c r="AF62" s="166">
        <v>9.2700000000000005E-2</v>
      </c>
      <c r="AG62" s="166">
        <v>9.2700000000000005E-2</v>
      </c>
    </row>
    <row r="63" spans="1:33" x14ac:dyDescent="0.2">
      <c r="A63" s="165" t="s">
        <v>244</v>
      </c>
      <c r="B63" s="166">
        <v>9.2999999999999999E-2</v>
      </c>
      <c r="C63" s="166">
        <v>9.2999999999999999E-2</v>
      </c>
      <c r="D63" s="166">
        <v>9.2899999999999996E-2</v>
      </c>
      <c r="E63" s="166">
        <v>9.2600000000000002E-2</v>
      </c>
      <c r="F63" s="166">
        <v>9.2600000000000002E-2</v>
      </c>
      <c r="G63" s="166">
        <v>9.2399999999999996E-2</v>
      </c>
      <c r="H63" s="166">
        <v>9.2399999999999996E-2</v>
      </c>
      <c r="I63" s="166">
        <v>9.2799999999999994E-2</v>
      </c>
      <c r="J63" s="166">
        <v>9.2600000000000002E-2</v>
      </c>
      <c r="K63" s="166">
        <v>9.2499999999999999E-2</v>
      </c>
      <c r="L63" s="166">
        <v>9.2200000000000004E-2</v>
      </c>
      <c r="M63" s="166">
        <v>9.2100000000000001E-2</v>
      </c>
      <c r="N63" s="166">
        <v>9.2200000000000004E-2</v>
      </c>
      <c r="O63" s="166">
        <v>9.2200000000000004E-2</v>
      </c>
      <c r="P63" s="166">
        <v>9.2299999999999993E-2</v>
      </c>
      <c r="Q63" s="166">
        <v>9.2499999999999999E-2</v>
      </c>
      <c r="R63" s="166">
        <v>9.2600000000000002E-2</v>
      </c>
      <c r="S63" s="166">
        <v>9.2600000000000002E-2</v>
      </c>
      <c r="T63" s="166">
        <v>9.2499999999999999E-2</v>
      </c>
      <c r="U63" s="166">
        <v>9.2600000000000002E-2</v>
      </c>
      <c r="V63" s="166">
        <v>9.2700000000000005E-2</v>
      </c>
      <c r="W63" s="166">
        <v>9.3200000000000005E-2</v>
      </c>
      <c r="X63" s="166">
        <v>9.2600000000000002E-2</v>
      </c>
      <c r="Y63" s="166">
        <v>9.2600000000000002E-2</v>
      </c>
      <c r="Z63" s="166">
        <v>9.2499999999999999E-2</v>
      </c>
      <c r="AA63" s="166">
        <v>9.2499999999999999E-2</v>
      </c>
      <c r="AB63" s="166">
        <v>9.2499999999999999E-2</v>
      </c>
      <c r="AC63" s="166">
        <v>9.2399999999999996E-2</v>
      </c>
      <c r="AD63" s="166">
        <v>9.2499999999999999E-2</v>
      </c>
      <c r="AE63" s="166">
        <v>9.2399999999999996E-2</v>
      </c>
      <c r="AF63" s="166">
        <v>9.2399999999999996E-2</v>
      </c>
      <c r="AG63" s="166">
        <v>9.2399999999999996E-2</v>
      </c>
    </row>
    <row r="64" spans="1:33" x14ac:dyDescent="0.2">
      <c r="A64" s="165" t="s">
        <v>245</v>
      </c>
      <c r="B64" s="166">
        <v>9.2899999999999996E-2</v>
      </c>
      <c r="C64" s="166">
        <v>9.2700000000000005E-2</v>
      </c>
      <c r="D64" s="166">
        <v>9.2600000000000002E-2</v>
      </c>
      <c r="E64" s="166">
        <v>9.2399999999999996E-2</v>
      </c>
      <c r="F64" s="166">
        <v>9.2399999999999996E-2</v>
      </c>
      <c r="G64" s="166">
        <v>9.2399999999999996E-2</v>
      </c>
      <c r="H64" s="166">
        <v>9.2399999999999996E-2</v>
      </c>
      <c r="I64" s="166">
        <v>9.2999999999999999E-2</v>
      </c>
      <c r="J64" s="166">
        <v>9.2399999999999996E-2</v>
      </c>
      <c r="K64" s="166">
        <v>9.2399999999999996E-2</v>
      </c>
      <c r="L64" s="166">
        <v>9.2499999999999999E-2</v>
      </c>
      <c r="M64" s="166">
        <v>9.2299999999999993E-2</v>
      </c>
      <c r="N64" s="166">
        <v>9.2299999999999993E-2</v>
      </c>
      <c r="O64" s="166">
        <v>9.2100000000000001E-2</v>
      </c>
      <c r="P64" s="166">
        <v>9.2499999999999999E-2</v>
      </c>
      <c r="Q64" s="166">
        <v>9.2600000000000002E-2</v>
      </c>
      <c r="R64" s="166">
        <v>9.2799999999999994E-2</v>
      </c>
      <c r="S64" s="166">
        <v>9.2899999999999996E-2</v>
      </c>
      <c r="T64" s="166">
        <v>9.2899999999999996E-2</v>
      </c>
      <c r="U64" s="166">
        <v>9.2899999999999996E-2</v>
      </c>
      <c r="V64" s="166">
        <v>9.2899999999999996E-2</v>
      </c>
      <c r="W64" s="166">
        <v>9.2899999999999996E-2</v>
      </c>
      <c r="X64" s="166">
        <v>9.2999999999999999E-2</v>
      </c>
      <c r="Y64" s="166">
        <v>9.3100000000000002E-2</v>
      </c>
      <c r="Z64" s="166">
        <v>9.2999999999999999E-2</v>
      </c>
      <c r="AA64" s="166">
        <v>9.2899999999999996E-2</v>
      </c>
      <c r="AB64" s="166">
        <v>9.2899999999999996E-2</v>
      </c>
      <c r="AC64" s="166">
        <v>9.2899999999999996E-2</v>
      </c>
      <c r="AD64" s="166">
        <v>9.2899999999999996E-2</v>
      </c>
      <c r="AE64" s="166">
        <v>9.2899999999999996E-2</v>
      </c>
      <c r="AF64" s="166">
        <v>9.2899999999999996E-2</v>
      </c>
      <c r="AG64" s="166">
        <v>9.2899999999999996E-2</v>
      </c>
    </row>
    <row r="65" spans="1:33" x14ac:dyDescent="0.2">
      <c r="A65" s="165" t="s">
        <v>246</v>
      </c>
      <c r="B65" s="166">
        <v>9.2399999999999996E-2</v>
      </c>
      <c r="C65" s="166">
        <v>9.2499999999999999E-2</v>
      </c>
      <c r="D65" s="166">
        <v>9.2399999999999996E-2</v>
      </c>
      <c r="E65" s="166">
        <v>9.2799999999999994E-2</v>
      </c>
      <c r="F65" s="166">
        <v>9.2499999999999999E-2</v>
      </c>
      <c r="G65" s="166">
        <v>9.2600000000000002E-2</v>
      </c>
      <c r="H65" s="166">
        <v>9.2600000000000002E-2</v>
      </c>
      <c r="I65" s="166">
        <v>9.2200000000000004E-2</v>
      </c>
      <c r="J65" s="166">
        <v>9.2200000000000004E-2</v>
      </c>
      <c r="K65" s="166">
        <v>9.2200000000000004E-2</v>
      </c>
      <c r="L65" s="166">
        <v>9.2499999999999999E-2</v>
      </c>
      <c r="M65" s="166">
        <v>9.2399999999999996E-2</v>
      </c>
      <c r="N65" s="166">
        <v>9.2299999999999993E-2</v>
      </c>
      <c r="O65" s="166">
        <v>9.1899999999999996E-2</v>
      </c>
      <c r="P65" s="166">
        <v>9.2600000000000002E-2</v>
      </c>
      <c r="Q65" s="166">
        <v>9.2200000000000004E-2</v>
      </c>
      <c r="R65" s="166">
        <v>9.2499999999999999E-2</v>
      </c>
      <c r="S65" s="166">
        <v>9.3299999999999994E-2</v>
      </c>
      <c r="T65" s="166">
        <v>9.2899999999999996E-2</v>
      </c>
      <c r="U65" s="166">
        <v>9.2999999999999999E-2</v>
      </c>
      <c r="V65" s="166">
        <v>9.2899999999999996E-2</v>
      </c>
      <c r="W65" s="166">
        <v>9.2899999999999996E-2</v>
      </c>
      <c r="X65" s="166">
        <v>9.2999999999999999E-2</v>
      </c>
      <c r="Y65" s="166">
        <v>9.2999999999999999E-2</v>
      </c>
      <c r="Z65" s="166">
        <v>9.2899999999999996E-2</v>
      </c>
      <c r="AA65" s="166">
        <v>9.2899999999999996E-2</v>
      </c>
      <c r="AB65" s="166">
        <v>9.2899999999999996E-2</v>
      </c>
      <c r="AC65" s="166">
        <v>9.2899999999999996E-2</v>
      </c>
      <c r="AD65" s="166">
        <v>9.2899999999999996E-2</v>
      </c>
      <c r="AE65" s="166">
        <v>9.2899999999999996E-2</v>
      </c>
      <c r="AF65" s="166">
        <v>9.2899999999999996E-2</v>
      </c>
      <c r="AG65" s="166">
        <v>9.2899999999999996E-2</v>
      </c>
    </row>
    <row r="66" spans="1:33" x14ac:dyDescent="0.2">
      <c r="A66" s="165" t="s">
        <v>247</v>
      </c>
      <c r="B66" s="166">
        <v>9.2600000000000002E-2</v>
      </c>
      <c r="C66" s="166">
        <v>9.2499999999999999E-2</v>
      </c>
      <c r="D66" s="166">
        <v>9.2399999999999996E-2</v>
      </c>
      <c r="E66" s="166">
        <v>9.2200000000000004E-2</v>
      </c>
      <c r="F66" s="166">
        <v>9.2100000000000001E-2</v>
      </c>
      <c r="G66" s="166">
        <v>9.2200000000000004E-2</v>
      </c>
      <c r="H66" s="166">
        <v>9.2100000000000001E-2</v>
      </c>
      <c r="I66" s="166">
        <v>9.2100000000000001E-2</v>
      </c>
      <c r="J66" s="166">
        <v>9.2100000000000001E-2</v>
      </c>
      <c r="K66" s="166">
        <v>9.2100000000000001E-2</v>
      </c>
      <c r="L66" s="166">
        <v>9.2600000000000002E-2</v>
      </c>
      <c r="M66" s="166">
        <v>9.1899999999999996E-2</v>
      </c>
      <c r="N66" s="166">
        <v>9.1800000000000007E-2</v>
      </c>
      <c r="O66" s="166">
        <v>9.1700000000000004E-2</v>
      </c>
      <c r="P66" s="166">
        <v>9.1999999999999998E-2</v>
      </c>
      <c r="Q66" s="166">
        <v>9.2100000000000001E-2</v>
      </c>
      <c r="R66" s="166">
        <v>9.2299999999999993E-2</v>
      </c>
      <c r="S66" s="166">
        <v>9.2399999999999996E-2</v>
      </c>
      <c r="T66" s="166">
        <v>9.2399999999999996E-2</v>
      </c>
      <c r="U66" s="166">
        <v>9.2499999999999999E-2</v>
      </c>
      <c r="V66" s="166">
        <v>9.2499999999999999E-2</v>
      </c>
      <c r="W66" s="166">
        <v>9.2499999999999999E-2</v>
      </c>
      <c r="X66" s="166">
        <v>9.2499999999999999E-2</v>
      </c>
      <c r="Y66" s="166">
        <v>9.2499999999999999E-2</v>
      </c>
      <c r="Z66" s="166">
        <v>9.2399999999999996E-2</v>
      </c>
      <c r="AA66" s="166">
        <v>9.2399999999999996E-2</v>
      </c>
      <c r="AB66" s="166">
        <v>9.3200000000000005E-2</v>
      </c>
      <c r="AC66" s="166">
        <v>9.2299999999999993E-2</v>
      </c>
      <c r="AD66" s="166">
        <v>9.2499999999999999E-2</v>
      </c>
      <c r="AE66" s="166">
        <v>9.2299999999999993E-2</v>
      </c>
      <c r="AF66" s="166">
        <v>9.2399999999999996E-2</v>
      </c>
      <c r="AG66" s="166">
        <v>9.2499999999999999E-2</v>
      </c>
    </row>
    <row r="67" spans="1:33" x14ac:dyDescent="0.2">
      <c r="A67" s="165" t="s">
        <v>248</v>
      </c>
      <c r="B67" s="166">
        <v>9.3200000000000005E-2</v>
      </c>
      <c r="C67" s="166">
        <v>9.3200000000000005E-2</v>
      </c>
      <c r="D67" s="166">
        <v>9.3100000000000002E-2</v>
      </c>
      <c r="E67" s="166">
        <v>9.3100000000000002E-2</v>
      </c>
      <c r="F67" s="166">
        <v>9.3200000000000005E-2</v>
      </c>
      <c r="G67" s="166">
        <v>9.3399999999999997E-2</v>
      </c>
      <c r="H67" s="166">
        <v>9.3299999999999994E-2</v>
      </c>
      <c r="I67" s="166">
        <v>9.3200000000000005E-2</v>
      </c>
      <c r="J67" s="166">
        <v>9.3200000000000005E-2</v>
      </c>
      <c r="K67" s="166">
        <v>9.3299999999999994E-2</v>
      </c>
      <c r="L67" s="166">
        <v>9.3299999999999994E-2</v>
      </c>
      <c r="M67" s="166">
        <v>9.3299999999999994E-2</v>
      </c>
      <c r="N67" s="166">
        <v>9.3200000000000005E-2</v>
      </c>
      <c r="O67" s="166">
        <v>9.2999999999999999E-2</v>
      </c>
      <c r="P67" s="166">
        <v>9.35E-2</v>
      </c>
      <c r="Q67" s="166">
        <v>9.3399999999999997E-2</v>
      </c>
      <c r="R67" s="166">
        <v>9.35E-2</v>
      </c>
      <c r="S67" s="166">
        <v>9.3600000000000003E-2</v>
      </c>
      <c r="T67" s="166">
        <v>9.3700000000000006E-2</v>
      </c>
      <c r="U67" s="166">
        <v>9.3700000000000006E-2</v>
      </c>
      <c r="V67" s="166">
        <v>9.3799999999999994E-2</v>
      </c>
      <c r="W67" s="166">
        <v>9.3799999999999994E-2</v>
      </c>
      <c r="X67" s="166">
        <v>9.3700000000000006E-2</v>
      </c>
      <c r="Y67" s="166">
        <v>9.3799999999999994E-2</v>
      </c>
      <c r="Z67" s="166">
        <v>9.3799999999999994E-2</v>
      </c>
      <c r="AA67" s="166">
        <v>9.3899999999999997E-2</v>
      </c>
      <c r="AB67" s="166">
        <v>9.3799999999999994E-2</v>
      </c>
      <c r="AC67" s="166">
        <v>9.3799999999999994E-2</v>
      </c>
      <c r="AD67" s="166">
        <v>9.3899999999999997E-2</v>
      </c>
      <c r="AE67" s="166">
        <v>9.3799999999999994E-2</v>
      </c>
      <c r="AF67" s="166">
        <v>9.3799999999999994E-2</v>
      </c>
      <c r="AG67" s="166">
        <v>9.3899999999999997E-2</v>
      </c>
    </row>
    <row r="68" spans="1:33" x14ac:dyDescent="0.2">
      <c r="A68" s="165" t="s">
        <v>249</v>
      </c>
      <c r="B68" s="166">
        <v>9.3100000000000002E-2</v>
      </c>
      <c r="C68" s="166">
        <v>9.3600000000000003E-2</v>
      </c>
      <c r="D68" s="166">
        <v>9.2899999999999996E-2</v>
      </c>
      <c r="E68" s="166">
        <v>9.2700000000000005E-2</v>
      </c>
      <c r="F68" s="166">
        <v>9.2700000000000005E-2</v>
      </c>
      <c r="G68" s="166">
        <v>9.2700000000000005E-2</v>
      </c>
      <c r="H68" s="166">
        <v>9.2700000000000005E-2</v>
      </c>
      <c r="I68" s="166">
        <v>9.2600000000000002E-2</v>
      </c>
      <c r="J68" s="166">
        <v>9.2600000000000002E-2</v>
      </c>
      <c r="K68" s="166">
        <v>9.2600000000000002E-2</v>
      </c>
      <c r="L68" s="166">
        <v>9.2700000000000005E-2</v>
      </c>
      <c r="M68" s="166">
        <v>9.2499999999999999E-2</v>
      </c>
      <c r="N68" s="166">
        <v>9.2399999999999996E-2</v>
      </c>
      <c r="O68" s="166">
        <v>9.2299999999999993E-2</v>
      </c>
      <c r="P68" s="166">
        <v>9.2700000000000005E-2</v>
      </c>
      <c r="Q68" s="166">
        <v>9.2600000000000002E-2</v>
      </c>
      <c r="R68" s="166">
        <v>9.2799999999999994E-2</v>
      </c>
      <c r="S68" s="166">
        <v>9.2999999999999999E-2</v>
      </c>
      <c r="T68" s="166">
        <v>9.2999999999999999E-2</v>
      </c>
      <c r="U68" s="166">
        <v>9.2999999999999999E-2</v>
      </c>
      <c r="V68" s="166">
        <v>9.3100000000000002E-2</v>
      </c>
      <c r="W68" s="166">
        <v>9.3100000000000002E-2</v>
      </c>
      <c r="X68" s="166">
        <v>9.3100000000000002E-2</v>
      </c>
      <c r="Y68" s="166">
        <v>9.3100000000000002E-2</v>
      </c>
      <c r="Z68" s="166">
        <v>9.2999999999999999E-2</v>
      </c>
      <c r="AA68" s="166">
        <v>9.2999999999999999E-2</v>
      </c>
      <c r="AB68" s="166">
        <v>9.3100000000000002E-2</v>
      </c>
      <c r="AC68" s="166">
        <v>9.2999999999999999E-2</v>
      </c>
      <c r="AD68" s="166">
        <v>9.2999999999999999E-2</v>
      </c>
      <c r="AE68" s="166">
        <v>9.2999999999999999E-2</v>
      </c>
      <c r="AF68" s="166">
        <v>9.2999999999999999E-2</v>
      </c>
      <c r="AG68" s="166">
        <v>9.2999999999999999E-2</v>
      </c>
    </row>
    <row r="69" spans="1:33" x14ac:dyDescent="0.2">
      <c r="A69" s="165" t="s">
        <v>250</v>
      </c>
      <c r="B69" s="166">
        <v>9.2799999999999994E-2</v>
      </c>
      <c r="C69" s="166">
        <v>9.2799999999999994E-2</v>
      </c>
      <c r="D69" s="166">
        <v>9.2799999999999994E-2</v>
      </c>
      <c r="E69" s="166">
        <v>9.2600000000000002E-2</v>
      </c>
      <c r="F69" s="166">
        <v>9.2600000000000002E-2</v>
      </c>
      <c r="G69" s="166">
        <v>9.2700000000000005E-2</v>
      </c>
      <c r="H69" s="166">
        <v>9.2700000000000005E-2</v>
      </c>
      <c r="I69" s="166">
        <v>9.2700000000000005E-2</v>
      </c>
      <c r="J69" s="166">
        <v>9.2700000000000005E-2</v>
      </c>
      <c r="K69" s="166">
        <v>9.2700000000000005E-2</v>
      </c>
      <c r="L69" s="166">
        <v>9.2600000000000002E-2</v>
      </c>
      <c r="M69" s="166">
        <v>9.2499999999999999E-2</v>
      </c>
      <c r="N69" s="166">
        <v>9.2399999999999996E-2</v>
      </c>
      <c r="O69" s="166">
        <v>9.2299999999999993E-2</v>
      </c>
      <c r="P69" s="166">
        <v>9.2499999999999999E-2</v>
      </c>
      <c r="Q69" s="166">
        <v>9.2700000000000005E-2</v>
      </c>
      <c r="R69" s="166">
        <v>9.3399999999999997E-2</v>
      </c>
      <c r="S69" s="166">
        <v>9.2999999999999999E-2</v>
      </c>
      <c r="T69" s="166">
        <v>9.2999999999999999E-2</v>
      </c>
      <c r="U69" s="166">
        <v>9.2999999999999999E-2</v>
      </c>
      <c r="V69" s="166">
        <v>9.3100000000000002E-2</v>
      </c>
      <c r="W69" s="166">
        <v>9.2999999999999999E-2</v>
      </c>
      <c r="X69" s="166">
        <v>9.2999999999999999E-2</v>
      </c>
      <c r="Y69" s="166">
        <v>9.3100000000000002E-2</v>
      </c>
      <c r="Z69" s="166">
        <v>9.2999999999999999E-2</v>
      </c>
      <c r="AA69" s="166">
        <v>9.2899999999999996E-2</v>
      </c>
      <c r="AB69" s="166">
        <v>9.2899999999999996E-2</v>
      </c>
      <c r="AC69" s="166">
        <v>9.2999999999999999E-2</v>
      </c>
      <c r="AD69" s="166">
        <v>9.2899999999999996E-2</v>
      </c>
      <c r="AE69" s="166">
        <v>9.2799999999999994E-2</v>
      </c>
      <c r="AF69" s="166">
        <v>9.2899999999999996E-2</v>
      </c>
      <c r="AG69" s="166">
        <v>9.2899999999999996E-2</v>
      </c>
    </row>
    <row r="70" spans="1:33" x14ac:dyDescent="0.2">
      <c r="A70" s="165" t="s">
        <v>251</v>
      </c>
      <c r="B70" s="166">
        <v>9.2299999999999993E-2</v>
      </c>
      <c r="C70" s="166">
        <v>9.2399999999999996E-2</v>
      </c>
      <c r="D70" s="166">
        <v>9.2399999999999996E-2</v>
      </c>
      <c r="E70" s="166">
        <v>9.2299999999999993E-2</v>
      </c>
      <c r="F70" s="166">
        <v>9.2299999999999993E-2</v>
      </c>
      <c r="G70" s="166">
        <v>9.2899999999999996E-2</v>
      </c>
      <c r="H70" s="166">
        <v>9.2299999999999993E-2</v>
      </c>
      <c r="I70" s="166">
        <v>9.2399999999999996E-2</v>
      </c>
      <c r="J70" s="166">
        <v>9.2399999999999996E-2</v>
      </c>
      <c r="K70" s="166">
        <v>9.2299999999999993E-2</v>
      </c>
      <c r="L70" s="166">
        <v>9.2200000000000004E-2</v>
      </c>
      <c r="M70" s="166">
        <v>9.2100000000000001E-2</v>
      </c>
      <c r="N70" s="166">
        <v>9.2100000000000001E-2</v>
      </c>
      <c r="O70" s="166">
        <v>9.2100000000000001E-2</v>
      </c>
      <c r="P70" s="166">
        <v>9.2299999999999993E-2</v>
      </c>
      <c r="Q70" s="166">
        <v>9.2399999999999996E-2</v>
      </c>
      <c r="R70" s="166">
        <v>9.2600000000000002E-2</v>
      </c>
      <c r="S70" s="166">
        <v>9.2700000000000005E-2</v>
      </c>
      <c r="T70" s="166">
        <v>9.2600000000000002E-2</v>
      </c>
      <c r="U70" s="166">
        <v>9.2600000000000002E-2</v>
      </c>
      <c r="V70" s="166">
        <v>9.2600000000000002E-2</v>
      </c>
      <c r="W70" s="166">
        <v>9.2700000000000005E-2</v>
      </c>
      <c r="X70" s="166">
        <v>9.2700000000000005E-2</v>
      </c>
      <c r="Y70" s="166">
        <v>9.2700000000000005E-2</v>
      </c>
      <c r="Z70" s="166">
        <v>9.2600000000000002E-2</v>
      </c>
      <c r="AA70" s="166">
        <v>9.2600000000000002E-2</v>
      </c>
      <c r="AB70" s="166">
        <v>9.2600000000000002E-2</v>
      </c>
      <c r="AC70" s="166">
        <v>9.2600000000000002E-2</v>
      </c>
      <c r="AD70" s="166">
        <v>9.2600000000000002E-2</v>
      </c>
      <c r="AE70" s="166">
        <v>9.2499999999999999E-2</v>
      </c>
      <c r="AF70" s="166">
        <v>9.2600000000000002E-2</v>
      </c>
      <c r="AG70" s="166">
        <v>9.2600000000000002E-2</v>
      </c>
    </row>
    <row r="71" spans="1:33" x14ac:dyDescent="0.2">
      <c r="A71" s="165" t="s">
        <v>252</v>
      </c>
      <c r="B71" s="166">
        <v>9.2499999999999999E-2</v>
      </c>
      <c r="C71" s="166">
        <v>9.2499999999999999E-2</v>
      </c>
      <c r="D71" s="166">
        <v>9.2899999999999996E-2</v>
      </c>
      <c r="E71" s="166">
        <v>9.2100000000000001E-2</v>
      </c>
      <c r="F71" s="166">
        <v>9.2100000000000001E-2</v>
      </c>
      <c r="G71" s="166">
        <v>9.2100000000000001E-2</v>
      </c>
      <c r="H71" s="166">
        <v>9.2100000000000001E-2</v>
      </c>
      <c r="I71" s="166">
        <v>9.2100000000000001E-2</v>
      </c>
      <c r="J71" s="166">
        <v>9.2100000000000001E-2</v>
      </c>
      <c r="K71" s="166">
        <v>9.1999999999999998E-2</v>
      </c>
      <c r="L71" s="166">
        <v>9.1999999999999998E-2</v>
      </c>
      <c r="M71" s="166">
        <v>9.1899999999999996E-2</v>
      </c>
      <c r="N71" s="166">
        <v>9.1800000000000007E-2</v>
      </c>
      <c r="O71" s="166">
        <v>9.1700000000000004E-2</v>
      </c>
      <c r="P71" s="166">
        <v>9.1999999999999998E-2</v>
      </c>
      <c r="Q71" s="166">
        <v>9.2100000000000001E-2</v>
      </c>
      <c r="R71" s="166">
        <v>9.2299999999999993E-2</v>
      </c>
      <c r="S71" s="166">
        <v>9.2399999999999996E-2</v>
      </c>
      <c r="T71" s="166">
        <v>9.2399999999999996E-2</v>
      </c>
      <c r="U71" s="166">
        <v>9.2499999999999999E-2</v>
      </c>
      <c r="V71" s="166">
        <v>9.2399999999999996E-2</v>
      </c>
      <c r="W71" s="166">
        <v>9.2499999999999999E-2</v>
      </c>
      <c r="X71" s="166">
        <v>9.2499999999999999E-2</v>
      </c>
      <c r="Y71" s="166">
        <v>9.2499999999999999E-2</v>
      </c>
      <c r="Z71" s="166">
        <v>9.2399999999999996E-2</v>
      </c>
      <c r="AA71" s="166">
        <v>9.2999999999999999E-2</v>
      </c>
      <c r="AB71" s="166">
        <v>9.2399999999999996E-2</v>
      </c>
      <c r="AC71" s="166">
        <v>9.2299999999999993E-2</v>
      </c>
      <c r="AD71" s="166">
        <v>9.2399999999999996E-2</v>
      </c>
      <c r="AE71" s="166">
        <v>9.2299999999999993E-2</v>
      </c>
      <c r="AF71" s="166">
        <v>9.2299999999999993E-2</v>
      </c>
      <c r="AG71" s="166">
        <v>9.2399999999999996E-2</v>
      </c>
    </row>
    <row r="72" spans="1:33" x14ac:dyDescent="0.2">
      <c r="A72" s="165" t="s">
        <v>253</v>
      </c>
      <c r="B72" s="166">
        <v>9.3299999999999994E-2</v>
      </c>
      <c r="C72" s="166">
        <v>9.3399999999999997E-2</v>
      </c>
      <c r="D72" s="166">
        <v>9.3600000000000003E-2</v>
      </c>
      <c r="E72" s="166">
        <v>9.35E-2</v>
      </c>
      <c r="F72" s="166">
        <v>9.3600000000000003E-2</v>
      </c>
      <c r="G72" s="166">
        <v>9.3600000000000003E-2</v>
      </c>
      <c r="H72" s="166">
        <v>9.3600000000000003E-2</v>
      </c>
      <c r="I72" s="166">
        <v>9.3600000000000003E-2</v>
      </c>
      <c r="J72" s="166">
        <v>9.3700000000000006E-2</v>
      </c>
      <c r="K72" s="166">
        <v>9.3700000000000006E-2</v>
      </c>
      <c r="L72" s="166">
        <v>9.35E-2</v>
      </c>
      <c r="M72" s="166">
        <v>9.3399999999999997E-2</v>
      </c>
      <c r="N72" s="166">
        <v>9.3399999999999997E-2</v>
      </c>
      <c r="O72" s="166">
        <v>9.3299999999999994E-2</v>
      </c>
      <c r="P72" s="166">
        <v>9.4100000000000003E-2</v>
      </c>
      <c r="Q72" s="166">
        <v>9.3600000000000003E-2</v>
      </c>
      <c r="R72" s="166">
        <v>9.3899999999999997E-2</v>
      </c>
      <c r="S72" s="166">
        <v>9.3799999999999994E-2</v>
      </c>
      <c r="T72" s="166">
        <v>9.3799999999999994E-2</v>
      </c>
      <c r="U72" s="166">
        <v>9.3799999999999994E-2</v>
      </c>
      <c r="V72" s="166">
        <v>9.3899999999999997E-2</v>
      </c>
      <c r="W72" s="166">
        <v>9.3899999999999997E-2</v>
      </c>
      <c r="X72" s="166">
        <v>9.3799999999999994E-2</v>
      </c>
      <c r="Y72" s="166">
        <v>9.3899999999999997E-2</v>
      </c>
      <c r="Z72" s="166">
        <v>9.3799999999999994E-2</v>
      </c>
      <c r="AA72" s="166">
        <v>9.3700000000000006E-2</v>
      </c>
      <c r="AB72" s="166">
        <v>9.3799999999999994E-2</v>
      </c>
      <c r="AC72" s="166">
        <v>9.3799999999999994E-2</v>
      </c>
      <c r="AD72" s="166">
        <v>9.3799999999999994E-2</v>
      </c>
      <c r="AE72" s="166">
        <v>9.3700000000000006E-2</v>
      </c>
      <c r="AF72" s="166">
        <v>9.3700000000000006E-2</v>
      </c>
      <c r="AG72" s="166">
        <v>9.3700000000000006E-2</v>
      </c>
    </row>
    <row r="73" spans="1:33" x14ac:dyDescent="0.2">
      <c r="A73" s="165" t="s">
        <v>254</v>
      </c>
      <c r="B73" s="166">
        <v>9.3200000000000005E-2</v>
      </c>
      <c r="C73" s="166">
        <v>9.4200000000000006E-2</v>
      </c>
      <c r="D73" s="166">
        <v>9.3299999999999994E-2</v>
      </c>
      <c r="E73" s="166">
        <v>9.3100000000000002E-2</v>
      </c>
      <c r="F73" s="166">
        <v>9.3200000000000005E-2</v>
      </c>
      <c r="G73" s="166">
        <v>9.2799999999999994E-2</v>
      </c>
      <c r="H73" s="166">
        <v>9.2799999999999994E-2</v>
      </c>
      <c r="I73" s="166">
        <v>9.2999999999999999E-2</v>
      </c>
      <c r="J73" s="166">
        <v>9.2700000000000005E-2</v>
      </c>
      <c r="K73" s="166">
        <v>9.2799999999999994E-2</v>
      </c>
      <c r="L73" s="166">
        <v>9.2600000000000002E-2</v>
      </c>
      <c r="M73" s="166">
        <v>9.2600000000000002E-2</v>
      </c>
      <c r="N73" s="166">
        <v>9.2499999999999999E-2</v>
      </c>
      <c r="O73" s="166">
        <v>9.2399999999999996E-2</v>
      </c>
      <c r="P73" s="166">
        <v>9.2700000000000005E-2</v>
      </c>
      <c r="Q73" s="166">
        <v>9.2799999999999994E-2</v>
      </c>
      <c r="R73" s="166">
        <v>9.2899999999999996E-2</v>
      </c>
      <c r="S73" s="166">
        <v>9.2999999999999999E-2</v>
      </c>
      <c r="T73" s="166">
        <v>9.3100000000000002E-2</v>
      </c>
      <c r="U73" s="166">
        <v>9.2999999999999999E-2</v>
      </c>
      <c r="V73" s="166">
        <v>9.3200000000000005E-2</v>
      </c>
      <c r="W73" s="166">
        <v>9.3200000000000005E-2</v>
      </c>
      <c r="X73" s="166">
        <v>9.3299999999999994E-2</v>
      </c>
      <c r="Y73" s="166">
        <v>9.3200000000000005E-2</v>
      </c>
      <c r="Z73" s="166">
        <v>9.3299999999999994E-2</v>
      </c>
      <c r="AA73" s="166">
        <v>9.3100000000000002E-2</v>
      </c>
      <c r="AB73" s="166">
        <v>9.3100000000000002E-2</v>
      </c>
      <c r="AC73" s="166">
        <v>9.2899999999999996E-2</v>
      </c>
      <c r="AD73" s="166">
        <v>9.2999999999999999E-2</v>
      </c>
      <c r="AE73" s="166">
        <v>9.2899999999999996E-2</v>
      </c>
      <c r="AF73" s="166">
        <v>9.2899999999999996E-2</v>
      </c>
      <c r="AG73" s="166">
        <v>9.3100000000000002E-2</v>
      </c>
    </row>
    <row r="74" spans="1:33" x14ac:dyDescent="0.2">
      <c r="A74" s="165" t="s">
        <v>255</v>
      </c>
      <c r="B74" s="166">
        <v>9.2499999999999999E-2</v>
      </c>
      <c r="C74" s="166">
        <v>9.2600000000000002E-2</v>
      </c>
      <c r="D74" s="166">
        <v>9.2700000000000005E-2</v>
      </c>
      <c r="E74" s="166">
        <v>9.2700000000000005E-2</v>
      </c>
      <c r="F74" s="166">
        <v>9.3399999999999997E-2</v>
      </c>
      <c r="G74" s="166">
        <v>9.2999999999999999E-2</v>
      </c>
      <c r="H74" s="166">
        <v>9.2999999999999999E-2</v>
      </c>
      <c r="I74" s="166">
        <v>9.3100000000000002E-2</v>
      </c>
      <c r="J74" s="166">
        <v>9.3100000000000002E-2</v>
      </c>
      <c r="K74" s="166">
        <v>9.2999999999999999E-2</v>
      </c>
      <c r="L74" s="166">
        <v>9.2999999999999999E-2</v>
      </c>
      <c r="M74" s="166">
        <v>9.2899999999999996E-2</v>
      </c>
      <c r="N74" s="166">
        <v>9.2899999999999996E-2</v>
      </c>
      <c r="O74" s="166">
        <v>9.2700000000000005E-2</v>
      </c>
      <c r="P74" s="166">
        <v>9.3100000000000002E-2</v>
      </c>
      <c r="Q74" s="166">
        <v>9.3200000000000005E-2</v>
      </c>
      <c r="R74" s="166">
        <v>9.3200000000000005E-2</v>
      </c>
      <c r="S74" s="166">
        <v>9.3299999999999994E-2</v>
      </c>
      <c r="T74" s="166">
        <v>9.3200000000000005E-2</v>
      </c>
      <c r="U74" s="166">
        <v>9.3200000000000005E-2</v>
      </c>
      <c r="V74" s="166">
        <v>9.3299999999999994E-2</v>
      </c>
      <c r="W74" s="166">
        <v>9.3299999999999994E-2</v>
      </c>
      <c r="X74" s="166">
        <v>9.3200000000000005E-2</v>
      </c>
      <c r="Y74" s="166">
        <v>9.3299999999999994E-2</v>
      </c>
      <c r="Z74" s="166">
        <v>9.3299999999999994E-2</v>
      </c>
      <c r="AA74" s="166">
        <v>9.3200000000000005E-2</v>
      </c>
      <c r="AB74" s="166">
        <v>9.3200000000000005E-2</v>
      </c>
      <c r="AC74" s="166">
        <v>9.3100000000000002E-2</v>
      </c>
      <c r="AD74" s="166">
        <v>9.3700000000000006E-2</v>
      </c>
      <c r="AE74" s="166">
        <v>9.2999999999999999E-2</v>
      </c>
      <c r="AF74" s="166">
        <v>9.3100000000000002E-2</v>
      </c>
      <c r="AG74" s="166">
        <v>9.3200000000000005E-2</v>
      </c>
    </row>
    <row r="75" spans="1:33" x14ac:dyDescent="0.2">
      <c r="A75" s="165" t="s">
        <v>256</v>
      </c>
      <c r="B75" s="166">
        <v>9.4E-2</v>
      </c>
      <c r="C75" s="166">
        <v>9.3700000000000006E-2</v>
      </c>
      <c r="D75" s="166">
        <v>9.35E-2</v>
      </c>
      <c r="E75" s="166">
        <v>9.3299999999999994E-2</v>
      </c>
      <c r="F75" s="166">
        <v>9.3399999999999997E-2</v>
      </c>
      <c r="G75" s="166">
        <v>9.35E-2</v>
      </c>
      <c r="H75" s="166">
        <v>9.3399999999999997E-2</v>
      </c>
      <c r="I75" s="166">
        <v>9.3299999999999994E-2</v>
      </c>
      <c r="J75" s="166">
        <v>9.3399999999999997E-2</v>
      </c>
      <c r="K75" s="166">
        <v>9.35E-2</v>
      </c>
      <c r="L75" s="166">
        <v>9.3399999999999997E-2</v>
      </c>
      <c r="M75" s="166">
        <v>9.3899999999999997E-2</v>
      </c>
      <c r="N75" s="166">
        <v>9.3299999999999994E-2</v>
      </c>
      <c r="O75" s="166">
        <v>9.3200000000000005E-2</v>
      </c>
      <c r="P75" s="166">
        <v>9.3399999999999997E-2</v>
      </c>
      <c r="Q75" s="166">
        <v>9.3600000000000003E-2</v>
      </c>
      <c r="R75" s="166">
        <v>9.3799999999999994E-2</v>
      </c>
      <c r="S75" s="166">
        <v>9.3799999999999994E-2</v>
      </c>
      <c r="T75" s="166">
        <v>9.3799999999999994E-2</v>
      </c>
      <c r="U75" s="166">
        <v>9.4E-2</v>
      </c>
      <c r="V75" s="166">
        <v>9.3799999999999994E-2</v>
      </c>
      <c r="W75" s="166">
        <v>9.3899999999999997E-2</v>
      </c>
      <c r="X75" s="166">
        <v>9.4E-2</v>
      </c>
      <c r="Y75" s="166">
        <v>9.4E-2</v>
      </c>
      <c r="Z75" s="166">
        <v>9.4E-2</v>
      </c>
      <c r="AA75" s="166">
        <v>9.4E-2</v>
      </c>
      <c r="AB75" s="166">
        <v>9.4E-2</v>
      </c>
      <c r="AC75" s="166">
        <v>9.3899999999999997E-2</v>
      </c>
      <c r="AD75" s="166">
        <v>9.3799999999999994E-2</v>
      </c>
      <c r="AE75" s="166">
        <v>9.3899999999999997E-2</v>
      </c>
      <c r="AF75" s="166">
        <v>9.4299999999999995E-2</v>
      </c>
      <c r="AG75" s="166">
        <v>9.4E-2</v>
      </c>
    </row>
    <row r="76" spans="1:33" x14ac:dyDescent="0.2">
      <c r="A76" s="165" t="s">
        <v>257</v>
      </c>
      <c r="B76" s="166">
        <v>9.35E-2</v>
      </c>
      <c r="C76" s="166">
        <v>9.3600000000000003E-2</v>
      </c>
      <c r="D76" s="166">
        <v>9.35E-2</v>
      </c>
      <c r="E76" s="166">
        <v>9.3399999999999997E-2</v>
      </c>
      <c r="F76" s="166">
        <v>9.3299999999999994E-2</v>
      </c>
      <c r="G76" s="166">
        <v>9.3299999999999994E-2</v>
      </c>
      <c r="H76" s="166">
        <v>9.3299999999999994E-2</v>
      </c>
      <c r="I76" s="166">
        <v>9.3299999999999994E-2</v>
      </c>
      <c r="J76" s="166">
        <v>9.3399999999999997E-2</v>
      </c>
      <c r="K76" s="166">
        <v>9.3299999999999994E-2</v>
      </c>
      <c r="L76" s="166">
        <v>9.3200000000000005E-2</v>
      </c>
      <c r="M76" s="166">
        <v>9.2999999999999999E-2</v>
      </c>
      <c r="N76" s="166">
        <v>9.2999999999999999E-2</v>
      </c>
      <c r="O76" s="166">
        <v>9.2999999999999999E-2</v>
      </c>
      <c r="P76" s="166">
        <v>9.3200000000000005E-2</v>
      </c>
      <c r="Q76" s="166">
        <v>9.3200000000000005E-2</v>
      </c>
      <c r="R76" s="166">
        <v>9.3299999999999994E-2</v>
      </c>
      <c r="S76" s="166">
        <v>9.3399999999999997E-2</v>
      </c>
      <c r="T76" s="166">
        <v>9.3299999999999994E-2</v>
      </c>
      <c r="U76" s="166">
        <v>9.3299999999999994E-2</v>
      </c>
      <c r="V76" s="166">
        <v>9.3299999999999994E-2</v>
      </c>
      <c r="W76" s="166">
        <v>9.3399999999999997E-2</v>
      </c>
      <c r="X76" s="166">
        <v>9.3399999999999997E-2</v>
      </c>
      <c r="Y76" s="166">
        <v>9.3399999999999997E-2</v>
      </c>
      <c r="Z76" s="166">
        <v>9.3299999999999994E-2</v>
      </c>
      <c r="AA76" s="166">
        <v>9.3299999999999994E-2</v>
      </c>
      <c r="AB76" s="166">
        <v>9.3299999999999994E-2</v>
      </c>
      <c r="AC76" s="166">
        <v>9.3299999999999994E-2</v>
      </c>
      <c r="AD76" s="166">
        <v>9.3200000000000005E-2</v>
      </c>
      <c r="AE76" s="166">
        <v>9.3100000000000002E-2</v>
      </c>
      <c r="AF76" s="166">
        <v>9.3200000000000005E-2</v>
      </c>
      <c r="AG76" s="166">
        <v>9.3299999999999994E-2</v>
      </c>
    </row>
    <row r="77" spans="1:33" x14ac:dyDescent="0.2">
      <c r="A77" s="165" t="s">
        <v>258</v>
      </c>
      <c r="B77" s="166">
        <v>9.4799999999999995E-2</v>
      </c>
      <c r="C77" s="166">
        <v>9.5100000000000004E-2</v>
      </c>
      <c r="D77" s="166">
        <v>9.4700000000000006E-2</v>
      </c>
      <c r="E77" s="166">
        <v>9.4600000000000004E-2</v>
      </c>
      <c r="F77" s="166">
        <v>9.4399999999999998E-2</v>
      </c>
      <c r="G77" s="166">
        <v>9.4100000000000003E-2</v>
      </c>
      <c r="H77" s="166">
        <v>9.4299999999999995E-2</v>
      </c>
      <c r="I77" s="166">
        <v>9.4299999999999995E-2</v>
      </c>
      <c r="J77" s="166">
        <v>9.4100000000000003E-2</v>
      </c>
      <c r="K77" s="166">
        <v>9.4100000000000003E-2</v>
      </c>
      <c r="L77" s="166">
        <v>9.4E-2</v>
      </c>
      <c r="M77" s="166">
        <v>9.3700000000000006E-2</v>
      </c>
      <c r="N77" s="166">
        <v>9.3700000000000006E-2</v>
      </c>
      <c r="O77" s="166">
        <v>9.3700000000000006E-2</v>
      </c>
      <c r="P77" s="166">
        <v>9.4100000000000003E-2</v>
      </c>
      <c r="Q77" s="166">
        <v>9.4100000000000003E-2</v>
      </c>
      <c r="R77" s="166">
        <v>9.4200000000000006E-2</v>
      </c>
      <c r="S77" s="166">
        <v>9.4399999999999998E-2</v>
      </c>
      <c r="T77" s="166">
        <v>9.4200000000000006E-2</v>
      </c>
      <c r="U77" s="166">
        <v>9.4500000000000001E-2</v>
      </c>
      <c r="V77" s="166">
        <v>9.4299999999999995E-2</v>
      </c>
      <c r="W77" s="166">
        <v>9.4500000000000001E-2</v>
      </c>
      <c r="X77" s="166">
        <v>9.4399999999999998E-2</v>
      </c>
      <c r="Y77" s="166">
        <v>9.4500000000000001E-2</v>
      </c>
      <c r="Z77" s="166">
        <v>9.4600000000000004E-2</v>
      </c>
      <c r="AA77" s="166">
        <v>9.4399999999999998E-2</v>
      </c>
      <c r="AB77" s="166">
        <v>9.4399999999999998E-2</v>
      </c>
      <c r="AC77" s="166">
        <v>9.4399999999999998E-2</v>
      </c>
      <c r="AD77" s="166">
        <v>9.4200000000000006E-2</v>
      </c>
      <c r="AE77" s="166">
        <v>9.4100000000000003E-2</v>
      </c>
      <c r="AF77" s="166">
        <v>9.4200000000000006E-2</v>
      </c>
      <c r="AG77" s="166">
        <v>9.4500000000000001E-2</v>
      </c>
    </row>
    <row r="78" spans="1:33" x14ac:dyDescent="0.2">
      <c r="A78" s="165" t="s">
        <v>259</v>
      </c>
      <c r="B78" s="166">
        <v>9.3799999999999994E-2</v>
      </c>
      <c r="C78" s="166">
        <v>9.3799999999999994E-2</v>
      </c>
      <c r="D78" s="166">
        <v>9.3700000000000006E-2</v>
      </c>
      <c r="E78" s="166">
        <v>9.35E-2</v>
      </c>
      <c r="F78" s="166">
        <v>9.35E-2</v>
      </c>
      <c r="G78" s="166">
        <v>9.3399999999999997E-2</v>
      </c>
      <c r="H78" s="166">
        <v>9.3399999999999997E-2</v>
      </c>
      <c r="I78" s="166">
        <v>9.3299999999999994E-2</v>
      </c>
      <c r="J78" s="166">
        <v>9.3299999999999994E-2</v>
      </c>
      <c r="K78" s="166">
        <v>9.3299999999999994E-2</v>
      </c>
      <c r="L78" s="166">
        <v>9.3200000000000005E-2</v>
      </c>
      <c r="M78" s="166">
        <v>9.2999999999999999E-2</v>
      </c>
      <c r="N78" s="166">
        <v>9.2999999999999999E-2</v>
      </c>
      <c r="O78" s="166">
        <v>9.2899999999999996E-2</v>
      </c>
      <c r="P78" s="166">
        <v>9.3200000000000005E-2</v>
      </c>
      <c r="Q78" s="166">
        <v>9.3200000000000005E-2</v>
      </c>
      <c r="R78" s="166">
        <v>9.3299999999999994E-2</v>
      </c>
      <c r="S78" s="166">
        <v>9.3200000000000005E-2</v>
      </c>
      <c r="T78" s="166">
        <v>9.3200000000000005E-2</v>
      </c>
      <c r="U78" s="166">
        <v>9.3299999999999994E-2</v>
      </c>
      <c r="V78" s="166">
        <v>9.3200000000000005E-2</v>
      </c>
      <c r="W78" s="166">
        <v>9.3299999999999994E-2</v>
      </c>
      <c r="X78" s="166">
        <v>9.3299999999999994E-2</v>
      </c>
      <c r="Y78" s="166">
        <v>9.3399999999999997E-2</v>
      </c>
      <c r="Z78" s="166">
        <v>9.3299999999999994E-2</v>
      </c>
      <c r="AA78" s="166">
        <v>9.3299999999999994E-2</v>
      </c>
      <c r="AB78" s="166">
        <v>9.3299999999999994E-2</v>
      </c>
      <c r="AC78" s="166">
        <v>9.2999999999999999E-2</v>
      </c>
      <c r="AD78" s="166">
        <v>9.3100000000000002E-2</v>
      </c>
      <c r="AE78" s="166">
        <v>9.3600000000000003E-2</v>
      </c>
      <c r="AF78" s="166">
        <v>9.2999999999999999E-2</v>
      </c>
      <c r="AG78" s="166">
        <v>9.3299999999999994E-2</v>
      </c>
    </row>
    <row r="79" spans="1:33" x14ac:dyDescent="0.2">
      <c r="A79" s="165" t="s">
        <v>260</v>
      </c>
      <c r="B79" s="166">
        <v>9.4200000000000006E-2</v>
      </c>
      <c r="C79" s="166">
        <v>9.3899999999999997E-2</v>
      </c>
      <c r="D79" s="166">
        <v>9.3799999999999994E-2</v>
      </c>
      <c r="E79" s="166">
        <v>9.3600000000000003E-2</v>
      </c>
      <c r="F79" s="166">
        <v>9.35E-2</v>
      </c>
      <c r="G79" s="166">
        <v>9.3200000000000005E-2</v>
      </c>
      <c r="H79" s="166">
        <v>9.3299999999999994E-2</v>
      </c>
      <c r="I79" s="166">
        <v>9.3200000000000005E-2</v>
      </c>
      <c r="J79" s="166">
        <v>9.3200000000000005E-2</v>
      </c>
      <c r="K79" s="166">
        <v>9.3100000000000002E-2</v>
      </c>
      <c r="L79" s="166">
        <v>9.2899999999999996E-2</v>
      </c>
      <c r="M79" s="166">
        <v>9.2799999999999994E-2</v>
      </c>
      <c r="N79" s="166">
        <v>9.2700000000000005E-2</v>
      </c>
      <c r="O79" s="166">
        <v>9.2600000000000002E-2</v>
      </c>
      <c r="P79" s="166">
        <v>9.2999999999999999E-2</v>
      </c>
      <c r="Q79" s="166">
        <v>9.2999999999999999E-2</v>
      </c>
      <c r="R79" s="166">
        <v>9.3200000000000005E-2</v>
      </c>
      <c r="S79" s="166">
        <v>9.3299999999999994E-2</v>
      </c>
      <c r="T79" s="166">
        <v>9.3299999999999994E-2</v>
      </c>
      <c r="U79" s="166">
        <v>9.3399999999999997E-2</v>
      </c>
      <c r="V79" s="166">
        <v>9.3299999999999994E-2</v>
      </c>
      <c r="W79" s="166">
        <v>9.3399999999999997E-2</v>
      </c>
      <c r="X79" s="166">
        <v>9.3399999999999997E-2</v>
      </c>
      <c r="Y79" s="166">
        <v>9.35E-2</v>
      </c>
      <c r="Z79" s="166">
        <v>9.3399999999999997E-2</v>
      </c>
      <c r="AA79" s="166">
        <v>9.3399999999999997E-2</v>
      </c>
      <c r="AB79" s="166">
        <v>9.3299999999999994E-2</v>
      </c>
      <c r="AC79" s="166">
        <v>9.3200000000000005E-2</v>
      </c>
      <c r="AD79" s="166">
        <v>9.3200000000000005E-2</v>
      </c>
      <c r="AE79" s="166">
        <v>9.3100000000000002E-2</v>
      </c>
      <c r="AF79" s="166">
        <v>9.3200000000000005E-2</v>
      </c>
      <c r="AG79" s="166">
        <v>9.3399999999999997E-2</v>
      </c>
    </row>
    <row r="80" spans="1:33" x14ac:dyDescent="0.2">
      <c r="A80" s="165" t="s">
        <v>261</v>
      </c>
      <c r="B80" s="166">
        <v>9.3799999999999994E-2</v>
      </c>
      <c r="C80" s="166">
        <v>9.3899999999999997E-2</v>
      </c>
      <c r="D80" s="166">
        <v>9.3799999999999994E-2</v>
      </c>
      <c r="E80" s="166">
        <v>9.3700000000000006E-2</v>
      </c>
      <c r="F80" s="166">
        <v>9.3600000000000003E-2</v>
      </c>
      <c r="G80" s="166">
        <v>9.35E-2</v>
      </c>
      <c r="H80" s="166">
        <v>9.3600000000000003E-2</v>
      </c>
      <c r="I80" s="166">
        <v>9.3600000000000003E-2</v>
      </c>
      <c r="J80" s="166">
        <v>9.3399999999999997E-2</v>
      </c>
      <c r="K80" s="166">
        <v>9.3299999999999994E-2</v>
      </c>
      <c r="L80" s="166">
        <v>9.3600000000000003E-2</v>
      </c>
      <c r="M80" s="166">
        <v>9.3299999999999994E-2</v>
      </c>
      <c r="N80" s="166">
        <v>9.3299999999999994E-2</v>
      </c>
      <c r="O80" s="166">
        <v>9.3299999999999994E-2</v>
      </c>
      <c r="P80" s="166">
        <v>9.3600000000000003E-2</v>
      </c>
      <c r="Q80" s="166">
        <v>9.3700000000000006E-2</v>
      </c>
      <c r="R80" s="166">
        <v>9.3700000000000006E-2</v>
      </c>
      <c r="S80" s="166">
        <v>9.35E-2</v>
      </c>
      <c r="T80" s="166">
        <v>9.3799999999999994E-2</v>
      </c>
      <c r="U80" s="166">
        <v>9.3299999999999994E-2</v>
      </c>
      <c r="V80" s="166">
        <v>9.3799999999999994E-2</v>
      </c>
      <c r="W80" s="166">
        <v>9.3799999999999994E-2</v>
      </c>
      <c r="X80" s="166">
        <v>9.3700000000000006E-2</v>
      </c>
      <c r="Y80" s="166">
        <v>9.3700000000000006E-2</v>
      </c>
      <c r="Z80" s="166">
        <v>9.3700000000000006E-2</v>
      </c>
      <c r="AA80" s="166">
        <v>9.3600000000000003E-2</v>
      </c>
      <c r="AB80" s="166">
        <v>9.3700000000000006E-2</v>
      </c>
      <c r="AC80" s="166">
        <v>9.35E-2</v>
      </c>
      <c r="AD80" s="166">
        <v>9.3399999999999997E-2</v>
      </c>
      <c r="AE80" s="166">
        <v>9.3200000000000005E-2</v>
      </c>
      <c r="AF80" s="166">
        <v>9.35E-2</v>
      </c>
      <c r="AG80" s="166">
        <v>9.4299999999999995E-2</v>
      </c>
    </row>
    <row r="81" spans="1:33" x14ac:dyDescent="0.2">
      <c r="A81" s="165" t="s">
        <v>262</v>
      </c>
      <c r="B81" s="166">
        <v>9.4600000000000004E-2</v>
      </c>
      <c r="C81" s="166">
        <v>9.3799999999999994E-2</v>
      </c>
      <c r="D81" s="166">
        <v>9.3899999999999997E-2</v>
      </c>
      <c r="E81" s="166">
        <v>9.4E-2</v>
      </c>
      <c r="F81" s="166">
        <v>9.4100000000000003E-2</v>
      </c>
      <c r="G81" s="166">
        <v>9.3899999999999997E-2</v>
      </c>
      <c r="H81" s="166">
        <v>9.4E-2</v>
      </c>
      <c r="I81" s="166">
        <v>9.3899999999999997E-2</v>
      </c>
      <c r="J81" s="166">
        <v>9.7000000000000003E-2</v>
      </c>
      <c r="K81" s="166">
        <v>9.3799999999999994E-2</v>
      </c>
      <c r="L81" s="166">
        <v>9.35E-2</v>
      </c>
      <c r="M81" s="166">
        <v>9.3399999999999997E-2</v>
      </c>
      <c r="N81" s="166">
        <v>9.3299999999999994E-2</v>
      </c>
      <c r="O81" s="166">
        <v>9.3200000000000005E-2</v>
      </c>
      <c r="P81" s="166">
        <v>9.4100000000000003E-2</v>
      </c>
      <c r="Q81" s="166">
        <v>9.3700000000000006E-2</v>
      </c>
      <c r="R81" s="166">
        <v>9.3799999999999994E-2</v>
      </c>
      <c r="S81" s="166">
        <v>9.3899999999999997E-2</v>
      </c>
      <c r="T81" s="166">
        <v>9.3899999999999997E-2</v>
      </c>
      <c r="U81" s="166">
        <v>9.3799999999999994E-2</v>
      </c>
      <c r="V81" s="166">
        <v>9.4E-2</v>
      </c>
      <c r="W81" s="166">
        <v>9.4E-2</v>
      </c>
      <c r="X81" s="166">
        <v>9.3799999999999994E-2</v>
      </c>
      <c r="Y81" s="166">
        <v>9.3899999999999997E-2</v>
      </c>
      <c r="Z81" s="166">
        <v>9.3799999999999994E-2</v>
      </c>
      <c r="AA81" s="166">
        <v>9.3799999999999994E-2</v>
      </c>
      <c r="AB81" s="166">
        <v>9.3700000000000006E-2</v>
      </c>
      <c r="AC81" s="166">
        <v>9.3600000000000003E-2</v>
      </c>
      <c r="AD81" s="166">
        <v>9.35E-2</v>
      </c>
      <c r="AE81" s="166">
        <v>9.3399999999999997E-2</v>
      </c>
      <c r="AF81" s="166">
        <v>9.35E-2</v>
      </c>
      <c r="AG81" s="166">
        <v>9.3799999999999994E-2</v>
      </c>
    </row>
    <row r="82" spans="1:33" x14ac:dyDescent="0.2">
      <c r="A82" s="165" t="s">
        <v>263</v>
      </c>
      <c r="B82" s="166">
        <v>9.3600000000000003E-2</v>
      </c>
      <c r="C82" s="166">
        <v>9.3799999999999994E-2</v>
      </c>
      <c r="D82" s="166">
        <v>9.3700000000000006E-2</v>
      </c>
      <c r="E82" s="166">
        <v>9.3600000000000003E-2</v>
      </c>
      <c r="F82" s="166">
        <v>9.3600000000000003E-2</v>
      </c>
      <c r="G82" s="166">
        <v>9.3299999999999994E-2</v>
      </c>
      <c r="H82" s="166">
        <v>9.3600000000000003E-2</v>
      </c>
      <c r="I82" s="166">
        <v>9.35E-2</v>
      </c>
      <c r="J82" s="166">
        <v>9.3399999999999997E-2</v>
      </c>
      <c r="K82" s="166">
        <v>9.3200000000000005E-2</v>
      </c>
      <c r="L82" s="166">
        <v>9.3100000000000002E-2</v>
      </c>
      <c r="M82" s="166">
        <v>9.2799999999999994E-2</v>
      </c>
      <c r="N82" s="166">
        <v>9.2999999999999999E-2</v>
      </c>
      <c r="O82" s="166">
        <v>9.2700000000000005E-2</v>
      </c>
      <c r="P82" s="166">
        <v>9.2999999999999999E-2</v>
      </c>
      <c r="Q82" s="166">
        <v>9.3100000000000002E-2</v>
      </c>
      <c r="R82" s="166">
        <v>9.3299999999999994E-2</v>
      </c>
      <c r="S82" s="166">
        <v>9.3100000000000002E-2</v>
      </c>
      <c r="T82" s="166">
        <v>9.3700000000000006E-2</v>
      </c>
      <c r="U82" s="166">
        <v>9.3200000000000005E-2</v>
      </c>
      <c r="V82" s="166">
        <v>9.3200000000000005E-2</v>
      </c>
      <c r="W82" s="166">
        <v>9.3100000000000002E-2</v>
      </c>
      <c r="X82" s="166">
        <v>9.3100000000000002E-2</v>
      </c>
      <c r="Y82" s="166">
        <v>9.3299999999999994E-2</v>
      </c>
      <c r="Z82" s="166">
        <v>9.3100000000000002E-2</v>
      </c>
      <c r="AA82" s="166">
        <v>9.3100000000000002E-2</v>
      </c>
      <c r="AB82" s="166">
        <v>9.2999999999999999E-2</v>
      </c>
      <c r="AC82" s="166">
        <v>9.2899999999999996E-2</v>
      </c>
      <c r="AD82" s="166">
        <v>9.2799999999999994E-2</v>
      </c>
      <c r="AE82" s="166">
        <v>9.2700000000000005E-2</v>
      </c>
      <c r="AF82" s="166">
        <v>9.2799999999999994E-2</v>
      </c>
      <c r="AG82" s="166">
        <v>9.3100000000000002E-2</v>
      </c>
    </row>
    <row r="83" spans="1:33" x14ac:dyDescent="0.2">
      <c r="A83" s="165" t="s">
        <v>264</v>
      </c>
      <c r="B83" s="166">
        <v>9.3899999999999997E-2</v>
      </c>
      <c r="C83" s="166">
        <v>9.3899999999999997E-2</v>
      </c>
      <c r="D83" s="166">
        <v>9.3899999999999997E-2</v>
      </c>
      <c r="E83" s="166">
        <v>9.3700000000000006E-2</v>
      </c>
      <c r="F83" s="166">
        <v>9.35E-2</v>
      </c>
      <c r="G83" s="166">
        <v>9.3399999999999997E-2</v>
      </c>
      <c r="H83" s="166">
        <v>9.3399999999999997E-2</v>
      </c>
      <c r="I83" s="166">
        <v>9.3399999999999997E-2</v>
      </c>
      <c r="J83" s="166">
        <v>9.3299999999999994E-2</v>
      </c>
      <c r="K83" s="166">
        <v>9.3200000000000005E-2</v>
      </c>
      <c r="L83" s="166">
        <v>9.2999999999999999E-2</v>
      </c>
      <c r="M83" s="166">
        <v>9.2700000000000005E-2</v>
      </c>
      <c r="N83" s="166">
        <v>9.2899999999999996E-2</v>
      </c>
      <c r="O83" s="166">
        <v>9.2700000000000005E-2</v>
      </c>
      <c r="P83" s="166">
        <v>9.2999999999999999E-2</v>
      </c>
      <c r="Q83" s="166">
        <v>9.3100000000000002E-2</v>
      </c>
      <c r="R83" s="166">
        <v>9.3200000000000005E-2</v>
      </c>
      <c r="S83" s="166">
        <v>9.3200000000000005E-2</v>
      </c>
      <c r="T83" s="166">
        <v>9.3200000000000005E-2</v>
      </c>
      <c r="U83" s="166">
        <v>9.3200000000000005E-2</v>
      </c>
      <c r="V83" s="166">
        <v>9.3200000000000005E-2</v>
      </c>
      <c r="W83" s="166">
        <v>9.3200000000000005E-2</v>
      </c>
      <c r="X83" s="166">
        <v>9.3100000000000002E-2</v>
      </c>
      <c r="Y83" s="166">
        <v>9.3399999999999997E-2</v>
      </c>
      <c r="Z83" s="166">
        <v>9.3200000000000005E-2</v>
      </c>
      <c r="AA83" s="166">
        <v>9.3200000000000005E-2</v>
      </c>
      <c r="AB83" s="166">
        <v>9.3200000000000005E-2</v>
      </c>
      <c r="AC83" s="166">
        <v>9.3200000000000005E-2</v>
      </c>
      <c r="AD83" s="166">
        <v>9.2999999999999999E-2</v>
      </c>
      <c r="AE83" s="166">
        <v>9.2999999999999999E-2</v>
      </c>
      <c r="AF83" s="166">
        <v>9.2999999999999999E-2</v>
      </c>
      <c r="AG83" s="166">
        <v>9.3299999999999994E-2</v>
      </c>
    </row>
    <row r="84" spans="1:33" x14ac:dyDescent="0.2">
      <c r="A84" s="165" t="s">
        <v>265</v>
      </c>
      <c r="B84" s="166">
        <v>9.5100000000000004E-2</v>
      </c>
      <c r="C84" s="166">
        <v>9.5000000000000001E-2</v>
      </c>
      <c r="D84" s="166">
        <v>9.5699999999999993E-2</v>
      </c>
      <c r="E84" s="166">
        <v>9.6600000000000005E-2</v>
      </c>
      <c r="F84" s="166">
        <v>9.7100000000000006E-2</v>
      </c>
      <c r="G84" s="166">
        <v>0.10100000000000001</v>
      </c>
      <c r="H84" s="166">
        <v>9.4500000000000001E-2</v>
      </c>
      <c r="I84" s="166">
        <v>9.5399999999999999E-2</v>
      </c>
      <c r="J84" s="166">
        <v>9.6100000000000005E-2</v>
      </c>
      <c r="K84" s="166">
        <v>9.7199999999999995E-2</v>
      </c>
      <c r="L84" s="166">
        <v>9.4600000000000004E-2</v>
      </c>
      <c r="M84" s="166">
        <v>9.7199999999999995E-2</v>
      </c>
      <c r="N84" s="166">
        <v>9.6100000000000005E-2</v>
      </c>
      <c r="O84" s="166">
        <v>9.7000000000000003E-2</v>
      </c>
      <c r="P84" s="166">
        <v>9.5399999999999999E-2</v>
      </c>
      <c r="Q84" s="166">
        <v>9.4899999999999998E-2</v>
      </c>
      <c r="R84" s="166">
        <v>9.4600000000000004E-2</v>
      </c>
      <c r="S84" s="166">
        <v>9.5899999999999999E-2</v>
      </c>
      <c r="T84" s="166">
        <v>9.6600000000000005E-2</v>
      </c>
      <c r="U84" s="166">
        <v>9.4399999999999998E-2</v>
      </c>
      <c r="V84" s="166">
        <v>9.5000000000000001E-2</v>
      </c>
      <c r="W84" s="166">
        <v>9.4100000000000003E-2</v>
      </c>
      <c r="X84" s="166">
        <v>9.4500000000000001E-2</v>
      </c>
      <c r="Y84" s="166">
        <v>9.4700000000000006E-2</v>
      </c>
      <c r="Z84" s="166">
        <v>9.4299999999999995E-2</v>
      </c>
      <c r="AA84" s="166">
        <v>9.4399999999999998E-2</v>
      </c>
      <c r="AB84" s="166">
        <v>9.5100000000000004E-2</v>
      </c>
      <c r="AC84" s="166">
        <v>9.5000000000000001E-2</v>
      </c>
      <c r="AD84" s="166">
        <v>9.4200000000000006E-2</v>
      </c>
      <c r="AE84" s="166">
        <v>9.3899999999999997E-2</v>
      </c>
      <c r="AF84" s="166">
        <v>9.4700000000000006E-2</v>
      </c>
      <c r="AG84" s="166">
        <v>9.4399999999999998E-2</v>
      </c>
    </row>
    <row r="85" spans="1:33" x14ac:dyDescent="0.2">
      <c r="A85" s="165" t="s">
        <v>266</v>
      </c>
      <c r="B85" s="166">
        <v>9.4500000000000001E-2</v>
      </c>
      <c r="C85" s="166">
        <v>9.4399999999999998E-2</v>
      </c>
      <c r="D85" s="166">
        <v>9.4200000000000006E-2</v>
      </c>
      <c r="E85" s="166">
        <v>9.4E-2</v>
      </c>
      <c r="F85" s="166">
        <v>9.3899999999999997E-2</v>
      </c>
      <c r="G85" s="166">
        <v>9.3799999999999994E-2</v>
      </c>
      <c r="H85" s="166">
        <v>9.3799999999999994E-2</v>
      </c>
      <c r="I85" s="166">
        <v>9.3799999999999994E-2</v>
      </c>
      <c r="J85" s="166">
        <v>9.3799999999999994E-2</v>
      </c>
      <c r="K85" s="166">
        <v>9.3700000000000006E-2</v>
      </c>
      <c r="L85" s="166">
        <v>9.3399999999999997E-2</v>
      </c>
      <c r="M85" s="166">
        <v>9.3399999999999997E-2</v>
      </c>
      <c r="N85" s="166">
        <v>9.3399999999999997E-2</v>
      </c>
      <c r="O85" s="166">
        <v>9.3399999999999997E-2</v>
      </c>
      <c r="P85" s="166">
        <v>9.35E-2</v>
      </c>
      <c r="Q85" s="166">
        <v>9.3600000000000003E-2</v>
      </c>
      <c r="R85" s="166">
        <v>9.3600000000000003E-2</v>
      </c>
      <c r="S85" s="166">
        <v>9.3799999999999994E-2</v>
      </c>
      <c r="T85" s="166">
        <v>9.3799999999999994E-2</v>
      </c>
      <c r="U85" s="166">
        <v>9.3799999999999994E-2</v>
      </c>
      <c r="V85" s="166">
        <v>9.3899999999999997E-2</v>
      </c>
      <c r="W85" s="166">
        <v>9.3600000000000003E-2</v>
      </c>
      <c r="X85" s="166">
        <v>9.3700000000000006E-2</v>
      </c>
      <c r="Y85" s="166">
        <v>9.3899999999999997E-2</v>
      </c>
      <c r="Z85" s="166">
        <v>9.3600000000000003E-2</v>
      </c>
      <c r="AA85" s="166">
        <v>9.35E-2</v>
      </c>
      <c r="AB85" s="166">
        <v>9.3700000000000006E-2</v>
      </c>
      <c r="AC85" s="166">
        <v>9.3600000000000003E-2</v>
      </c>
      <c r="AD85" s="166">
        <v>9.35E-2</v>
      </c>
      <c r="AE85" s="166">
        <v>9.3200000000000005E-2</v>
      </c>
      <c r="AF85" s="166">
        <v>9.3399999999999997E-2</v>
      </c>
      <c r="AG85" s="166">
        <v>9.4200000000000006E-2</v>
      </c>
    </row>
    <row r="86" spans="1:33" x14ac:dyDescent="0.2">
      <c r="A86" s="165" t="s">
        <v>267</v>
      </c>
      <c r="B86" s="166">
        <v>9.5299999999999996E-2</v>
      </c>
      <c r="C86" s="166">
        <v>9.5500000000000002E-2</v>
      </c>
      <c r="D86" s="166">
        <v>9.6000000000000002E-2</v>
      </c>
      <c r="E86" s="166">
        <v>9.69E-2</v>
      </c>
      <c r="F86" s="166">
        <v>9.7000000000000003E-2</v>
      </c>
      <c r="G86" s="166">
        <v>9.5699999999999993E-2</v>
      </c>
      <c r="H86" s="166">
        <v>9.4299999999999995E-2</v>
      </c>
      <c r="I86" s="166">
        <v>9.4799999999999995E-2</v>
      </c>
      <c r="J86" s="166">
        <v>9.69E-2</v>
      </c>
      <c r="K86" s="166">
        <v>9.6299999999999997E-2</v>
      </c>
      <c r="L86" s="166">
        <v>9.4700000000000006E-2</v>
      </c>
      <c r="M86" s="166">
        <v>9.5000000000000001E-2</v>
      </c>
      <c r="N86" s="166">
        <v>9.6000000000000002E-2</v>
      </c>
      <c r="O86" s="166">
        <v>9.4700000000000006E-2</v>
      </c>
      <c r="P86" s="166">
        <v>9.4399999999999998E-2</v>
      </c>
      <c r="Q86" s="166">
        <v>9.4600000000000004E-2</v>
      </c>
      <c r="R86" s="166">
        <v>9.4399999999999998E-2</v>
      </c>
      <c r="S86" s="166">
        <v>9.4600000000000004E-2</v>
      </c>
      <c r="T86" s="166">
        <v>9.4899999999999998E-2</v>
      </c>
      <c r="U86" s="166">
        <v>9.4700000000000006E-2</v>
      </c>
      <c r="V86" s="166">
        <v>9.5299999999999996E-2</v>
      </c>
      <c r="W86" s="166">
        <v>9.4299999999999995E-2</v>
      </c>
      <c r="X86" s="166">
        <v>9.4299999999999995E-2</v>
      </c>
      <c r="Y86" s="166">
        <v>9.4600000000000004E-2</v>
      </c>
      <c r="Z86" s="166">
        <v>9.4299999999999995E-2</v>
      </c>
      <c r="AA86" s="166">
        <v>9.4200000000000006E-2</v>
      </c>
      <c r="AB86" s="166">
        <v>9.4299999999999995E-2</v>
      </c>
      <c r="AC86" s="166">
        <v>9.4299999999999995E-2</v>
      </c>
      <c r="AD86" s="166">
        <v>9.4100000000000003E-2</v>
      </c>
      <c r="AE86" s="166">
        <v>9.3700000000000006E-2</v>
      </c>
      <c r="AF86" s="166">
        <v>9.3899999999999997E-2</v>
      </c>
      <c r="AG86" s="166">
        <v>9.4E-2</v>
      </c>
    </row>
    <row r="87" spans="1:33" x14ac:dyDescent="0.2">
      <c r="A87" s="165" t="s">
        <v>268</v>
      </c>
      <c r="B87" s="166">
        <v>9.4600000000000004E-2</v>
      </c>
      <c r="C87" s="166">
        <v>9.4399999999999998E-2</v>
      </c>
      <c r="D87" s="166">
        <v>9.4299999999999995E-2</v>
      </c>
      <c r="E87" s="166">
        <v>9.3899999999999997E-2</v>
      </c>
      <c r="F87" s="166">
        <v>9.3899999999999997E-2</v>
      </c>
      <c r="G87" s="166">
        <v>9.3700000000000006E-2</v>
      </c>
      <c r="H87" s="166">
        <v>9.3600000000000003E-2</v>
      </c>
      <c r="I87" s="166">
        <v>9.3600000000000003E-2</v>
      </c>
      <c r="J87" s="166">
        <v>9.35E-2</v>
      </c>
      <c r="K87" s="166">
        <v>9.3399999999999997E-2</v>
      </c>
      <c r="L87" s="166">
        <v>9.3299999999999994E-2</v>
      </c>
      <c r="M87" s="166">
        <v>9.3200000000000005E-2</v>
      </c>
      <c r="N87" s="166">
        <v>9.3200000000000005E-2</v>
      </c>
      <c r="O87" s="166">
        <v>9.3100000000000002E-2</v>
      </c>
      <c r="P87" s="166">
        <v>9.3399999999999997E-2</v>
      </c>
      <c r="Q87" s="166">
        <v>9.35E-2</v>
      </c>
      <c r="R87" s="166">
        <v>9.3600000000000003E-2</v>
      </c>
      <c r="S87" s="166">
        <v>9.3799999999999994E-2</v>
      </c>
      <c r="T87" s="166">
        <v>9.3700000000000006E-2</v>
      </c>
      <c r="U87" s="166">
        <v>9.3700000000000006E-2</v>
      </c>
      <c r="V87" s="166">
        <v>9.3700000000000006E-2</v>
      </c>
      <c r="W87" s="166">
        <v>9.3799999999999994E-2</v>
      </c>
      <c r="X87" s="166">
        <v>9.3700000000000006E-2</v>
      </c>
      <c r="Y87" s="166">
        <v>9.3899999999999997E-2</v>
      </c>
      <c r="Z87" s="166">
        <v>9.3799999999999994E-2</v>
      </c>
      <c r="AA87" s="166">
        <v>9.3799999999999994E-2</v>
      </c>
      <c r="AB87" s="166">
        <v>9.3700000000000006E-2</v>
      </c>
      <c r="AC87" s="166">
        <v>9.3700000000000006E-2</v>
      </c>
      <c r="AD87" s="166">
        <v>9.3600000000000003E-2</v>
      </c>
      <c r="AE87" s="166">
        <v>9.3600000000000003E-2</v>
      </c>
      <c r="AF87" s="166">
        <v>9.3600000000000003E-2</v>
      </c>
      <c r="AG87" s="166">
        <v>9.3899999999999997E-2</v>
      </c>
    </row>
    <row r="88" spans="1:33" x14ac:dyDescent="0.2">
      <c r="A88" s="165" t="s">
        <v>269</v>
      </c>
      <c r="B88" s="166">
        <v>9.4E-2</v>
      </c>
      <c r="C88" s="166">
        <v>9.4500000000000001E-2</v>
      </c>
      <c r="D88" s="166">
        <v>9.3799999999999994E-2</v>
      </c>
      <c r="E88" s="166">
        <v>9.3600000000000003E-2</v>
      </c>
      <c r="F88" s="166">
        <v>9.35E-2</v>
      </c>
      <c r="G88" s="166">
        <v>9.3299999999999994E-2</v>
      </c>
      <c r="H88" s="166">
        <v>9.3299999999999994E-2</v>
      </c>
      <c r="I88" s="166">
        <v>9.3200000000000005E-2</v>
      </c>
      <c r="J88" s="166">
        <v>9.3200000000000005E-2</v>
      </c>
      <c r="K88" s="166">
        <v>9.3100000000000002E-2</v>
      </c>
      <c r="L88" s="166">
        <v>9.2999999999999999E-2</v>
      </c>
      <c r="M88" s="166">
        <v>9.2899999999999996E-2</v>
      </c>
      <c r="N88" s="166">
        <v>9.2799999999999994E-2</v>
      </c>
      <c r="O88" s="166">
        <v>9.2799999999999994E-2</v>
      </c>
      <c r="P88" s="166">
        <v>9.3100000000000002E-2</v>
      </c>
      <c r="Q88" s="166">
        <v>9.3200000000000005E-2</v>
      </c>
      <c r="R88" s="166">
        <v>9.3899999999999997E-2</v>
      </c>
      <c r="S88" s="166">
        <v>9.3299999999999994E-2</v>
      </c>
      <c r="T88" s="166">
        <v>9.3299999999999994E-2</v>
      </c>
      <c r="U88" s="166">
        <v>9.3200000000000005E-2</v>
      </c>
      <c r="V88" s="166">
        <v>9.3200000000000005E-2</v>
      </c>
      <c r="W88" s="166">
        <v>9.3200000000000005E-2</v>
      </c>
      <c r="X88" s="166">
        <v>9.3200000000000005E-2</v>
      </c>
      <c r="Y88" s="166">
        <v>9.3399999999999997E-2</v>
      </c>
      <c r="Z88" s="166">
        <v>9.3299999999999994E-2</v>
      </c>
      <c r="AA88" s="166">
        <v>9.3200000000000005E-2</v>
      </c>
      <c r="AB88" s="166">
        <v>9.3200000000000005E-2</v>
      </c>
      <c r="AC88" s="166">
        <v>9.3100000000000002E-2</v>
      </c>
      <c r="AD88" s="166">
        <v>9.2999999999999999E-2</v>
      </c>
      <c r="AE88" s="166">
        <v>9.2899999999999996E-2</v>
      </c>
      <c r="AF88" s="166">
        <v>9.3100000000000002E-2</v>
      </c>
      <c r="AG88" s="166">
        <v>9.3299999999999994E-2</v>
      </c>
    </row>
    <row r="89" spans="1:33" x14ac:dyDescent="0.2">
      <c r="A89" s="165" t="s">
        <v>270</v>
      </c>
      <c r="B89" s="166">
        <v>9.3600000000000003E-2</v>
      </c>
      <c r="C89" s="166">
        <v>9.35E-2</v>
      </c>
      <c r="D89" s="166">
        <v>9.3299999999999994E-2</v>
      </c>
      <c r="E89" s="166">
        <v>9.3100000000000002E-2</v>
      </c>
      <c r="F89" s="166">
        <v>9.2899999999999996E-2</v>
      </c>
      <c r="G89" s="166">
        <v>9.3399999999999997E-2</v>
      </c>
      <c r="H89" s="166">
        <v>9.2799999999999994E-2</v>
      </c>
      <c r="I89" s="166">
        <v>9.2799999999999994E-2</v>
      </c>
      <c r="J89" s="166">
        <v>9.2799999999999994E-2</v>
      </c>
      <c r="K89" s="166">
        <v>9.2600000000000002E-2</v>
      </c>
      <c r="L89" s="166">
        <v>9.2499999999999999E-2</v>
      </c>
      <c r="M89" s="166">
        <v>9.2399999999999996E-2</v>
      </c>
      <c r="N89" s="166">
        <v>9.2299999999999993E-2</v>
      </c>
      <c r="O89" s="166">
        <v>9.2299999999999993E-2</v>
      </c>
      <c r="P89" s="166">
        <v>9.2600000000000002E-2</v>
      </c>
      <c r="Q89" s="166">
        <v>9.2600000000000002E-2</v>
      </c>
      <c r="R89" s="166">
        <v>9.2899999999999996E-2</v>
      </c>
      <c r="S89" s="166">
        <v>9.2799999999999994E-2</v>
      </c>
      <c r="T89" s="166">
        <v>9.2799999999999994E-2</v>
      </c>
      <c r="U89" s="166">
        <v>9.2899999999999996E-2</v>
      </c>
      <c r="V89" s="166">
        <v>9.2799999999999994E-2</v>
      </c>
      <c r="W89" s="166">
        <v>9.2899999999999996E-2</v>
      </c>
      <c r="X89" s="166">
        <v>9.2799999999999994E-2</v>
      </c>
      <c r="Y89" s="166">
        <v>9.2899999999999996E-2</v>
      </c>
      <c r="Z89" s="166">
        <v>9.2799999999999994E-2</v>
      </c>
      <c r="AA89" s="166">
        <v>9.2700000000000005E-2</v>
      </c>
      <c r="AB89" s="166">
        <v>9.2799999999999994E-2</v>
      </c>
      <c r="AC89" s="166">
        <v>9.2700000000000005E-2</v>
      </c>
      <c r="AD89" s="166">
        <v>9.2600000000000002E-2</v>
      </c>
      <c r="AE89" s="166">
        <v>9.2499999999999999E-2</v>
      </c>
      <c r="AF89" s="166">
        <v>9.2499999999999999E-2</v>
      </c>
      <c r="AG89" s="166">
        <v>9.2799999999999994E-2</v>
      </c>
    </row>
    <row r="90" spans="1:33" x14ac:dyDescent="0.2">
      <c r="A90" s="165" t="s">
        <v>271</v>
      </c>
      <c r="B90" s="166">
        <v>9.3399999999999997E-2</v>
      </c>
      <c r="C90" s="166">
        <v>9.3399999999999997E-2</v>
      </c>
      <c r="D90" s="166">
        <v>9.3299999999999994E-2</v>
      </c>
      <c r="E90" s="166">
        <v>9.3399999999999997E-2</v>
      </c>
      <c r="F90" s="166">
        <v>9.3200000000000005E-2</v>
      </c>
      <c r="G90" s="166">
        <v>9.3100000000000002E-2</v>
      </c>
      <c r="H90" s="166">
        <v>9.2999999999999999E-2</v>
      </c>
      <c r="I90" s="166">
        <v>9.3100000000000002E-2</v>
      </c>
      <c r="J90" s="166">
        <v>9.3100000000000002E-2</v>
      </c>
      <c r="K90" s="166">
        <v>9.2999999999999999E-2</v>
      </c>
      <c r="L90" s="166">
        <v>9.2899999999999996E-2</v>
      </c>
      <c r="M90" s="166">
        <v>9.2799999999999994E-2</v>
      </c>
      <c r="N90" s="166">
        <v>9.2799999999999994E-2</v>
      </c>
      <c r="O90" s="166">
        <v>9.2799999999999994E-2</v>
      </c>
      <c r="P90" s="166">
        <v>9.2999999999999999E-2</v>
      </c>
      <c r="Q90" s="166">
        <v>9.3200000000000005E-2</v>
      </c>
      <c r="R90" s="166">
        <v>9.3299999999999994E-2</v>
      </c>
      <c r="S90" s="166">
        <v>9.3299999999999994E-2</v>
      </c>
      <c r="T90" s="166">
        <v>9.3299999999999994E-2</v>
      </c>
      <c r="U90" s="166">
        <v>9.3200000000000005E-2</v>
      </c>
      <c r="V90" s="166">
        <v>9.3200000000000005E-2</v>
      </c>
      <c r="W90" s="166">
        <v>9.3299999999999994E-2</v>
      </c>
      <c r="X90" s="166">
        <v>9.3299999999999994E-2</v>
      </c>
      <c r="Y90" s="166">
        <v>9.3399999999999997E-2</v>
      </c>
      <c r="Z90" s="166">
        <v>9.3299999999999994E-2</v>
      </c>
      <c r="AA90" s="166">
        <v>9.3200000000000005E-2</v>
      </c>
      <c r="AB90" s="166">
        <v>9.3200000000000005E-2</v>
      </c>
      <c r="AC90" s="166">
        <v>9.2999999999999999E-2</v>
      </c>
      <c r="AD90" s="166">
        <v>9.3100000000000002E-2</v>
      </c>
      <c r="AE90" s="166">
        <v>9.2899999999999996E-2</v>
      </c>
      <c r="AF90" s="166">
        <v>9.2999999999999999E-2</v>
      </c>
      <c r="AG90" s="166">
        <v>9.3299999999999994E-2</v>
      </c>
    </row>
    <row r="91" spans="1:33" x14ac:dyDescent="0.2">
      <c r="A91" s="165" t="s">
        <v>272</v>
      </c>
      <c r="B91" s="166">
        <v>9.4200000000000006E-2</v>
      </c>
      <c r="C91" s="166">
        <v>9.4299999999999995E-2</v>
      </c>
      <c r="D91" s="166">
        <v>9.4200000000000006E-2</v>
      </c>
      <c r="E91" s="166">
        <v>9.4E-2</v>
      </c>
      <c r="F91" s="166">
        <v>9.3899999999999997E-2</v>
      </c>
      <c r="G91" s="166">
        <v>9.3799999999999994E-2</v>
      </c>
      <c r="H91" s="166">
        <v>9.3700000000000006E-2</v>
      </c>
      <c r="I91" s="166">
        <v>9.3600000000000003E-2</v>
      </c>
      <c r="J91" s="166">
        <v>9.35E-2</v>
      </c>
      <c r="K91" s="166">
        <v>9.35E-2</v>
      </c>
      <c r="L91" s="166">
        <v>9.3899999999999997E-2</v>
      </c>
      <c r="M91" s="166">
        <v>9.3100000000000002E-2</v>
      </c>
      <c r="N91" s="166">
        <v>9.3100000000000002E-2</v>
      </c>
      <c r="O91" s="166">
        <v>9.2999999999999999E-2</v>
      </c>
      <c r="P91" s="166">
        <v>9.3299999999999994E-2</v>
      </c>
      <c r="Q91" s="166">
        <v>9.3399999999999997E-2</v>
      </c>
      <c r="R91" s="166">
        <v>9.3600000000000003E-2</v>
      </c>
      <c r="S91" s="166">
        <v>9.3700000000000006E-2</v>
      </c>
      <c r="T91" s="166">
        <v>9.3700000000000006E-2</v>
      </c>
      <c r="U91" s="166">
        <v>9.3700000000000006E-2</v>
      </c>
      <c r="V91" s="166">
        <v>9.3600000000000003E-2</v>
      </c>
      <c r="W91" s="166">
        <v>9.3700000000000006E-2</v>
      </c>
      <c r="X91" s="166">
        <v>9.3600000000000003E-2</v>
      </c>
      <c r="Y91" s="166">
        <v>9.3700000000000006E-2</v>
      </c>
      <c r="Z91" s="166">
        <v>9.3600000000000003E-2</v>
      </c>
      <c r="AA91" s="166">
        <v>9.3600000000000003E-2</v>
      </c>
      <c r="AB91" s="166">
        <v>9.35E-2</v>
      </c>
      <c r="AC91" s="166">
        <v>9.3399999999999997E-2</v>
      </c>
      <c r="AD91" s="166">
        <v>9.3399999999999997E-2</v>
      </c>
      <c r="AE91" s="166">
        <v>9.3299999999999994E-2</v>
      </c>
      <c r="AF91" s="166">
        <v>9.3299999999999994E-2</v>
      </c>
      <c r="AG91" s="166">
        <v>9.3700000000000006E-2</v>
      </c>
    </row>
    <row r="92" spans="1:33" x14ac:dyDescent="0.2">
      <c r="A92" s="165" t="s">
        <v>273</v>
      </c>
      <c r="B92" s="166">
        <v>9.6000000000000002E-2</v>
      </c>
      <c r="C92" s="166">
        <v>9.5600000000000004E-2</v>
      </c>
      <c r="D92" s="166">
        <v>9.5399999999999999E-2</v>
      </c>
      <c r="E92" s="166">
        <v>9.5299999999999996E-2</v>
      </c>
      <c r="F92" s="166">
        <v>9.5299999999999996E-2</v>
      </c>
      <c r="G92" s="166">
        <v>9.5200000000000007E-2</v>
      </c>
      <c r="H92" s="166">
        <v>9.5100000000000004E-2</v>
      </c>
      <c r="I92" s="166">
        <v>9.5200000000000007E-2</v>
      </c>
      <c r="J92" s="166">
        <v>9.4899999999999998E-2</v>
      </c>
      <c r="K92" s="166">
        <v>9.5000000000000001E-2</v>
      </c>
      <c r="L92" s="166">
        <v>9.5000000000000001E-2</v>
      </c>
      <c r="M92" s="166">
        <v>9.4799999999999995E-2</v>
      </c>
      <c r="N92" s="166">
        <v>9.4799999999999995E-2</v>
      </c>
      <c r="O92" s="166">
        <v>9.4700000000000006E-2</v>
      </c>
      <c r="P92" s="166">
        <v>9.5100000000000004E-2</v>
      </c>
      <c r="Q92" s="166">
        <v>9.5100000000000004E-2</v>
      </c>
      <c r="R92" s="166">
        <v>9.5299999999999996E-2</v>
      </c>
      <c r="S92" s="166">
        <v>9.6100000000000005E-2</v>
      </c>
      <c r="T92" s="166">
        <v>9.5399999999999999E-2</v>
      </c>
      <c r="U92" s="166">
        <v>9.5500000000000002E-2</v>
      </c>
      <c r="V92" s="166">
        <v>9.5399999999999999E-2</v>
      </c>
      <c r="W92" s="166">
        <v>9.5399999999999999E-2</v>
      </c>
      <c r="X92" s="166">
        <v>9.5500000000000002E-2</v>
      </c>
      <c r="Y92" s="166">
        <v>9.5600000000000004E-2</v>
      </c>
      <c r="Z92" s="166">
        <v>9.5399999999999999E-2</v>
      </c>
      <c r="AA92" s="166">
        <v>9.5399999999999999E-2</v>
      </c>
      <c r="AB92" s="166">
        <v>9.5299999999999996E-2</v>
      </c>
      <c r="AC92" s="166">
        <v>9.5200000000000007E-2</v>
      </c>
      <c r="AD92" s="166">
        <v>9.5200000000000007E-2</v>
      </c>
      <c r="AE92" s="166">
        <v>9.5000000000000001E-2</v>
      </c>
      <c r="AF92" s="166">
        <v>9.5200000000000007E-2</v>
      </c>
      <c r="AG92" s="166">
        <v>9.5399999999999999E-2</v>
      </c>
    </row>
    <row r="93" spans="1:33" x14ac:dyDescent="0.2">
      <c r="A93" s="165" t="s">
        <v>274</v>
      </c>
      <c r="B93" s="166">
        <v>9.8599999999999993E-2</v>
      </c>
      <c r="C93" s="166">
        <v>9.74E-2</v>
      </c>
      <c r="D93" s="166">
        <v>9.7299999999999998E-2</v>
      </c>
      <c r="E93" s="166">
        <v>9.69E-2</v>
      </c>
      <c r="F93" s="166">
        <v>9.8900000000000002E-2</v>
      </c>
      <c r="G93" s="166">
        <v>9.7299999999999998E-2</v>
      </c>
      <c r="H93" s="166">
        <v>9.8699999999999996E-2</v>
      </c>
      <c r="I93" s="166">
        <v>9.7600000000000006E-2</v>
      </c>
      <c r="J93" s="166">
        <v>9.7199999999999995E-2</v>
      </c>
      <c r="K93" s="166">
        <v>9.7299999999999998E-2</v>
      </c>
      <c r="L93" s="166">
        <v>9.7299999999999998E-2</v>
      </c>
      <c r="M93" s="166">
        <v>9.69E-2</v>
      </c>
      <c r="N93" s="166">
        <v>9.7299999999999998E-2</v>
      </c>
      <c r="O93" s="166">
        <v>9.6600000000000005E-2</v>
      </c>
      <c r="P93" s="166">
        <v>9.69E-2</v>
      </c>
      <c r="Q93" s="166">
        <v>9.7199999999999995E-2</v>
      </c>
      <c r="R93" s="166">
        <v>9.7600000000000006E-2</v>
      </c>
      <c r="S93" s="166">
        <v>9.74E-2</v>
      </c>
      <c r="T93" s="166">
        <v>9.7799999999999998E-2</v>
      </c>
      <c r="U93" s="166">
        <v>9.7500000000000003E-2</v>
      </c>
      <c r="V93" s="166">
        <v>9.8900000000000002E-2</v>
      </c>
      <c r="W93" s="166">
        <v>9.9099999999999994E-2</v>
      </c>
      <c r="X93" s="166">
        <v>9.8000000000000004E-2</v>
      </c>
      <c r="Y93" s="166">
        <v>9.7799999999999998E-2</v>
      </c>
      <c r="Z93" s="166">
        <v>9.7699999999999995E-2</v>
      </c>
      <c r="AA93" s="166">
        <v>9.7900000000000001E-2</v>
      </c>
      <c r="AB93" s="166">
        <v>9.7199999999999995E-2</v>
      </c>
      <c r="AC93" s="166">
        <v>9.7799999999999998E-2</v>
      </c>
      <c r="AD93" s="166">
        <v>9.74E-2</v>
      </c>
      <c r="AE93" s="166">
        <v>9.7100000000000006E-2</v>
      </c>
      <c r="AF93" s="166">
        <v>9.7199999999999995E-2</v>
      </c>
      <c r="AG93" s="166">
        <v>9.8199999999999996E-2</v>
      </c>
    </row>
    <row r="94" spans="1:33" x14ac:dyDescent="0.2">
      <c r="A94" s="162" t="s">
        <v>275</v>
      </c>
      <c r="B94" s="162">
        <f>$B$55-AVERAGE($B$58,$B$59,$B$60,$B$61,$B$62,$B$63,$B$64,$B$65,$B$66,$B$67,$B$68,$B$69,$B$70,$B$71,$B$72,$B$73,$B$74,$B$75,$B$76,$B$77,$B$78,$B$79,$B$80,$B$81,$B$82,$B$83,$B$85,$B$87,$B$88,$B$89,$B$90,$B$91,$B$92)</f>
        <v>2.9000000000000276E-3</v>
      </c>
      <c r="C94" s="162">
        <f>$C$55-AVERAGE($C$58,$C$59,$C$60,$C$61,$C$62,$C$63,$C$64,$C$65,$C$66,$C$67,$C$68,$C$69,$C$70,$C$71,$C$72,$C$73,$C$74,$C$75,$C$76,$C$77,$C$78,$C$79,$C$80,$C$81,$C$82,$C$83,$C$85,$C$87,$C$88,$C$89,$C$90,$C$91,$C$92)</f>
        <v>3.2818181818181774E-3</v>
      </c>
      <c r="D94" s="162">
        <f>$D$55-AVERAGE($D$58,$D$59,$D$60,$D$61,$D$62,$D$63,$D$64,$D$65,$D$66,$D$67,$D$68,$D$69,$D$70,$D$71,$D$72,$D$73,$D$74,$D$75,$D$76,$D$77,$D$78,$D$79,$D$80,$D$81,$D$82,$D$83,$D$85,$D$87,$D$88,$D$89,$D$90,$D$91,$D$92)</f>
        <v>3.4181818181818063E-3</v>
      </c>
      <c r="E94" s="162">
        <f>$E$55-AVERAGE($E$58,$E$59,$E$60,$E$61,$E$62,$E$63,$E$64,$E$65,$E$66,$E$67,$E$68,$E$69,$E$70,$E$71,$E$72,$E$73,$E$74,$E$75,$E$76,$E$77,$E$78,$E$79,$E$80,$E$81,$E$82,$E$83,$E$85,$E$87,$E$88,$E$89,$E$90,$E$91,$E$92)</f>
        <v>3.472727272727294E-3</v>
      </c>
      <c r="F94" s="162">
        <f>$F$55-AVERAGE($F$58,$F$59,$F$60,$F$61,$F$62,$F$63,$F$64,$F$65,$F$66,$F$67,$F$68,$F$69,$F$70,$F$71,$F$72,$F$73,$F$74,$F$75,$F$76,$F$77,$F$78,$F$79,$F$80,$F$81,$F$82,$F$83,$F$85,$F$87,$F$88,$F$89,$F$90,$F$91,$F$92)</f>
        <v>3.8848484848484771E-3</v>
      </c>
      <c r="G94" s="162">
        <f>$G$55-AVERAGE($G$58,$G$59,$G$60,$G$61,$G$62,$G$63,$G$64,$G$65,$G$66,$G$67,$G$68,$G$69,$G$70,$G$71,$G$72,$G$73,$G$74,$G$75,$G$76,$G$77,$G$78,$G$79,$G$80,$G$81,$G$82,$G$83,$G$85,$G$87,$G$88,$G$89,$G$90,$G$91,$G$92)</f>
        <v>4.44242424242422E-3</v>
      </c>
      <c r="H94" s="162">
        <f>$H$55-AVERAGE($H$58,$H$59,$H$60,$H$61,$H$62,$H$63,$H$64,$H$65,$H$66,$H$67,$H$68,$H$69,$H$70,$H$71,$H$72,$H$73,$H$74,$H$75,$H$76,$H$77,$H$78,$H$79,$H$80,$H$81,$H$82,$H$83,$H$85,$H$87,$H$88,$H$89,$H$90,$H$91,$H$92)</f>
        <v>5.2696969696969798E-3</v>
      </c>
      <c r="I94" s="162">
        <f>$I$55-AVERAGE($I$58,$I$59,$I$60,$I$61,$I$62,$I$63,$I$64,$I$65,$I$66,$I$67,$I$68,$I$69,$I$70,$I$71,$I$72,$I$73,$I$74,$I$75,$I$76,$I$77,$I$78,$I$79,$I$80,$I$81,$I$82,$I$83,$I$85,$I$87,$I$88,$I$89,$I$90,$I$91,$I$92)</f>
        <v>6.8575757575757706E-3</v>
      </c>
      <c r="J94" s="162">
        <f>$J$55-AVERAGE($J$58,$J$59,$J$60,$J$61,$J$62,$J$63,$J$64,$J$65,$J$66,$J$67,$J$68,$J$69,$J$70,$J$71,$J$72,$J$73,$J$74,$J$75,$J$76,$J$77,$J$78,$J$79,$J$80,$J$81,$J$82,$J$83,$J$85,$J$87,$J$88,$J$89,$J$90,$J$91,$J$92)</f>
        <v>9.0181818181818002E-3</v>
      </c>
      <c r="K94" s="162">
        <f>$K$55-AVERAGE($K$58,$K$59,$K$60,$K$61,$K$62,$K$63,$K$64,$K$65,$K$66,$K$67,$K$68,$K$69,$K$70,$K$71,$K$72,$K$73,$K$74,$K$75,$K$76,$K$77,$K$78,$K$79,$K$80,$K$81,$K$82,$K$83,$K$85,$K$87,$K$88,$K$89,$K$90,$K$91,$K$92)</f>
        <v>1.2866666666666651E-2</v>
      </c>
      <c r="L94" s="162">
        <f>$L$55-AVERAGE($L$58,$L$59,$L$60,$L$61,$L$62,$L$63,$L$64,$L$65,$L$66,$L$67,$L$68,$L$69,$L$70,$L$71,$L$72,$L$73,$L$74,$L$75,$L$76,$L$77,$L$78,$L$79,$L$80,$L$81,$L$82,$L$83,$L$85,$L$87,$L$88,$L$89,$L$90,$L$91,$L$92)</f>
        <v>1.880303030303028E-2</v>
      </c>
      <c r="M94" s="162">
        <f>$M$55-AVERAGE($M$58,$M$59,$M$60,$M$61,$M$62,$M$63,$M$64,$M$65,$M$66,$M$67,$M$68,$M$69,$M$70,$M$71,$M$72,$M$73,$M$74,$M$75,$M$76,$M$77,$M$78,$M$79,$M$80,$M$81,$M$82,$M$83,$M$85,$M$87,$M$88,$M$89,$M$90,$M$91,$M$92)</f>
        <v>2.7648484848484825E-2</v>
      </c>
      <c r="N94" s="162">
        <f>$N$55-AVERAGE($N$58,$N$59,$N$60,$N$61,$N$62,$N$63,$N$64,$N$65,$N$66,$N$67,$N$68,$N$69,$N$70,$N$71,$N$72,$N$73,$N$74,$N$75,$N$76,$N$77,$N$78,$N$79,$N$80,$N$81,$N$82,$N$83,$N$85,$N$87,$N$88,$N$89,$N$90,$N$91,$N$92)</f>
        <v>4.1003030303030291E-2</v>
      </c>
      <c r="O94" s="162">
        <f>$O$55-AVERAGE($O$58,$O$59,$O$60,$O$61,$O$62,$O$63,$O$64,$O$65,$O$66,$O$67,$O$68,$O$69,$O$70,$O$71,$O$72,$O$73,$O$74,$O$75,$O$76,$O$77,$O$78,$O$79,$O$80,$O$81,$O$82,$O$83,$O$85,$O$87,$O$88,$O$89,$O$90,$O$91,$O$92)</f>
        <v>5.9903030303030305E-2</v>
      </c>
      <c r="P94" s="162">
        <f>$P$55-AVERAGE($P$58,$P$59,$P$60,$P$61,$P$62,$P$63,$P$64,$P$65,$P$66,$P$67,$P$68,$P$69,$P$70,$P$71,$P$72,$P$73,$P$74,$P$75,$P$76,$P$77,$P$78,$P$79,$P$80,$P$81,$P$82,$P$83,$P$85,$P$87,$P$88,$P$89,$P$90,$P$91,$P$92)</f>
        <v>8.3660596060606052E-2</v>
      </c>
      <c r="Q94" s="162">
        <f>$Q$55-AVERAGE($Q$58,$Q$59,$Q$60,$Q$61,$Q$62,$Q$63,$Q$64,$Q$65,$Q$66,$Q$67,$Q$68,$Q$69,$Q$70,$Q$71,$Q$72,$Q$73,$Q$74,$Q$75,$Q$76,$Q$77,$Q$78,$Q$79,$Q$80,$Q$81,$Q$82,$Q$83,$Q$85,$Q$87,$Q$88,$Q$89,$Q$90,$Q$91,$Q$92)</f>
        <v>0.11163637363636363</v>
      </c>
      <c r="R94" s="162">
        <f>$R$55-AVERAGE($R$58,$R$59,$R$60,$R$61,$R$62,$R$63,$R$64,$R$65,$R$66,$R$67,$R$68,$R$69,$R$70,$R$71,$R$72,$R$73,$R$74,$R$75,$R$76,$R$77,$R$78,$R$79,$R$80,$R$81,$R$82,$R$83,$R$85,$R$87,$R$88,$R$89,$R$90,$R$91,$R$92)</f>
        <v>0.14516060606060605</v>
      </c>
      <c r="S94" s="162">
        <f>$S$55-AVERAGE($S$58,$S$59,$S$60,$S$61,$S$62,$S$63,$S$64,$S$65,$S$66,$S$67,$S$68,$S$69,$S$70,$S$71,$S$72,$S$73,$S$74,$S$75,$S$76,$S$77,$S$78,$S$79,$S$80,$S$81,$S$82,$S$83,$S$85,$S$87,$S$88,$S$89,$S$90,$S$91,$S$92)</f>
        <v>0.18528483848484845</v>
      </c>
      <c r="T94" s="162">
        <f>$T$55-AVERAGE($T$58,$T$59,$T$60,$T$61,$T$62,$T$63,$T$64,$T$65,$T$66,$T$67,$T$68,$T$69,$T$70,$T$71,$T$72,$T$73,$T$74,$T$75,$T$76,$T$77,$T$78,$T$79,$T$80,$T$81,$T$82,$T$83,$T$85,$T$87,$T$88,$T$89,$T$90,$T$91,$T$92)</f>
        <v>0.23039089909090907</v>
      </c>
      <c r="U94" s="162">
        <f>$U$55-AVERAGE($U$58,$U$59,$U$60,$U$61,$U$62,$U$63,$U$64,$U$65,$U$66,$U$67,$U$68,$U$69,$U$70,$U$71,$U$72,$U$73,$U$74,$U$75,$U$76,$U$77,$U$78,$U$79,$U$80,$U$81,$U$82,$U$83,$U$85,$U$87,$U$88,$U$89,$U$90,$U$91,$U$92)</f>
        <v>0.27849695969696964</v>
      </c>
      <c r="V94" s="162">
        <f>$V$55-AVERAGE($V$58,$V$59,$V$60,$V$61,$V$62,$V$63,$V$64,$V$65,$V$66,$V$67,$V$68,$V$69,$V$70,$V$71,$V$72,$V$73,$V$74,$V$75,$V$76,$V$77,$V$78,$V$79,$V$80,$V$81,$V$82,$V$83,$V$85,$V$87,$V$88,$V$89,$V$90,$V$91,$V$92)</f>
        <v>0.33078483848484846</v>
      </c>
      <c r="W94" s="162">
        <f>$W$55-AVERAGE($W$58,$W$59,$W$60,$W$61,$W$62,$W$63,$W$64,$W$65,$W$66,$W$67,$W$68,$W$69,$W$70,$W$71,$W$72,$W$73,$W$74,$W$75,$W$76,$W$77,$W$78,$W$79,$W$80,$W$81,$W$82,$W$83,$W$85,$W$87,$W$88,$W$89,$W$90,$W$91,$W$92)</f>
        <v>0.38164243424242422</v>
      </c>
      <c r="X94" s="162">
        <f>$X$55-AVERAGE($X$58,$X$59,$X$60,$X$61,$X$62,$X$63,$X$64,$X$65,$X$66,$X$67,$X$68,$X$69,$X$70,$X$71,$X$72,$X$73,$X$74,$X$75,$X$76,$X$77,$X$78,$X$79,$X$80,$X$81,$X$82,$X$83,$X$85,$X$87,$X$88,$X$89,$X$90,$X$91,$X$92)</f>
        <v>0.42458784878787881</v>
      </c>
      <c r="Y94" s="162">
        <f>$Y$55-AVERAGE($Y$58,$Y$59,$Y$60,$Y$61,$Y$62,$Y$63,$Y$64,$Y$65,$Y$66,$Y$67,$Y$68,$Y$69,$Y$70,$Y$71,$Y$72,$Y$73,$Y$74,$Y$75,$Y$76,$Y$77,$Y$78,$Y$79,$Y$80,$Y$81,$Y$82,$Y$83,$Y$85,$Y$87,$Y$88,$Y$89,$Y$90,$Y$91,$Y$92)</f>
        <v>0.45751215121212119</v>
      </c>
      <c r="Z94" s="162">
        <f>$Z$55-AVERAGE($Z$58,$Z$59,$Z$60,$Z$61,$Z$62,$Z$63,$Z$64,$Z$65,$Z$66,$Z$67,$Z$68,$Z$69,$Z$70,$Z$71,$Z$72,$Z$73,$Z$74,$Z$75,$Z$76,$Z$77,$Z$78,$Z$79,$Z$80,$Z$81,$Z$82,$Z$83,$Z$85,$Z$87,$Z$88,$Z$89,$Z$90,$Z$91,$Z$92)</f>
        <v>0.47319695969696968</v>
      </c>
      <c r="AA94" s="162">
        <f>$AA$55-AVERAGE($AA$58,$AA$59,$AA$60,$AA$61,$AA$62,$AA$63,$AA$64,$AA$65,$AA$66,$AA$67,$AA$68,$AA$69,$AA$70,$AA$71,$AA$72,$AA$73,$AA$74,$AA$75,$AA$76,$AA$77,$AA$78,$AA$79,$AA$80,$AA$81,$AA$82,$AA$83,$AA$85,$AA$87,$AA$88,$AA$89,$AA$90,$AA$91,$AA$92)</f>
        <v>0.4895181918181819</v>
      </c>
      <c r="AB94" s="162">
        <f>$AB$55-AVERAGE($AB$58,$AB$59,$AB$60,$AB$61,$AB$62,$AB$63,$AB$64,$AB$65,$AB$66,$AB$67,$AB$68,$AB$69,$AB$70,$AB$71,$AB$72,$AB$73,$AB$74,$AB$75,$AB$76,$AB$77,$AB$78,$AB$79,$AB$80,$AB$81,$AB$82,$AB$83,$AB$85,$AB$87,$AB$88,$AB$89,$AB$90,$AB$91,$AB$92)</f>
        <v>0.50651209121212115</v>
      </c>
      <c r="AC94" s="162">
        <f>$AC$55-AVERAGE($AC$58,$AC$59,$AC$60,$AC$61,$AC$62,$AC$63,$AC$64,$AC$65,$AC$66,$AC$67,$AC$68,$AC$69,$AC$70,$AC$71,$AC$72,$AC$73,$AC$74,$AC$75,$AC$76,$AC$77,$AC$78,$AC$79,$AC$80,$AC$81,$AC$82,$AC$83,$AC$85,$AC$87,$AC$88,$AC$89,$AC$90,$AC$91,$AC$92)</f>
        <v>0.5216091109090909</v>
      </c>
      <c r="AD94" s="162">
        <f>$AD$55-AVERAGE($AD$58,$AD$59,$AD$60,$AD$61,$AD$62,$AD$63,$AD$64,$AD$65,$AD$66,$AD$67,$AD$68,$AD$69,$AD$70,$AD$71,$AD$72,$AD$73,$AD$74,$AD$75,$AD$76,$AD$77,$AD$78,$AD$79,$AD$80,$AD$81,$AD$82,$AD$83,$AD$85,$AD$87,$AD$88,$AD$89,$AD$90,$AD$91,$AD$92)</f>
        <v>0.53880001</v>
      </c>
      <c r="AE94" s="162">
        <f>$AE$55-AVERAGE($AE$58,$AE$59,$AE$60,$AE$61,$AE$62,$AE$63,$AE$64,$AE$65,$AE$66,$AE$67,$AE$68,$AE$69,$AE$70,$AE$71,$AE$72,$AE$73,$AE$74,$AE$75,$AE$76,$AE$77,$AE$78,$AE$79,$AE$80,$AE$81,$AE$82,$AE$83,$AE$85,$AE$87,$AE$88,$AE$89,$AE$90,$AE$91,$AE$92)</f>
        <v>0.55469697969696963</v>
      </c>
      <c r="AF94" s="162">
        <f>$AF$55-AVERAGE($AF$58,$AF$59,$AF$60,$AF$61,$AF$62,$AF$63,$AF$64,$AF$65,$AF$66,$AF$67,$AF$68,$AF$69,$AF$70,$AF$71,$AF$72,$AF$73,$AF$74,$AF$75,$AF$76,$AF$77,$AF$78,$AF$79,$AF$80,$AF$81,$AF$82,$AF$83,$AF$85,$AF$87,$AF$88,$AF$89,$AF$90,$AF$91,$AF$92)</f>
        <v>0.57114243424242417</v>
      </c>
      <c r="AG94" s="162">
        <f>$AG$55-AVERAGE($AG$58,$AG$59,$AG$60,$AG$61,$AG$62,$AG$63,$AG$64,$AG$65,$AG$66,$AG$67,$AG$68,$AG$69,$AG$70,$AG$71,$AG$72,$AG$73,$AG$74,$AG$75,$AG$76,$AG$77,$AG$78,$AG$79,$AG$80,$AG$81,$AG$82,$AG$83,$AG$85,$AG$87,$AG$88,$AG$89,$AG$90,$AG$91,$AG$92)</f>
        <v>0.58417574757575752</v>
      </c>
    </row>
    <row r="95" spans="1:33" x14ac:dyDescent="0.2">
      <c r="A95" s="163" t="s">
        <v>276</v>
      </c>
      <c r="B95" s="163">
        <f>$B$56-AVERAGE($B$58,$B$59,$B$60,$B$61,$B$62,$B$63,$B$64,$B$65,$B$66,$B$67,$B$68,$B$69,$B$70,$B$71,$B$72,$B$73,$B$74,$B$75,$B$76,$B$77,$B$78,$B$79,$B$80,$B$81,$B$82,$B$83,$B$85,$B$87,$B$88,$B$89,$B$90,$B$91,$B$92)</f>
        <v>2.9000000000000276E-3</v>
      </c>
      <c r="C95" s="163">
        <f>$C$56-AVERAGE($C$58,$C$59,$C$60,$C$61,$C$62,$C$63,$C$64,$C$65,$C$66,$C$67,$C$68,$C$69,$C$70,$C$71,$C$72,$C$73,$C$74,$C$75,$C$76,$C$77,$C$78,$C$79,$C$80,$C$81,$C$82,$C$83,$C$85,$C$87,$C$88,$C$89,$C$90,$C$91,$C$92)</f>
        <v>3.0818181818181856E-3</v>
      </c>
      <c r="D95" s="163">
        <f>$D$56-AVERAGE($D$58,$D$59,$D$60,$D$61,$D$62,$D$63,$D$64,$D$65,$D$66,$D$67,$D$68,$D$69,$D$70,$D$71,$D$72,$D$73,$D$74,$D$75,$D$76,$D$77,$D$78,$D$79,$D$80,$D$81,$D$82,$D$83,$D$85,$D$87,$D$88,$D$89,$D$90,$D$91,$D$92)</f>
        <v>3.3181818181818173E-3</v>
      </c>
      <c r="E95" s="163">
        <f>$E$56-AVERAGE($E$58,$E$59,$E$60,$E$61,$E$62,$E$63,$E$64,$E$65,$E$66,$E$67,$E$68,$E$69,$E$70,$E$71,$E$72,$E$73,$E$74,$E$75,$E$76,$E$77,$E$78,$E$79,$E$80,$E$81,$E$82,$E$83,$E$85,$E$87,$E$88,$E$89,$E$90,$E$91,$E$92)</f>
        <v>3.2727272727272883E-3</v>
      </c>
      <c r="F95" s="163">
        <f>$F$56-AVERAGE($F$58,$F$59,$F$60,$F$61,$F$62,$F$63,$F$64,$F$65,$F$66,$F$67,$F$68,$F$69,$F$70,$F$71,$F$72,$F$73,$F$74,$F$75,$F$76,$F$77,$F$78,$F$79,$F$80,$F$81,$F$82,$F$83,$F$85,$F$87,$F$88,$F$89,$F$90,$F$91,$F$92)</f>
        <v>3.6848484848484714E-3</v>
      </c>
      <c r="G95" s="163">
        <f>$G$56-AVERAGE($G$58,$G$59,$G$60,$G$61,$G$62,$G$63,$G$64,$G$65,$G$66,$G$67,$G$68,$G$69,$G$70,$G$71,$G$72,$G$73,$G$74,$G$75,$G$76,$G$77,$G$78,$G$79,$G$80,$G$81,$G$82,$G$83,$G$85,$G$87,$G$88,$G$89,$G$90,$G$91,$G$92)</f>
        <v>4.3424242424242171E-3</v>
      </c>
      <c r="H95" s="163">
        <f>$H$56-AVERAGE($H$58,$H$59,$H$60,$H$61,$H$62,$H$63,$H$64,$H$65,$H$66,$H$67,$H$68,$H$69,$H$70,$H$71,$H$72,$H$73,$H$74,$H$75,$H$76,$H$77,$H$78,$H$79,$H$80,$H$81,$H$82,$H$83,$H$85,$H$87,$H$88,$H$89,$H$90,$H$91,$H$92)</f>
        <v>5.0696969696969879E-3</v>
      </c>
      <c r="I95" s="163">
        <f>$I$56-AVERAGE($I$58,$I$59,$I$60,$I$61,$I$62,$I$63,$I$64,$I$65,$I$66,$I$67,$I$68,$I$69,$I$70,$I$71,$I$72,$I$73,$I$74,$I$75,$I$76,$I$77,$I$78,$I$79,$I$80,$I$81,$I$82,$I$83,$I$85,$I$87,$I$88,$I$89,$I$90,$I$91,$I$92)</f>
        <v>6.5575757575757621E-3</v>
      </c>
      <c r="J95" s="163">
        <f>$J$56-AVERAGE($J$58,$J$59,$J$60,$J$61,$J$62,$J$63,$J$64,$J$65,$J$66,$J$67,$J$68,$J$69,$J$70,$J$71,$J$72,$J$73,$J$74,$J$75,$J$76,$J$77,$J$78,$J$79,$J$80,$J$81,$J$82,$J$83,$J$85,$J$87,$J$88,$J$89,$J$90,$J$91,$J$92)</f>
        <v>8.9181818181817973E-3</v>
      </c>
      <c r="K95" s="163">
        <f>$K$56-AVERAGE($K$58,$K$59,$K$60,$K$61,$K$62,$K$63,$K$64,$K$65,$K$66,$K$67,$K$68,$K$69,$K$70,$K$71,$K$72,$K$73,$K$74,$K$75,$K$76,$K$77,$K$78,$K$79,$K$80,$K$81,$K$82,$K$83,$K$85,$K$87,$K$88,$K$89,$K$90,$K$91,$K$92)</f>
        <v>1.246666666666664E-2</v>
      </c>
      <c r="L95" s="163">
        <f>$L$56-AVERAGE($L$58,$L$59,$L$60,$L$61,$L$62,$L$63,$L$64,$L$65,$L$66,$L$67,$L$68,$L$69,$L$70,$L$71,$L$72,$L$73,$L$74,$L$75,$L$76,$L$77,$L$78,$L$79,$L$80,$L$81,$L$82,$L$83,$L$85,$L$87,$L$88,$L$89,$L$90,$L$91,$L$92)</f>
        <v>1.9503030303030286E-2</v>
      </c>
      <c r="M95" s="163">
        <f>$M$56-AVERAGE($M$58,$M$59,$M$60,$M$61,$M$62,$M$63,$M$64,$M$65,$M$66,$M$67,$M$68,$M$69,$M$70,$M$71,$M$72,$M$73,$M$74,$M$75,$M$76,$M$77,$M$78,$M$79,$M$80,$M$81,$M$82,$M$83,$M$85,$M$87,$M$88,$M$89,$M$90,$M$91,$M$92)</f>
        <v>2.7748484848484828E-2</v>
      </c>
      <c r="N95" s="163">
        <f>$N$56-AVERAGE($N$58,$N$59,$N$60,$N$61,$N$62,$N$63,$N$64,$N$65,$N$66,$N$67,$N$68,$N$69,$N$70,$N$71,$N$72,$N$73,$N$74,$N$75,$N$76,$N$77,$N$78,$N$79,$N$80,$N$81,$N$82,$N$83,$N$85,$N$87,$N$88,$N$89,$N$90,$N$91,$N$92)</f>
        <v>4.0803020303030291E-2</v>
      </c>
      <c r="O95" s="163">
        <f>$O$56-AVERAGE($O$58,$O$59,$O$60,$O$61,$O$62,$O$63,$O$64,$O$65,$O$66,$O$67,$O$68,$O$69,$O$70,$O$71,$O$72,$O$73,$O$74,$O$75,$O$76,$O$77,$O$78,$O$79,$O$80,$O$81,$O$82,$O$83,$O$85,$O$87,$O$88,$O$89,$O$90,$O$91,$O$92)</f>
        <v>5.9703030303030299E-2</v>
      </c>
      <c r="P95" s="163">
        <f>$P$56-AVERAGE($P$58,$P$59,$P$60,$P$61,$P$62,$P$63,$P$64,$P$65,$P$66,$P$67,$P$68,$P$69,$P$70,$P$71,$P$72,$P$73,$P$74,$P$75,$P$76,$P$77,$P$78,$P$79,$P$80,$P$81,$P$82,$P$83,$P$85,$P$87,$P$88,$P$89,$P$90,$P$91,$P$92)</f>
        <v>8.4160606060606047E-2</v>
      </c>
      <c r="Q95" s="163">
        <f>$Q$56-AVERAGE($Q$58,$Q$59,$Q$60,$Q$61,$Q$62,$Q$63,$Q$64,$Q$65,$Q$66,$Q$67,$Q$68,$Q$69,$Q$70,$Q$71,$Q$72,$Q$73,$Q$74,$Q$75,$Q$76,$Q$77,$Q$78,$Q$79,$Q$80,$Q$81,$Q$82,$Q$83,$Q$85,$Q$87,$Q$88,$Q$89,$Q$90,$Q$91,$Q$92)</f>
        <v>0.11183635363636361</v>
      </c>
      <c r="R95" s="163">
        <f>$R$56-AVERAGE($R$58,$R$59,$R$60,$R$61,$R$62,$R$63,$R$64,$R$65,$R$66,$R$67,$R$68,$R$69,$R$70,$R$71,$R$72,$R$73,$R$74,$R$75,$R$76,$R$77,$R$78,$R$79,$R$80,$R$81,$R$82,$R$83,$R$85,$R$87,$R$88,$R$89,$R$90,$R$91,$R$92)</f>
        <v>0.14526060606060603</v>
      </c>
      <c r="S95" s="163">
        <f>$S$56-AVERAGE($S$58,$S$59,$S$60,$S$61,$S$62,$S$63,$S$64,$S$65,$S$66,$S$67,$S$68,$S$69,$S$70,$S$71,$S$72,$S$73,$S$74,$S$75,$S$76,$S$77,$S$78,$S$79,$S$80,$S$81,$S$82,$S$83,$S$85,$S$87,$S$88,$S$89,$S$90,$S$91,$S$92)</f>
        <v>0.18558485848484846</v>
      </c>
      <c r="T95" s="163">
        <f>$T$56-AVERAGE($T$58,$T$59,$T$60,$T$61,$T$62,$T$63,$T$64,$T$65,$T$66,$T$67,$T$68,$T$69,$T$70,$T$71,$T$72,$T$73,$T$74,$T$75,$T$76,$T$77,$T$78,$T$79,$T$80,$T$81,$T$82,$T$83,$T$85,$T$87,$T$88,$T$89,$T$90,$T$91,$T$92)</f>
        <v>0.23059090909090904</v>
      </c>
      <c r="U95" s="163">
        <f>$U$56-AVERAGE($U$58,$U$59,$U$60,$U$61,$U$62,$U$63,$U$64,$U$65,$U$66,$U$67,$U$68,$U$69,$U$70,$U$71,$U$72,$U$73,$U$74,$U$75,$U$76,$U$77,$U$78,$U$79,$U$80,$U$81,$U$82,$U$83,$U$85,$U$87,$U$88,$U$89,$U$90,$U$91,$U$92)</f>
        <v>0.27999696969696963</v>
      </c>
      <c r="V95" s="163">
        <f>$V$56-AVERAGE($V$58,$V$59,$V$60,$V$61,$V$62,$V$63,$V$64,$V$65,$V$66,$V$67,$V$68,$V$69,$V$70,$V$71,$V$72,$V$73,$V$74,$V$75,$V$76,$V$77,$V$78,$V$79,$V$80,$V$81,$V$82,$V$83,$V$85,$V$87,$V$88,$V$89,$V$90,$V$91,$V$92)</f>
        <v>0.33278484848484846</v>
      </c>
      <c r="W95" s="163">
        <f>$W$56-AVERAGE($W$58,$W$59,$W$60,$W$61,$W$62,$W$63,$W$64,$W$65,$W$66,$W$67,$W$68,$W$69,$W$70,$W$71,$W$72,$W$73,$W$74,$W$75,$W$76,$W$77,$W$78,$W$79,$W$80,$W$81,$W$82,$W$83,$W$85,$W$87,$W$88,$W$89,$W$90,$W$91,$W$92)</f>
        <v>0.38294243424242425</v>
      </c>
      <c r="X95" s="163">
        <f>$X$56-AVERAGE($X$58,$X$59,$X$60,$X$61,$X$62,$X$63,$X$64,$X$65,$X$66,$X$67,$X$68,$X$69,$X$70,$X$71,$X$72,$X$73,$X$74,$X$75,$X$76,$X$77,$X$78,$X$79,$X$80,$X$81,$X$82,$X$83,$X$85,$X$87,$X$88,$X$89,$X$90,$X$91,$X$92)</f>
        <v>0.42798787878787881</v>
      </c>
      <c r="Y95" s="163">
        <f>$Y$56-AVERAGE($Y$58,$Y$59,$Y$60,$Y$61,$Y$62,$Y$63,$Y$64,$Y$65,$Y$66,$Y$67,$Y$68,$Y$69,$Y$70,$Y$71,$Y$72,$Y$73,$Y$74,$Y$75,$Y$76,$Y$77,$Y$78,$Y$79,$Y$80,$Y$81,$Y$82,$Y$83,$Y$85,$Y$87,$Y$88,$Y$89,$Y$90,$Y$91,$Y$92)</f>
        <v>0.46031213121212122</v>
      </c>
      <c r="Z95" s="163">
        <f>$Z$56-AVERAGE($Z$58,$Z$59,$Z$60,$Z$61,$Z$62,$Z$63,$Z$64,$Z$65,$Z$66,$Z$67,$Z$68,$Z$69,$Z$70,$Z$71,$Z$72,$Z$73,$Z$74,$Z$75,$Z$76,$Z$77,$Z$78,$Z$79,$Z$80,$Z$81,$Z$82,$Z$83,$Z$85,$Z$87,$Z$88,$Z$89,$Z$90,$Z$91,$Z$92)</f>
        <v>0.47529694969696973</v>
      </c>
      <c r="AA95" s="163">
        <f>$AA$56-AVERAGE($AA$58,$AA$59,$AA$60,$AA$61,$AA$62,$AA$63,$AA$64,$AA$65,$AA$66,$AA$67,$AA$68,$AA$69,$AA$70,$AA$71,$AA$72,$AA$73,$AA$74,$AA$75,$AA$76,$AA$77,$AA$78,$AA$79,$AA$80,$AA$81,$AA$82,$AA$83,$AA$85,$AA$87,$AA$88,$AA$89,$AA$90,$AA$91,$AA$92)</f>
        <v>0.49381819181818187</v>
      </c>
      <c r="AB95" s="163">
        <f>$AB$56-AVERAGE($AB$58,$AB$59,$AB$60,$AB$61,$AB$62,$AB$63,$AB$64,$AB$65,$AB$66,$AB$67,$AB$68,$AB$69,$AB$70,$AB$71,$AB$72,$AB$73,$AB$74,$AB$75,$AB$76,$AB$77,$AB$78,$AB$79,$AB$80,$AB$81,$AB$82,$AB$83,$AB$85,$AB$87,$AB$88,$AB$89,$AB$90,$AB$91,$AB$92)</f>
        <v>0.50981211121212122</v>
      </c>
      <c r="AC95" s="163">
        <f>$AC$56-AVERAGE($AC$58,$AC$59,$AC$60,$AC$61,$AC$62,$AC$63,$AC$64,$AC$65,$AC$66,$AC$67,$AC$68,$AC$69,$AC$70,$AC$71,$AC$72,$AC$73,$AC$74,$AC$75,$AC$76,$AC$77,$AC$78,$AC$79,$AC$80,$AC$81,$AC$82,$AC$83,$AC$85,$AC$87,$AC$88,$AC$89,$AC$90,$AC$91,$AC$92)</f>
        <v>0.52500908090909093</v>
      </c>
      <c r="AD95" s="163">
        <f>$AD$56-AVERAGE($AD$58,$AD$59,$AD$60,$AD$61,$AD$62,$AD$63,$AD$64,$AD$65,$AD$66,$AD$67,$AD$68,$AD$69,$AD$70,$AD$71,$AD$72,$AD$73,$AD$74,$AD$75,$AD$76,$AD$77,$AD$78,$AD$79,$AD$80,$AD$81,$AD$82,$AD$83,$AD$85,$AD$87,$AD$88,$AD$89,$AD$90,$AD$91,$AD$92)</f>
        <v>0.54200001000000009</v>
      </c>
      <c r="AE95" s="163">
        <f>$AE$56-AVERAGE($AE$58,$AE$59,$AE$60,$AE$61,$AE$62,$AE$63,$AE$64,$AE$65,$AE$66,$AE$67,$AE$68,$AE$69,$AE$70,$AE$71,$AE$72,$AE$73,$AE$74,$AE$75,$AE$76,$AE$77,$AE$78,$AE$79,$AE$80,$AE$81,$AE$82,$AE$83,$AE$85,$AE$87,$AE$88,$AE$89,$AE$90,$AE$91,$AE$92)</f>
        <v>0.55669695969696964</v>
      </c>
      <c r="AF95" s="163">
        <f>$AF$56-AVERAGE($AF$58,$AF$59,$AF$60,$AF$61,$AF$62,$AF$63,$AF$64,$AF$65,$AF$66,$AF$67,$AF$68,$AF$69,$AF$70,$AF$71,$AF$72,$AF$73,$AF$74,$AF$75,$AF$76,$AF$77,$AF$78,$AF$79,$AF$80,$AF$81,$AF$82,$AF$83,$AF$85,$AF$87,$AF$88,$AF$89,$AF$90,$AF$91,$AF$92)</f>
        <v>0.57434242424242421</v>
      </c>
      <c r="AG95" s="163">
        <f>$AG$56-AVERAGE($AG$58,$AG$59,$AG$60,$AG$61,$AG$62,$AG$63,$AG$64,$AG$65,$AG$66,$AG$67,$AG$68,$AG$69,$AG$70,$AG$71,$AG$72,$AG$73,$AG$74,$AG$75,$AG$76,$AG$77,$AG$78,$AG$79,$AG$80,$AG$81,$AG$82,$AG$83,$AG$85,$AG$87,$AG$88,$AG$89,$AG$90,$AG$91,$AG$92)</f>
        <v>0.5880757375757576</v>
      </c>
    </row>
    <row r="96" spans="1:33" x14ac:dyDescent="0.2">
      <c r="A96" s="164" t="s">
        <v>277</v>
      </c>
      <c r="B96" s="164">
        <f>$B$57-AVERAGE($B$58,$B$59,$B$60,$B$61,$B$62,$B$63,$B$64,$B$65,$B$66,$B$67,$B$68,$B$69,$B$70,$B$71,$B$72,$B$73,$B$74,$B$75,$B$76,$B$77,$B$78,$B$79,$B$80,$B$81,$B$82,$B$83,$B$85,$B$86,$B$87,$B$88,$B$89,$B$90,$B$91,$B$92)</f>
        <v>5.0441176470588656E-3</v>
      </c>
      <c r="C96" s="164">
        <f>$C$57-AVERAGE($C$58,$C$59,$C$60,$C$61,$C$62,$C$63,$C$64,$C$65,$C$66,$C$67,$C$68,$C$69,$C$70,$C$71,$C$72,$C$73,$C$74,$C$75,$C$76,$C$77,$C$78,$C$79,$C$80,$C$81,$C$82,$C$83,$C$85,$C$86,$C$87,$C$88,$C$89,$C$90,$C$91,$C$92)</f>
        <v>5.1205882352941268E-3</v>
      </c>
      <c r="D96" s="164">
        <f>$D$57-AVERAGE($D$58,$D$59,$D$60,$D$61,$D$62,$D$63,$D$64,$D$65,$D$66,$D$67,$D$68,$D$69,$D$70,$D$71,$D$72,$D$73,$D$74,$D$75,$D$76,$D$77,$D$78,$D$79,$D$80,$D$81,$D$82,$D$83,$D$85,$D$86,$D$87,$D$88,$D$89,$D$90,$D$91,$D$92)</f>
        <v>4.5382352941176485E-3</v>
      </c>
      <c r="E96" s="164">
        <f>$E$57-AVERAGE($E$58,$E$59,$E$60,$E$61,$E$62,$E$63,$E$64,$E$65,$E$66,$E$67,$E$68,$E$69,$E$70,$E$71,$E$72,$E$73,$E$74,$E$75,$E$76,$E$77,$E$78,$E$79,$E$80,$E$81,$E$82,$E$83,$E$85,$E$86,$E$87,$E$88,$E$89,$E$90,$E$91,$E$92)</f>
        <v>4.5617647058823624E-3</v>
      </c>
      <c r="F96" s="164">
        <f>$F$57-AVERAGE($F$58,$F$59,$F$60,$F$61,$F$62,$F$63,$F$64,$F$65,$F$66,$F$67,$F$68,$F$69,$F$70,$F$71,$F$72,$F$73,$F$74,$F$75,$F$76,$F$77,$F$78,$F$79,$F$80,$F$81,$F$82,$F$83,$F$85,$F$86,$F$87,$F$88,$F$89,$F$90,$F$91,$F$92)</f>
        <v>4.8705882352941127E-3</v>
      </c>
      <c r="G96" s="164">
        <f>$G$57-AVERAGE($G$58,$G$59,$G$60,$G$61,$G$62,$G$63,$G$64,$G$65,$G$66,$G$67,$G$68,$G$69,$G$70,$G$71,$G$72,$G$73,$G$74,$G$75,$G$76,$G$77,$G$78,$G$79,$G$80,$G$81,$G$82,$G$83,$G$85,$G$86,$G$87,$G$88,$G$89,$G$90,$G$91,$G$92)</f>
        <v>6.1647058823529194E-3</v>
      </c>
      <c r="H96" s="164">
        <f>$H$57-AVERAGE($H$58,$H$59,$H$60,$H$61,$H$62,$H$63,$H$64,$H$65,$H$66,$H$67,$H$68,$H$69,$H$70,$H$71,$H$72,$H$73,$H$74,$H$75,$H$76,$H$77,$H$78,$H$79,$H$80,$H$81,$H$82,$H$83,$H$85,$H$86,$H$87,$H$88,$H$89,$H$90,$H$91,$H$92)</f>
        <v>6.4323529411764863E-3</v>
      </c>
      <c r="I96" s="164">
        <f>$I$57-AVERAGE($I$58,$I$59,$I$60,$I$61,$I$62,$I$63,$I$64,$I$65,$I$66,$I$67,$I$68,$I$69,$I$70,$I$71,$I$72,$I$73,$I$74,$I$75,$I$76,$I$77,$I$78,$I$79,$I$80,$I$81,$I$82,$I$83,$I$85,$I$86,$I$87,$I$88,$I$89,$I$90,$I$91,$I$92)</f>
        <v>7.9058823529411792E-3</v>
      </c>
      <c r="J96" s="164">
        <f>$J$57-AVERAGE($J$58,$J$59,$J$60,$J$61,$J$62,$J$63,$J$64,$J$65,$J$66,$J$67,$J$68,$J$69,$J$70,$J$71,$J$72,$J$73,$J$74,$J$75,$J$76,$J$77,$J$78,$J$79,$J$80,$J$81,$J$82,$J$83,$J$85,$J$86,$J$87,$J$88,$J$89,$J$90,$J$91,$J$92)</f>
        <v>9.9058823529411533E-3</v>
      </c>
      <c r="K96" s="164">
        <f>$K$57-AVERAGE($K$58,$K$59,$K$60,$K$61,$K$62,$K$63,$K$64,$K$65,$K$66,$K$67,$K$68,$K$69,$K$70,$K$71,$K$72,$K$73,$K$74,$K$75,$K$76,$K$77,$K$78,$K$79,$K$80,$K$81,$K$82,$K$83,$K$85,$K$86,$K$87,$K$88,$K$89,$K$90,$K$91,$K$92)</f>
        <v>1.3767647058823523E-2</v>
      </c>
      <c r="L96" s="164">
        <f>$L$57-AVERAGE($L$58,$L$59,$L$60,$L$61,$L$62,$L$63,$L$64,$L$65,$L$66,$L$67,$L$68,$L$69,$L$70,$L$71,$L$72,$L$73,$L$74,$L$75,$L$76,$L$77,$L$78,$L$79,$L$80,$L$81,$L$82,$L$83,$L$85,$L$86,$L$87,$L$88,$L$89,$L$90,$L$91,$L$92)</f>
        <v>1.9349999999999978E-2</v>
      </c>
      <c r="M96" s="164">
        <f>$M$57-AVERAGE($M$58,$M$59,$M$60,$M$61,$M$62,$M$63,$M$64,$M$65,$M$66,$M$67,$M$68,$M$69,$M$70,$M$71,$M$72,$M$73,$M$74,$M$75,$M$76,$M$77,$M$78,$M$79,$M$80,$M$81,$M$82,$M$83,$M$85,$M$86,$M$87,$M$88,$M$89,$M$90,$M$91,$M$92)</f>
        <v>2.7982352941176472E-2</v>
      </c>
      <c r="N96" s="164">
        <f>$N$57-AVERAGE($N$58,$N$59,$N$60,$N$61,$N$62,$N$63,$N$64,$N$65,$N$66,$N$67,$N$68,$N$69,$N$70,$N$71,$N$72,$N$73,$N$74,$N$75,$N$76,$N$77,$N$78,$N$79,$N$80,$N$81,$N$82,$N$83,$N$85,$N$86,$N$87,$N$88,$N$89,$N$90,$N$91,$N$92)</f>
        <v>4.3905882352941128E-2</v>
      </c>
      <c r="O96" s="164">
        <f>$O$57-AVERAGE($O$58,$O$59,$O$60,$O$61,$O$62,$O$63,$O$64,$O$65,$O$66,$O$67,$O$68,$O$69,$O$70,$O$71,$O$72,$O$73,$O$74,$O$75,$O$76,$O$77,$O$78,$O$79,$O$80,$O$81,$O$82,$O$83,$O$85,$O$86,$O$87,$O$88,$O$89,$O$90,$O$91,$O$92)</f>
        <v>6.0241176470588242E-2</v>
      </c>
      <c r="P96" s="164">
        <f>$P$57-AVERAGE($P$58,$P$59,$P$60,$P$61,$P$62,$P$63,$P$64,$P$65,$P$66,$P$67,$P$68,$P$69,$P$70,$P$71,$P$72,$P$73,$P$74,$P$75,$P$76,$P$77,$P$78,$P$79,$P$80,$P$81,$P$82,$P$83,$P$85,$P$86,$P$87,$P$88,$P$89,$P$90,$P$91,$P$92)</f>
        <v>8.2417647058823512E-2</v>
      </c>
      <c r="Q96" s="164">
        <f>$Q$57-AVERAGE($Q$58,$Q$59,$Q$60,$Q$61,$Q$62,$Q$63,$Q$64,$Q$65,$Q$66,$Q$67,$Q$68,$Q$69,$Q$70,$Q$71,$Q$72,$Q$73,$Q$74,$Q$75,$Q$76,$Q$77,$Q$78,$Q$79,$Q$80,$Q$81,$Q$82,$Q$83,$Q$85,$Q$86,$Q$87,$Q$88,$Q$89,$Q$90,$Q$91,$Q$92)</f>
        <v>0.11018823529411763</v>
      </c>
      <c r="R96" s="164">
        <f>$R$57-AVERAGE($R$58,$R$59,$R$60,$R$61,$R$62,$R$63,$R$64,$R$65,$R$66,$R$67,$R$68,$R$69,$R$70,$R$71,$R$72,$R$73,$R$74,$R$75,$R$76,$R$77,$R$78,$R$79,$R$80,$R$81,$R$82,$R$83,$R$85,$R$86,$R$87,$R$88,$R$89,$R$90,$R$91,$R$92)</f>
        <v>0.14282352941176468</v>
      </c>
      <c r="S96" s="164">
        <f>$S$57-AVERAGE($S$58,$S$59,$S$60,$S$61,$S$62,$S$63,$S$64,$S$65,$S$66,$S$67,$S$68,$S$69,$S$70,$S$71,$S$72,$S$73,$S$74,$S$75,$S$76,$S$77,$S$78,$S$79,$S$80,$S$81,$S$82,$S$83,$S$85,$S$86,$S$87,$S$88,$S$89,$S$90,$S$91,$S$92)</f>
        <v>0.18314411764705879</v>
      </c>
      <c r="T96" s="164">
        <f>$T$57-AVERAGE($T$58,$T$59,$T$60,$T$61,$T$62,$T$63,$T$64,$T$65,$T$66,$T$67,$T$68,$T$69,$T$70,$T$71,$T$72,$T$73,$T$74,$T$75,$T$76,$T$77,$T$78,$T$79,$T$80,$T$81,$T$82,$T$83,$T$85,$T$86,$T$87,$T$88,$T$89,$T$90,$T$91,$T$92)</f>
        <v>0.22764116647058824</v>
      </c>
      <c r="U96" s="164">
        <f>$U$57-AVERAGE($U$58,$U$59,$U$60,$U$61,$U$62,$U$63,$U$64,$U$65,$U$66,$U$67,$U$68,$U$69,$U$70,$U$71,$U$72,$U$73,$U$74,$U$75,$U$76,$U$77,$U$78,$U$79,$U$80,$U$81,$U$82,$U$83,$U$85,$U$86,$U$87,$U$88,$U$89,$U$90,$U$91,$U$92)</f>
        <v>0.2771529511764706</v>
      </c>
      <c r="V96" s="164">
        <f>$V$57-AVERAGE($V$58,$V$59,$V$60,$V$61,$V$62,$V$63,$V$64,$V$65,$V$66,$V$67,$V$68,$V$69,$V$70,$V$71,$V$72,$V$73,$V$74,$V$75,$V$76,$V$77,$V$78,$V$79,$V$80,$V$81,$V$82,$V$83,$V$85,$V$86,$V$87,$V$88,$V$89,$V$90,$V$91,$V$92)</f>
        <v>0.32992353941176472</v>
      </c>
      <c r="W96" s="164">
        <f>$W$57-AVERAGE($W$58,$W$59,$W$60,$W$61,$W$62,$W$63,$W$64,$W$65,$W$66,$W$67,$W$68,$W$69,$W$70,$W$71,$W$72,$W$73,$W$74,$W$75,$W$76,$W$77,$W$78,$W$79,$W$80,$W$81,$W$82,$W$83,$W$85,$W$86,$W$87,$W$88,$W$89,$W$90,$W$91,$W$92)</f>
        <v>0.38071177470588236</v>
      </c>
      <c r="X96" s="164">
        <f>$X$57-AVERAGE($X$58,$X$59,$X$60,$X$61,$X$62,$X$63,$X$64,$X$65,$X$66,$X$67,$X$68,$X$69,$X$70,$X$71,$X$72,$X$73,$X$74,$X$75,$X$76,$X$77,$X$78,$X$79,$X$80,$X$81,$X$82,$X$83,$X$85,$X$86,$X$87,$X$88,$X$89,$X$90,$X$91,$X$92)</f>
        <v>0.4253558723529412</v>
      </c>
      <c r="Y96" s="164">
        <f>$Y$57-AVERAGE($Y$58,$Y$59,$Y$60,$Y$61,$Y$62,$Y$63,$Y$64,$Y$65,$Y$66,$Y$67,$Y$68,$Y$69,$Y$70,$Y$71,$Y$72,$Y$73,$Y$74,$Y$75,$Y$76,$Y$77,$Y$78,$Y$79,$Y$80,$Y$81,$Y$82,$Y$83,$Y$85,$Y$86,$Y$87,$Y$88,$Y$89,$Y$90,$Y$91,$Y$92)</f>
        <v>0.46387353941176468</v>
      </c>
      <c r="Z96" s="164">
        <f>$Z$57-AVERAGE($Z$58,$Z$59,$Z$60,$Z$61,$Z$62,$Z$63,$Z$64,$Z$65,$Z$66,$Z$67,$Z$68,$Z$69,$Z$70,$Z$71,$Z$72,$Z$73,$Z$74,$Z$75,$Z$76,$Z$77,$Z$78,$Z$79,$Z$80,$Z$81,$Z$82,$Z$83,$Z$85,$Z$86,$Z$87,$Z$88,$Z$89,$Z$90,$Z$91,$Z$92)</f>
        <v>0.47486468588235287</v>
      </c>
      <c r="AA96" s="164">
        <f>$AA$57-AVERAGE($AA$58,$AA$59,$AA$60,$AA$61,$AA$62,$AA$63,$AA$64,$AA$65,$AA$66,$AA$67,$AA$68,$AA$69,$AA$70,$AA$71,$AA$72,$AA$73,$AA$74,$AA$75,$AA$76,$AA$77,$AA$78,$AA$79,$AA$80,$AA$81,$AA$82,$AA$83,$AA$85,$AA$86,$AA$87,$AA$88,$AA$89,$AA$90,$AA$91,$AA$92)</f>
        <v>0.49448824529411772</v>
      </c>
      <c r="AB96" s="164">
        <f>$AB$57-AVERAGE($AB$58,$AB$59,$AB$60,$AB$61,$AB$62,$AB$63,$AB$64,$AB$65,$AB$66,$AB$67,$AB$68,$AB$69,$AB$70,$AB$71,$AB$72,$AB$73,$AB$74,$AB$75,$AB$76,$AB$77,$AB$78,$AB$79,$AB$80,$AB$81,$AB$82,$AB$83,$AB$85,$AB$86,$AB$87,$AB$88,$AB$89,$AB$90,$AB$91,$AB$92)</f>
        <v>0.50877941176470587</v>
      </c>
      <c r="AC96" s="164">
        <f>$AC$57-AVERAGE($AC$58,$AC$59,$AC$60,$AC$61,$AC$62,$AC$63,$AC$64,$AC$65,$AC$66,$AC$67,$AC$68,$AC$69,$AC$70,$AC$71,$AC$72,$AC$73,$AC$74,$AC$75,$AC$76,$AC$77,$AC$78,$AC$79,$AC$80,$AC$81,$AC$82,$AC$83,$AC$85,$AC$86,$AC$87,$AC$88,$AC$89,$AC$90,$AC$91,$AC$92)</f>
        <v>0.52697354941176466</v>
      </c>
      <c r="AD96" s="164">
        <f>$AD$57-AVERAGE($AD$58,$AD$59,$AD$60,$AD$61,$AD$62,$AD$63,$AD$64,$AD$65,$AD$66,$AD$67,$AD$68,$AD$69,$AD$70,$AD$71,$AD$72,$AD$73,$AD$74,$AD$75,$AD$76,$AD$77,$AD$78,$AD$79,$AD$80,$AD$81,$AD$82,$AD$83,$AD$85,$AD$86,$AD$87,$AD$88,$AD$89,$AD$90,$AD$91,$AD$92)</f>
        <v>0.54037056823529406</v>
      </c>
      <c r="AE96" s="164">
        <f>$AE$57-AVERAGE($AE$58,$AE$59,$AE$60,$AE$61,$AE$62,$AE$63,$AE$64,$AE$65,$AE$66,$AE$67,$AE$68,$AE$69,$AE$70,$AE$71,$AE$72,$AE$73,$AE$74,$AE$75,$AE$76,$AE$77,$AE$78,$AE$79,$AE$80,$AE$81,$AE$82,$AE$83,$AE$85,$AE$86,$AE$87,$AE$88,$AE$89,$AE$90,$AE$91,$AE$92)</f>
        <v>0.55827648058823531</v>
      </c>
      <c r="AF96" s="164">
        <f>$AF$57-AVERAGE($AF$58,$AF$59,$AF$60,$AF$61,$AF$62,$AF$63,$AF$64,$AF$65,$AF$66,$AF$67,$AF$68,$AF$69,$AF$70,$AF$71,$AF$72,$AF$73,$AF$74,$AF$75,$AF$76,$AF$77,$AF$78,$AF$79,$AF$80,$AF$81,$AF$82,$AF$83,$AF$85,$AF$86,$AF$87,$AF$88,$AF$89,$AF$90,$AF$91,$AF$92)</f>
        <v>0.57351763705882353</v>
      </c>
      <c r="AG96" s="164">
        <f>$AG$57-AVERAGE($AG$58,$AG$59,$AG$60,$AG$61,$AG$62,$AG$63,$AG$64,$AG$65,$AG$66,$AG$67,$AG$68,$AG$69,$AG$70,$AG$71,$AG$72,$AG$73,$AG$74,$AG$75,$AG$76,$AG$77,$AG$78,$AG$79,$AG$80,$AG$81,$AG$82,$AG$83,$AG$85,$AG$86,$AG$87,$AG$88,$AG$89,$AG$90,$AG$91,$AG$92)</f>
        <v>0.58745294117647051</v>
      </c>
    </row>
    <row r="97" spans="1:18" x14ac:dyDescent="0.2">
      <c r="A97" t="s">
        <v>278</v>
      </c>
      <c r="H97" s="167"/>
      <c r="I97" s="167"/>
      <c r="J97" s="167"/>
      <c r="K97" s="167"/>
      <c r="L97" s="167">
        <f>INDEX(LOGEST($B$94:$L$94,$B$54:$L$54,TRUE,TRUE), 3)</f>
        <v>0.89735556601118216</v>
      </c>
      <c r="M97" s="167">
        <f>INDEX(LOGEST($C$94:$M$94,$C$54:$M$54,TRUE,TRUE), 3)</f>
        <v>0.91404069959068523</v>
      </c>
      <c r="N97" s="167">
        <f>INDEX(LOGEST($D$94:$N$94,$D$54:$N$54,TRUE,TRUE), 3)</f>
        <v>0.94407616540709549</v>
      </c>
      <c r="O97" s="167">
        <f>INDEX(LOGEST($E$94:$O$94,$E$54:$O$54,TRUE,TRUE), 3)</f>
        <v>0.96893273035132121</v>
      </c>
      <c r="P97" s="167">
        <f>INDEX(LOGEST($F$94:$P$94,$F$54:$P$54,TRUE,TRUE), 3)</f>
        <v>0.98378632502413554</v>
      </c>
      <c r="Q97" s="167">
        <f>INDEX(LOGEST($G$94:$Q$94,$G$54:$Q$54,TRUE,TRUE), 3)</f>
        <v>0.99366217618173314</v>
      </c>
      <c r="R97" s="168">
        <f>INDEX(LOGEST($H$94:$R$94,$H$54:$R$54,TRUE,TRUE), 3)</f>
        <v>0.99718884199507296</v>
      </c>
    </row>
    <row r="98" spans="1:18" x14ac:dyDescent="0.2">
      <c r="A98" t="s">
        <v>279</v>
      </c>
      <c r="H98" s="167"/>
      <c r="I98" s="167"/>
      <c r="J98" s="167"/>
      <c r="K98" s="167"/>
      <c r="L98" s="167">
        <f>INDEX(LOGEST($B$95:$L$95,$B$54:$L$54,TRUE,TRUE), 3)</f>
        <v>0.88496667157811804</v>
      </c>
      <c r="M98" s="167">
        <f>INDEX(LOGEST($C$95:$M$95,$C$54:$M$54,TRUE,TRUE), 3)</f>
        <v>0.91330276759035722</v>
      </c>
      <c r="N98" s="167">
        <f>INDEX(LOGEST($D$95:$N$95,$D$54:$N$54,TRUE,TRUE), 3)</f>
        <v>0.94333554334761494</v>
      </c>
      <c r="O98" s="167">
        <f>INDEX(LOGEST($E$95:$O$95,$E$54:$O$54,TRUE,TRUE), 3)</f>
        <v>0.97099191286273823</v>
      </c>
      <c r="P98" s="167">
        <f>INDEX(LOGEST($F$95:$P$95,$F$54:$P$54,TRUE,TRUE), 3)</f>
        <v>0.9847551999640356</v>
      </c>
      <c r="Q98" s="167">
        <f>INDEX(LOGEST($G$95:$Q$95,$G$54:$Q$54,TRUE,TRUE), 3)</f>
        <v>0.99363953804800076</v>
      </c>
      <c r="R98" s="168">
        <f>INDEX(LOGEST($H$95:$R$95,$H$54:$R$54,TRUE,TRUE), 3)</f>
        <v>0.99721913159784925</v>
      </c>
    </row>
    <row r="99" spans="1:18" x14ac:dyDescent="0.2">
      <c r="A99" t="s">
        <v>280</v>
      </c>
      <c r="H99" s="167"/>
      <c r="I99" s="167"/>
      <c r="J99" s="167"/>
      <c r="K99" s="167"/>
      <c r="L99" s="167">
        <f>INDEX(LOGEST($B$96:$L$96,$B$54:$L$54,TRUE,TRUE), 3)</f>
        <v>0.79951628060141011</v>
      </c>
      <c r="M99" s="167">
        <f>INDEX(LOGEST($C$96:$M$96,$C$54:$M$54,TRUE,TRUE), 3)</f>
        <v>0.87128775231043842</v>
      </c>
      <c r="N99" s="167">
        <f>INDEX(LOGEST($D$96:$N$96,$D$54:$N$54,TRUE,TRUE), 3)</f>
        <v>0.92618357624668501</v>
      </c>
      <c r="O99" s="167">
        <f>INDEX(LOGEST($E$96:$O$96,$E$54:$O$54,TRUE,TRUE), 3)</f>
        <v>0.95428963268974143</v>
      </c>
      <c r="P99" s="167">
        <f>INDEX(LOGEST($F$96:$P$96,$F$54:$P$54,TRUE,TRUE), 3)</f>
        <v>0.97235691695681936</v>
      </c>
      <c r="Q99" s="167">
        <f>INDEX(LOGEST($G$96:$Q$96,$G$54:$Q$54,TRUE,TRUE), 3)</f>
        <v>0.9831459123408024</v>
      </c>
      <c r="R99" s="168">
        <f>INDEX(LOGEST($H$96:$R$96,$H$54:$R$54,TRUE,TRUE), 3)</f>
        <v>0.9949458053717144</v>
      </c>
    </row>
    <row r="100" spans="1:18" s="169" customFormat="1" x14ac:dyDescent="0.2">
      <c r="A100" s="169" t="s">
        <v>294</v>
      </c>
      <c r="H100" s="169">
        <f>$K$43*EXP($J$49*$H$54)</f>
        <v>4.8560521477006794E-3</v>
      </c>
      <c r="I100" s="169">
        <f>$K$43*EXP($J$49*$I$54)</f>
        <v>6.8771058912207939E-3</v>
      </c>
      <c r="J100" s="169">
        <f>$K$43*EXP($J$49*$J$54)</f>
        <v>9.7393075693096819E-3</v>
      </c>
      <c r="K100" s="169">
        <f>$K$43*EXP($J$49*$K$54)</f>
        <v>1.3792736861984648E-2</v>
      </c>
      <c r="L100" s="169">
        <f>$K$43*EXP($J$49*$L$54)</f>
        <v>1.9533174077326552E-2</v>
      </c>
      <c r="M100" s="169">
        <f>$K$43*EXP($J$49*$M$54)</f>
        <v>2.7662739697931225E-2</v>
      </c>
      <c r="N100" s="169">
        <f>$K$43*EXP($J$49*$N$54)</f>
        <v>3.9175771667531986E-2</v>
      </c>
      <c r="O100" s="169">
        <f>$K$43*EXP($J$49*$O$54)</f>
        <v>5.548044418251815E-2</v>
      </c>
      <c r="P100" s="169">
        <f>$K$43*EXP($J$49*$P$54)</f>
        <v>7.8571003343899812E-2</v>
      </c>
      <c r="Q100" s="169">
        <f>$K$43*EXP($J$49*$Q$54)</f>
        <v>0.11127598780617487</v>
      </c>
      <c r="R100" s="169">
        <f>$K$43*EXP($J$49*$R$54)</f>
        <v>0.15758824823485573</v>
      </c>
    </row>
    <row r="101" spans="1:18" s="170" customFormat="1" x14ac:dyDescent="0.2">
      <c r="A101" s="170" t="s">
        <v>295</v>
      </c>
      <c r="H101" s="170">
        <f>$Q$43*EXP($P$49*$H$54)</f>
        <v>4.7209097165290996E-3</v>
      </c>
      <c r="I101" s="170">
        <f>$Q$43*EXP($P$49*$I$54)</f>
        <v>6.7130850883504569E-3</v>
      </c>
      <c r="J101" s="170">
        <f>$Q$43*EXP($P$49*$J$54)</f>
        <v>9.5459379885295195E-3</v>
      </c>
      <c r="K101" s="170">
        <f>$Q$43*EXP($P$49*$K$54)</f>
        <v>1.357422569229527E-2</v>
      </c>
      <c r="L101" s="170">
        <f>$Q$43*EXP($P$49*$L$54)</f>
        <v>1.9302409398298716E-2</v>
      </c>
      <c r="M101" s="170">
        <f>$Q$43*EXP($P$49*$M$54)</f>
        <v>2.7447827745416729E-2</v>
      </c>
      <c r="N101" s="170">
        <f>$Q$43*EXP($P$49*$N$54)</f>
        <v>3.903052890425536E-2</v>
      </c>
      <c r="O101" s="170">
        <f>$Q$43*EXP($P$49*$O$54)</f>
        <v>5.5501010887839333E-2</v>
      </c>
      <c r="P101" s="170">
        <f>$Q$43*EXP($P$49*$P$54)</f>
        <v>7.8921866960307119E-2</v>
      </c>
      <c r="Q101" s="170">
        <f>$Q$43*EXP($P$49*$Q$54)</f>
        <v>0.11223047313783943</v>
      </c>
      <c r="R101" s="170">
        <f>$Q$43*EXP($P$49*$R$54)</f>
        <v>0.1595905791297508</v>
      </c>
    </row>
    <row r="102" spans="1:18" s="171" customFormat="1" x14ac:dyDescent="0.2">
      <c r="A102" s="171" t="s">
        <v>296</v>
      </c>
      <c r="H102" s="171">
        <f>$W$43*EXP($V$49*$H$54)</f>
        <v>5.6310233617016649E-3</v>
      </c>
      <c r="I102" s="171">
        <f>$W$43*EXP($V$49*$I$54)</f>
        <v>7.8230940772835884E-3</v>
      </c>
      <c r="J102" s="171">
        <f>$W$43*EXP($V$49*$J$54)</f>
        <v>1.0868504179591084E-2</v>
      </c>
      <c r="K102" s="171">
        <f>$W$43*EXP($V$49*$K$54)</f>
        <v>1.5099445556304136E-2</v>
      </c>
      <c r="L102" s="171">
        <f>$W$43*EXP($V$49*$L$54)</f>
        <v>2.0977427283500449E-2</v>
      </c>
      <c r="M102" s="171">
        <f>$W$43*EXP($V$49*$M$54)</f>
        <v>2.9143616816501173E-2</v>
      </c>
      <c r="N102" s="171">
        <f>$W$43*EXP($V$49*$N$54)</f>
        <v>4.048877823140383E-2</v>
      </c>
      <c r="O102" s="171">
        <f>$W$43*EXP($V$49*$O$54)</f>
        <v>5.6250436347474939E-2</v>
      </c>
      <c r="P102" s="171">
        <f>$W$43*EXP($V$49*$P$54)</f>
        <v>7.8147865346729337E-2</v>
      </c>
      <c r="Q102" s="171">
        <f>$W$43*EXP($V$49*$Q$54)</f>
        <v>0.10857359229396801</v>
      </c>
      <c r="R102" s="171">
        <f>$W$43*EXP($V$49*$R$54)</f>
        <v>0.15083962048554991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12</vt:i4>
      </vt:variant>
    </vt:vector>
  </HeadingPairs>
  <TitlesOfParts>
    <vt:vector size="16" baseType="lpstr">
      <vt:lpstr>Config</vt:lpstr>
      <vt:lpstr>Data</vt:lpstr>
      <vt:lpstr>Results</vt:lpstr>
      <vt:lpstr>NSA739std-B</vt:lpstr>
      <vt:lpstr>calibration_max_size</vt:lpstr>
      <vt:lpstr>calibration_min_size</vt:lpstr>
      <vt:lpstr>calibration_step</vt:lpstr>
      <vt:lpstr>conditions</vt:lpstr>
      <vt:lpstr>data_first_line</vt:lpstr>
      <vt:lpstr>data_last_line</vt:lpstr>
      <vt:lpstr>data_sheet_name</vt:lpstr>
      <vt:lpstr>experimental_plan_definition</vt:lpstr>
      <vt:lpstr>number_of_cycles</vt:lpstr>
      <vt:lpstr>white_border_definition</vt:lpstr>
      <vt:lpstr>white_inner_application</vt:lpstr>
      <vt:lpstr>white_stats</vt:lpstr>
    </vt:vector>
  </TitlesOfParts>
  <Company>Hospices Civils de Lyon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MOUTON, William</dc:creator>
  <cp:lastModifiedBy>Julien</cp:lastModifiedBy>
  <cp:lastPrinted>2018-03-17T15:52:29Z</cp:lastPrinted>
  <dcterms:created xsi:type="dcterms:W3CDTF">2018-02-13T15:43:19Z</dcterms:created>
  <dcterms:modified xsi:type="dcterms:W3CDTF">2018-05-21T07:29:30Z</dcterms:modified>
</cp:coreProperties>
</file>