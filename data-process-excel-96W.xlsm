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9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julienwan/Downloads/"/>
    </mc:Choice>
  </mc:AlternateContent>
  <xr:revisionPtr revIDLastSave="0" documentId="13_ncr:1_{B73F71EA-470F-5246-BAB8-9F7F0FA64ECD}" xr6:coauthVersionLast="31" xr6:coauthVersionMax="31" xr10:uidLastSave="{00000000-0000-0000-0000-000000000000}"/>
  <bookViews>
    <workbookView xWindow="0" yWindow="440" windowWidth="38400" windowHeight="21160" xr2:uid="{00000000-000D-0000-FFFF-FFFF00000000}"/>
  </bookViews>
  <sheets>
    <sheet name="Config" sheetId="7" r:id="rId1"/>
    <sheet name="Data" sheetId="2" r:id="rId2"/>
  </sheets>
  <functionGroups builtInGroupCount="19"/>
  <definedNames>
    <definedName name="calibration_max_size">Config!$F$7</definedName>
    <definedName name="calibration_min_size">Config!$F$9</definedName>
    <definedName name="calibration_step">Config!$F$11</definedName>
    <definedName name="conditions">Config!$C$15:$F$42</definedName>
    <definedName name="data_first_line">Config!$D$6</definedName>
    <definedName name="data_last_line">Config!$D$7</definedName>
    <definedName name="data_sheet_name">Config!$D$5</definedName>
    <definedName name="experimental_plan_definition">Config!$J$34:$V$42</definedName>
    <definedName name="number_of_cycles">Config!$D$8</definedName>
    <definedName name="white_border_definition">Config!$J$5:$V$13</definedName>
    <definedName name="white_inner_application">Config!$J$20:$V$28</definedName>
    <definedName name="white_stats">Config!$X$6:$AD$13</definedName>
  </definedNames>
  <calcPr calcId="179017" calcMode="manual"/>
</workbook>
</file>

<file path=xl/calcChain.xml><?xml version="1.0" encoding="utf-8"?>
<calcChain xmlns="http://schemas.openxmlformats.org/spreadsheetml/2006/main">
  <c r="Z6" i="7" l="1"/>
  <c r="Z7" i="7"/>
  <c r="Z10" i="7"/>
  <c r="Z11" i="7"/>
  <c r="Z12" i="7"/>
  <c r="Z13" i="7"/>
  <c r="Z8" i="7"/>
  <c r="Z9" i="7"/>
  <c r="AB10" i="7"/>
  <c r="AC11" i="7"/>
  <c r="AB9" i="7"/>
  <c r="AC9" i="7"/>
  <c r="AA7" i="7"/>
  <c r="AC8" i="7"/>
  <c r="AA8" i="7"/>
  <c r="AB7" i="7"/>
  <c r="AA9" i="7"/>
  <c r="AA11" i="7"/>
  <c r="AB8" i="7"/>
  <c r="AB11" i="7"/>
  <c r="AA10" i="7"/>
  <c r="AC7" i="7"/>
  <c r="AC10" i="7"/>
  <c r="D7" i="7" l="1"/>
  <c r="AC13" i="7"/>
  <c r="AA12" i="7"/>
  <c r="AD8" i="7"/>
  <c r="AD11" i="7"/>
  <c r="AD7" i="7"/>
  <c r="AC12" i="7"/>
  <c r="AD10" i="7"/>
  <c r="AB13" i="7"/>
  <c r="AA13" i="7"/>
  <c r="AD9" i="7"/>
  <c r="AB12" i="7"/>
  <c r="D8" i="7"/>
  <c r="AB6" i="7"/>
  <c r="AA6" i="7"/>
  <c r="D11" i="7" l="1"/>
  <c r="AD12" i="7"/>
  <c r="AD13" i="7"/>
  <c r="AC6" i="7"/>
  <c r="AD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Julien</author>
  </authors>
  <commentList>
    <comment ref="L2" authorId="0" shapeId="0" xr:uid="{5A5D2AC9-C259-F54E-A5E6-06893A171B83}">
      <text>
        <r>
          <rPr>
            <sz val="10"/>
            <color rgb="FF000000"/>
            <rFont val="Tahoma"/>
            <family val="2"/>
          </rPr>
          <t>this is where you describe all the white types you used; you have have up to 8 different white types; the table on the right gives you quick stats about your whites; if one of them is screwed up, just disregard it by deleting it, and it will not be taken into account in all the computations made afterwards.</t>
        </r>
      </text>
    </comment>
    <comment ref="D5" authorId="0" shapeId="0" xr:uid="{955DAF0A-8712-3544-89E0-AD8A0865C922}">
      <text>
        <r>
          <rPr>
            <sz val="10"/>
            <color rgb="FF000000"/>
            <rFont val="Tahoma"/>
            <family val="2"/>
          </rPr>
          <t>The name of the sheet containing the data; you can change it, but make sure you also change the sheet name ! Else, the program will not be able to know where the data is.</t>
        </r>
      </text>
    </comment>
    <comment ref="E5" authorId="0" shapeId="0" xr:uid="{A1AB8E38-185E-E14D-8BBE-2B68C9E714F2}">
      <text>
        <r>
          <rPr>
            <sz val="10"/>
            <color rgb="FF000000"/>
            <rFont val="Tahoma"/>
            <family val="2"/>
          </rPr>
          <t xml:space="preserve">auto-calibration allows, for each condition, to search for the largest "Size min" that leads to R2 coefficients above 0.99. This process can take quite some time. It starts from a max "Size min" (configured in cell "search from max"), and decrease the value to a minimal value (cf. cell "down to min") by a step value also onfigured here ("step").  </t>
        </r>
      </text>
    </comment>
    <comment ref="D6" authorId="0" shapeId="0" xr:uid="{CAAD4F61-680F-AF46-9FCD-53B614A444AA}">
      <text>
        <r>
          <rPr>
            <sz val="10"/>
            <color rgb="FF000000"/>
            <rFont val="Tahoma"/>
            <family val="2"/>
          </rPr>
          <t>In the data sheet, where the data begin, i.e. at which row number.</t>
        </r>
      </text>
    </comment>
    <comment ref="D7" authorId="0" shapeId="0" xr:uid="{163076CD-5A27-7941-B73B-F1F09E182016}">
      <text>
        <r>
          <rPr>
            <sz val="10"/>
            <color rgb="FF000000"/>
            <rFont val="Tahoma"/>
            <family val="2"/>
          </rPr>
          <t>In the data sheet, where the data end, i.e. at which row number. Is automatically determined from the data first line, and the number of wells.</t>
        </r>
      </text>
    </comment>
    <comment ref="D8" authorId="0" shapeId="0" xr:uid="{DFEBD0EC-0842-084B-B8BC-26F782755A8A}">
      <text>
        <r>
          <rPr>
            <sz val="10"/>
            <color rgb="FF000000"/>
            <rFont val="Tahoma"/>
            <family val="2"/>
          </rPr>
          <t>The number of cycles in the data. Is automatically detected.</t>
        </r>
      </text>
    </comment>
    <comment ref="D9" authorId="0" shapeId="0" xr:uid="{2A8D9447-2ED7-8F4B-AEF4-5798FBA7E846}">
      <text>
        <r>
          <rPr>
            <sz val="10"/>
            <color rgb="FF000000"/>
            <rFont val="Tahoma"/>
            <family val="2"/>
          </rPr>
          <t>The minimal control temperature for this experiment. The maximal is in the cel just below. This allows to tell if the temperature stayed ok or not.</t>
        </r>
      </text>
    </comment>
    <comment ref="D11" authorId="0" shapeId="0" xr:uid="{81F467FE-79E0-1947-ADF6-1654213BB5C6}">
      <text>
        <r>
          <rPr>
            <sz val="10"/>
            <color rgb="FF000000"/>
            <rFont val="Tahoma"/>
            <family val="2"/>
          </rPr>
          <t>If all the temperatudes stayed between the min and max, it's ok, else it's not ok.</t>
        </r>
      </text>
    </comment>
    <comment ref="C14" authorId="0" shapeId="0" xr:uid="{20F9AC3E-255C-7545-98FA-D153C041E579}">
      <text>
        <r>
          <rPr>
            <sz val="10"/>
            <color rgb="FF000000"/>
            <rFont val="Tahoma"/>
            <family val="2"/>
          </rPr>
          <t>Name your conditions in this column. These names will be the names of the computed sheets.</t>
        </r>
      </text>
    </comment>
    <comment ref="E14" authorId="0" shapeId="0" xr:uid="{21DF4310-A3BC-6645-9660-3856A28DEE30}">
      <text>
        <r>
          <rPr>
            <sz val="10"/>
            <color rgb="FF000000"/>
            <rFont val="Tahoma"/>
            <family val="2"/>
          </rPr>
          <t>This is the minimal period of time you allow (in s) to capture an exponential behaviour in the growth curves. The "best" exponential behaviour observed does not necessarily starts à t = 0, because of the resolution of the reader, which might introduce a kind of latency at the beginning of some growth curves.</t>
        </r>
      </text>
    </comment>
    <comment ref="F14" authorId="0" shapeId="0" xr:uid="{431EF545-3E39-0E43-8BD3-65AC4B66AB36}">
      <text>
        <r>
          <rPr>
            <sz val="10"/>
            <color rgb="FF000000"/>
            <rFont val="Tahoma"/>
            <family val="2"/>
          </rPr>
          <t>This is the time at which you decide that exponential behaviour should have ended. This prevents detecting exponential growth at the end of a curve, rather than near its start !</t>
        </r>
      </text>
    </comment>
    <comment ref="L17" authorId="0" shapeId="0" xr:uid="{CD2780E4-8DAF-1C46-857B-AD19ED6C1E6F}">
      <text>
        <r>
          <rPr>
            <sz val="10"/>
            <color rgb="FF000000"/>
            <rFont val="Tahoma"/>
            <family val="2"/>
          </rPr>
          <t>this is where you indicate which white type is used in each well</t>
        </r>
      </text>
    </comment>
    <comment ref="L31" authorId="0" shapeId="0" xr:uid="{315467EF-7D51-3B4D-9ACB-287CEC3EA8EF}">
      <text>
        <r>
          <rPr>
            <sz val="10"/>
            <color rgb="FF000000"/>
            <rFont val="Tahoma"/>
            <family val="2"/>
          </rPr>
          <t>this is where you configure that this or that well belongs to this or that condition, by entering the condition ID (C1, C2, etc.) in each well.</t>
        </r>
      </text>
    </comment>
    <comment ref="AB35" authorId="0" shapeId="0" xr:uid="{2CB96AB3-74E9-8348-8F98-4B81D9E0BB3A}">
      <text>
        <r>
          <rPr>
            <sz val="10"/>
            <color rgb="FF000000"/>
            <rFont val="Tahoma"/>
            <family val="2"/>
          </rPr>
          <t xml:space="preserve">This computes the first condition configured on the left part of this sheet; this can be used to quickly check it works ! The button on the right computes all the conditions here !
</t>
        </r>
      </text>
    </comment>
    <comment ref="AB41" authorId="0" shapeId="0" xr:uid="{C09F088D-C8D7-264C-B49F-A904B921C40E}">
      <text>
        <r>
          <rPr>
            <sz val="10"/>
            <color rgb="FF000000"/>
            <rFont val="Tahoma"/>
            <family val="2"/>
          </rPr>
          <t>Calibration does the same thing as computation, but re-computes with different "size min" for each condition until a good R2 coefficient is found, or the minimal value allowed is reached.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MOUTON, William</author>
  </authors>
  <commentList>
    <comment ref="E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Tecan.At.Common, 3.9.1.0
Tecan.At.Common.DocumentManagement, 3.9.1.0
Tecan.At.Common.DocumentManagement.Reader, 3.6.1.0
Tecan.At.Common.MCS, 3.9.1.0
Tecan.At.Common.Results, 3.9.1.0
Tecan.At.Common.UI, 3.9.1.0
Tecan.At.Communication.Common, 3.9.1.0
Tecan.At.Communication.Port.IP, 3.9.1.0
Tecan.At.Communication.Port.RS232, 3.9.1.0
Tecan.At.Communication.Port.SIM.Common, 3.9.1.0
Tecan.At.Communication.Port.USB, 3.9.1.0
Tecan.At.Communication.Server, 3.9.1.0
Tecan.At.Communication.SIM.AMR, 3.6.1.0
Tecan.At.Communication.SIM.AMRPlus, 3.6.1.0
Tecan.At.Communication.SIM.Connect, 3.9.1.0
Tecan.At.Communication.SIM.GeniosUltra, 3.6.1.0
Tecan.At.Communication.SIM.Safire3, 3.6.1.0
Tecan.At.Communication.SIM.Safire3Pro, 3.6.1.0
Tecan.At.Communication.SIM.SunriseMini, 3.6.1.0
Tecan.At.Instrument.Common, 3.9.1.0
Tecan.At.Instrument.Common.GCM, 3.9.1.0
Tecan.At.Instrument.Common.Reader, 3.6.1.0
Tecan.At.Instrument.Common.Stacker, 3.9.1.0
Tecan.At.Instrument.Gas.GCM, 3.9.1.0
Tecan.At.Instrument.GCM.Server, 3.9.1.0
Tecan.At.Instrument.Reader.AMR, 3.6.1.0
Tecan.At.Instrument.Reader.AMRPlus, 3.6.1.0
Tecan.At.Instrument.Reader.GeniosUltra, 3.6.1.0
Tecan.At.Instrument.Reader.Safire3, 3.6.1.0
Tecan.At.Instrument.Reader.Safire3Pro, 3.6.1.0
Tecan.At.Instrument.Reader.SunriseMini, 3.6.1.0
Tecan.At.Instrument.Server, 3.9.1.0
Tecan.At.Instrument.Stacker.Connect, 3.9.1.0
Tecan.At.Instrument.Stacker.Server, 3.9.1.0
Tecan.At.Measurement.BuiltInTest.Common, 3.6.1.0
Tecan.At.Measurement.Common, 3.6.1.0
Tecan.At.Measurement.Server, 3.6.1.0
Tecan.At.XFluor, 2.0.10.0
Tecan.At.XFluor.Connect.Reader, 2.0.10.0
Tecan.At.XFluor.Core, 2.0.10.0
Tecan.At.XFluor.Device, 2.0.10.0
Tecan.At.XFluor.Device.AMR, 2.0.10.0
Tecan.At.XFluor.Device.AMRPlus, 2.0.10.0
Tecan.At.XFluor.Device.GeniosUltra, 2.0.10.0
Tecan.At.XFluor.Device.Reader, 2.0.10.0
Tecan.At.XFluor.Device.Safire3, 2.0.10.0
Tecan.At.XFluor.Device.Safire3Pro, 2.0.10.0
Tecan.At.XFluor.Device.SunriseMini, 2.0.10.0
Tecan.At.XFluor.ExcelOutput, 2.0.10.0
Tecan.At.XFluor.NanoQuant, 2.0.10.0
Tecan.At.XFluor.ReaderEditor, 2.0.10.0
</t>
        </r>
      </text>
    </comment>
    <comment ref="E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EHC, V_5.26_10/17_InfiniteRX (Oct 19 2017/13.54.43)
MTP, V_5.26_10/17_InfiniteRX (Oct 19 2017/13.54.43)
HCP, V_5.26_10/17_InfiniteRX (Oct 19 2017/13.54.43)
MEM, V_3.00_09/11_MCR (Sep 27 2011/15.05.45)
MEX, V_3.00_09/11_MCR (Sep 27 2011/15.05.10)
ZSCAN, V_5.26_10/17_InfiniteRX (Oct 19 2017/13.54.43)
</t>
        </r>
      </text>
    </comment>
  </commentList>
</comments>
</file>

<file path=xl/sharedStrings.xml><?xml version="1.0" encoding="utf-8"?>
<sst xmlns="http://schemas.openxmlformats.org/spreadsheetml/2006/main" count="414" uniqueCount="229">
  <si>
    <t>Application: Tecan i-control</t>
  </si>
  <si>
    <t>Tecan i-control , 2.0.10.0</t>
  </si>
  <si>
    <t>Device: infinite 200Pro</t>
  </si>
  <si>
    <t>Serial number: 1710002559</t>
  </si>
  <si>
    <t>Serial number of connected stacker:</t>
  </si>
  <si>
    <t>Firmware: V_5.26_10/17_InfiniteRX (Oct 19 2017/13.54.43)</t>
  </si>
  <si>
    <t>MAI, V_5.26_10/17_InfiniteRX (Oct 19 2017/13.54.43)</t>
  </si>
  <si>
    <t>Date:</t>
  </si>
  <si>
    <t>Time:</t>
  </si>
  <si>
    <t>System</t>
  </si>
  <si>
    <t>CR103095</t>
  </si>
  <si>
    <t>User</t>
  </si>
  <si>
    <t>CHU-LYON\moutonwi</t>
  </si>
  <si>
    <t>Plate</t>
  </si>
  <si>
    <t>Greiner 96 Flat Bottom Transparent Polystyrene Cat. No.: 655101/655161/655192 [GRE96ft.pdfx]</t>
  </si>
  <si>
    <t>Plate-ID (Stacker)</t>
  </si>
  <si>
    <t>Wait (Plate)</t>
  </si>
  <si>
    <t>On</t>
  </si>
  <si>
    <t>Target Temperature: 37 °C</t>
  </si>
  <si>
    <t>Wait (Plate Temperature)</t>
  </si>
  <si>
    <t>Valid Range: 36.5 - 37.5 °C</t>
  </si>
  <si>
    <t>List of actions in this measurement script:</t>
  </si>
  <si>
    <t>Kinetic</t>
  </si>
  <si>
    <t>Shaking (Orbital) Duration:</t>
  </si>
  <si>
    <t>s</t>
  </si>
  <si>
    <t>Shaking (Orbital) Amplitude:</t>
  </si>
  <si>
    <t>mm</t>
  </si>
  <si>
    <t>Absorbance</t>
  </si>
  <si>
    <t>Label: Label1</t>
  </si>
  <si>
    <t>Kinetic Measurement</t>
  </si>
  <si>
    <t>Kinetic Cycles</t>
  </si>
  <si>
    <t>Interval Time</t>
  </si>
  <si>
    <t>Measurement Wavelength</t>
  </si>
  <si>
    <t>nm</t>
  </si>
  <si>
    <t>Bandwidth</t>
  </si>
  <si>
    <t>Number of Flashes</t>
  </si>
  <si>
    <t>Settle Time</t>
  </si>
  <si>
    <t>ms</t>
  </si>
  <si>
    <t>Start Time:</t>
  </si>
  <si>
    <t>Cycle Nr.</t>
  </si>
  <si>
    <t>Time [s]</t>
  </si>
  <si>
    <t>Temp. [°C]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</si>
  <si>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</si>
  <si>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</si>
  <si>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</si>
  <si>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</si>
  <si>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</si>
  <si>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</si>
  <si>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</si>
  <si>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</si>
  <si>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</si>
  <si>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</si>
  <si>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</si>
  <si>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</si>
  <si>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</si>
  <si>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</si>
  <si>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</si>
  <si>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</si>
  <si>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</si>
  <si>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</si>
  <si>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</si>
  <si>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</si>
  <si>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</si>
  <si>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</si>
  <si>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</si>
  <si>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</si>
  <si>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</si>
  <si>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</si>
  <si>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</si>
  <si>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</si>
  <si>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</si>
  <si>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</si>
  <si>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</si>
  <si>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</si>
  <si>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</si>
  <si>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</si>
  <si>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</si>
  <si>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</si>
  <si>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</si>
  <si>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</si>
  <si>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</si>
  <si>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</si>
  <si>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</si>
  <si>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</si>
  <si>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</si>
  <si>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</si>
  <si>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</si>
  <si>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</si>
  <si>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</si>
  <si>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</si>
  <si>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</si>
  <si>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</si>
  <si>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</si>
  <si>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</si>
  <si>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</si>
  <si>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</si>
  <si>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</si>
  <si>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</si>
  <si>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</si>
  <si>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</si>
  <si>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</si>
  <si>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</si>
  <si>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</si>
  <si>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</si>
  <si>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</si>
  <si>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</si>
  <si>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</si>
  <si>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</si>
  <si>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</si>
  <si>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</si>
  <si>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</si>
  <si>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</si>
  <si>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</si>
  <si>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</si>
  <si>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</si>
  <si>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</si>
  <si>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</si>
  <si>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</si>
  <si>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</si>
  <si>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</si>
  <si>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</si>
  <si>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</si>
  <si>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</si>
  <si>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</si>
  <si>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</si>
  <si>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</si>
  <si>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</si>
  <si>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</si>
  <si>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</si>
  <si>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</si>
  <si>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</si>
  <si>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</si>
  <si>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</si>
  <si>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</si>
  <si>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</si>
  <si>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</si>
  <si>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</si>
  <si>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</si>
  <si>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End Time:</t>
  </si>
  <si>
    <t>A</t>
  </si>
  <si>
    <t>B</t>
  </si>
  <si>
    <t>C</t>
  </si>
  <si>
    <t>D</t>
  </si>
  <si>
    <t>E</t>
  </si>
  <si>
    <t>F</t>
  </si>
  <si>
    <t>G</t>
  </si>
  <si>
    <t>H</t>
  </si>
  <si>
    <t>type 1</t>
  </si>
  <si>
    <t>type 2</t>
  </si>
  <si>
    <t>W1</t>
  </si>
  <si>
    <t>W2</t>
  </si>
  <si>
    <t>W3</t>
  </si>
  <si>
    <t>type 3</t>
  </si>
  <si>
    <t>W4</t>
  </si>
  <si>
    <t>type 4</t>
  </si>
  <si>
    <t>white border definition</t>
  </si>
  <si>
    <t>white inner application</t>
  </si>
  <si>
    <t>Data sheet name</t>
  </si>
  <si>
    <t>Number of cycles</t>
  </si>
  <si>
    <t>Data</t>
  </si>
  <si>
    <t>type</t>
  </si>
  <si>
    <t>nb</t>
  </si>
  <si>
    <t>average</t>
  </si>
  <si>
    <t>min</t>
  </si>
  <si>
    <t>max</t>
  </si>
  <si>
    <t>Data last line @</t>
  </si>
  <si>
    <t>std dev</t>
  </si>
  <si>
    <t>experimental plan definition</t>
  </si>
  <si>
    <t>Condition name</t>
  </si>
  <si>
    <t>C13</t>
  </si>
  <si>
    <t>C14</t>
  </si>
  <si>
    <t>C15</t>
  </si>
  <si>
    <t>ID</t>
  </si>
  <si>
    <t>general configuration</t>
  </si>
  <si>
    <t>C16</t>
  </si>
  <si>
    <t>C17</t>
  </si>
  <si>
    <t>C18</t>
  </si>
  <si>
    <t>C24</t>
  </si>
  <si>
    <t>C26</t>
  </si>
  <si>
    <t>C25</t>
  </si>
  <si>
    <t>C19</t>
  </si>
  <si>
    <t>C20</t>
  </si>
  <si>
    <t>C21</t>
  </si>
  <si>
    <t>C22</t>
  </si>
  <si>
    <t>C23</t>
  </si>
  <si>
    <t>C27</t>
  </si>
  <si>
    <t>C28</t>
  </si>
  <si>
    <t>Data first line @</t>
  </si>
  <si>
    <t>W5</t>
  </si>
  <si>
    <t>W6</t>
  </si>
  <si>
    <t>type 5</t>
  </si>
  <si>
    <t>W7</t>
  </si>
  <si>
    <t>type 6</t>
  </si>
  <si>
    <t>W8</t>
  </si>
  <si>
    <t>type 7</t>
  </si>
  <si>
    <t>type 8</t>
  </si>
  <si>
    <t>T° Mini</t>
  </si>
  <si>
    <t>T° Maxi</t>
  </si>
  <si>
    <t>Temperature ?</t>
  </si>
  <si>
    <t>NSA739std-B</t>
  </si>
  <si>
    <t>NSA739std-H10</t>
  </si>
  <si>
    <t>NSA739std-H13</t>
  </si>
  <si>
    <t>NSA739std-SH10</t>
  </si>
  <si>
    <t>NSA739std-SH13</t>
  </si>
  <si>
    <t>NSA739std-CH13</t>
  </si>
  <si>
    <t>NSA739std-CH10</t>
  </si>
  <si>
    <t>1077std-B</t>
  </si>
  <si>
    <t>1077std-H10</t>
  </si>
  <si>
    <t>1077std-H13</t>
  </si>
  <si>
    <t>1077std-SH10</t>
  </si>
  <si>
    <t>1077std-SH13</t>
  </si>
  <si>
    <t>1077std-CH10</t>
  </si>
  <si>
    <t>1077std-CH13</t>
  </si>
  <si>
    <t>7475std-B</t>
  </si>
  <si>
    <t>7475std-H10</t>
  </si>
  <si>
    <t>7475std-H13</t>
  </si>
  <si>
    <t>7475std-SH10</t>
  </si>
  <si>
    <t>7475std-SH13</t>
  </si>
  <si>
    <t>7475std-CH13</t>
  </si>
  <si>
    <t>7475std-CH10</t>
  </si>
  <si>
    <t>Cut max</t>
  </si>
  <si>
    <t>Size min</t>
  </si>
  <si>
    <t>Exp. Reg config (s)</t>
  </si>
  <si>
    <t>&lt;- ?</t>
  </si>
  <si>
    <t xml:space="preserve">search from max </t>
  </si>
  <si>
    <t>down to min</t>
  </si>
  <si>
    <t>auto-calibration :</t>
  </si>
  <si>
    <t>&lt;- ? -&gt;</t>
  </si>
  <si>
    <t>step (in 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</si>
</sst>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8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16"/>
      <color rgb="FF000000"/>
      <name val="Lucida Grande"/>
      <family val="2"/>
    </font>
    <font>
      <sz val="10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4"/>
      <color rgb="FF000000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6FF"/>
        <bgColor indexed="64"/>
      </patternFill>
    </fill>
    <fill>
      <patternFill patternType="solid">
        <fgColor rgb="FFCFEEFA"/>
        <bgColor indexed="64"/>
      </patternFill>
    </fill>
    <fill>
      <patternFill patternType="solid">
        <fgColor rgb="FF6AF5F5"/>
        <bgColor indexed="64"/>
      </patternFill>
    </fill>
    <fill>
      <patternFill patternType="solid">
        <fgColor rgb="FF2EA5F0"/>
        <bgColor indexed="64"/>
      </patternFill>
    </fill>
    <fill>
      <patternFill patternType="solid">
        <fgColor rgb="FF5147EB"/>
        <bgColor indexed="64"/>
      </patternFill>
    </fill>
    <fill>
      <patternFill patternType="solid">
        <fgColor rgb="FFB431E6"/>
        <bgColor indexed="64"/>
      </patternFill>
    </fill>
    <fill>
      <patternFill patternType="solid">
        <fgColor rgb="FFFB79E1"/>
        <bgColor indexed="64"/>
      </patternFill>
    </fill>
    <fill>
      <patternFill patternType="solid">
        <fgColor rgb="FFE5DBDC"/>
        <bgColor indexed="64"/>
      </patternFill>
    </fill>
    <fill>
      <patternFill patternType="solid">
        <fgColor rgb="FF87FED7"/>
        <bgColor indexed="64"/>
      </patternFill>
    </fill>
    <fill>
      <patternFill patternType="solid">
        <fgColor rgb="FF36C1D2"/>
        <bgColor indexed="64"/>
      </patternFill>
    </fill>
    <fill>
      <patternFill patternType="solid">
        <fgColor rgb="FF3E5DCD"/>
        <bgColor indexed="64"/>
      </patternFill>
    </fill>
    <fill>
      <patternFill patternType="solid">
        <fgColor rgb="FF962DC8"/>
        <bgColor indexed="64"/>
      </patternFill>
    </fill>
    <fill>
      <patternFill patternType="solid">
        <fgColor rgb="FFEF5EC3"/>
        <bgColor indexed="64"/>
      </patternFill>
    </fill>
    <fill>
      <patternFill patternType="solid">
        <fgColor rgb="FFF5C2BE"/>
        <bgColor indexed="64"/>
      </patternFill>
    </fill>
    <fill>
      <patternFill patternType="solid">
        <fgColor rgb="FFA4FEB9"/>
        <bgColor indexed="64"/>
      </patternFill>
    </fill>
    <fill>
      <patternFill patternType="solid">
        <fgColor rgb="FF46DAB4"/>
        <bgColor indexed="64"/>
      </patternFill>
    </fill>
    <fill>
      <patternFill patternType="solid">
        <fgColor rgb="FF3178AF"/>
        <bgColor indexed="64"/>
      </patternFill>
    </fill>
    <fill>
      <patternFill patternType="solid">
        <fgColor rgb="FF7931AA"/>
        <bgColor indexed="64"/>
      </patternFill>
    </fill>
    <fill>
      <patternFill patternType="solid">
        <fgColor rgb="FFDB47A5"/>
        <bgColor indexed="64"/>
      </patternFill>
    </fill>
    <fill>
      <patternFill patternType="solid">
        <fgColor rgb="FFFEA6A0"/>
        <bgColor indexed="64"/>
      </patternFill>
    </fill>
    <fill>
      <patternFill patternType="solid">
        <fgColor rgb="FFC1F69B"/>
        <bgColor indexed="64"/>
      </patternFill>
    </fill>
    <fill>
      <patternFill patternType="solid">
        <fgColor rgb="FF5CEE96"/>
        <bgColor indexed="64"/>
      </patternFill>
    </fill>
    <fill>
      <patternFill patternType="solid">
        <fgColor rgb="FF2D9591"/>
        <bgColor indexed="64"/>
      </patternFill>
    </fill>
    <fill>
      <patternFill patternType="solid">
        <fgColor rgb="FF5E3D8C"/>
        <bgColor indexed="64"/>
      </patternFill>
    </fill>
    <fill>
      <patternFill patternType="solid">
        <fgColor rgb="FFC33787"/>
        <bgColor indexed="64"/>
      </patternFill>
    </fill>
    <fill>
      <patternFill patternType="solid">
        <fgColor rgb="FFFE8882"/>
        <bgColor indexed="64"/>
      </patternFill>
    </fill>
    <fill>
      <patternFill patternType="solid">
        <fgColor rgb="FFDAE67D"/>
        <bgColor indexed="64"/>
      </patternFill>
    </fill>
    <fill>
      <patternFill patternType="solid">
        <fgColor rgb="FF77FA78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ADFF2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7FED7"/>
        <bgColor rgb="FF000000"/>
      </patternFill>
    </fill>
    <fill>
      <patternFill patternType="solid">
        <fgColor rgb="FF36C1D2"/>
        <bgColor rgb="FF000000"/>
      </patternFill>
    </fill>
    <fill>
      <patternFill patternType="solid">
        <fgColor rgb="FF3E5DCD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2DCDB"/>
        <bgColor rgb="FF000000"/>
      </patternFill>
    </fill>
  </fills>
  <borders count="37">
    <border>
      <left/>
      <right/>
      <top/>
      <bottom/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 style="thin">
        <color theme="9" tint="0.59999389629810485"/>
      </left>
      <right/>
      <top/>
      <bottom style="thin">
        <color theme="9" tint="0.79998168889431442"/>
      </bottom>
      <diagonal/>
    </border>
    <border>
      <left/>
      <right/>
      <top/>
      <bottom style="thin">
        <color theme="9" tint="0.59999389629810485"/>
      </bottom>
      <diagonal/>
    </border>
    <border>
      <left/>
      <right/>
      <top/>
      <bottom style="thin">
        <color theme="9" tint="0.79998168889431442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/>
    </border>
    <border>
      <left style="thin">
        <color rgb="FFCCC0DA"/>
      </left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FCD5B4"/>
      </right>
      <top style="thin">
        <color rgb="FFFCD5B4"/>
      </top>
      <bottom/>
      <diagonal/>
    </border>
    <border>
      <left/>
      <right/>
      <top/>
      <bottom style="medium">
        <color rgb="FF808080"/>
      </bottom>
      <diagonal/>
    </border>
    <border>
      <left style="thin">
        <color rgb="FFD8E4BC"/>
      </left>
      <right style="thin">
        <color rgb="FFD8E4BC"/>
      </right>
      <top style="thin">
        <color rgb="FFD8E4BC"/>
      </top>
      <bottom style="thin">
        <color rgb="FFD8E4BC"/>
      </bottom>
      <diagonal/>
    </border>
    <border>
      <left/>
      <right style="thin">
        <color rgb="FFFCD5B4"/>
      </right>
      <top style="thin">
        <color rgb="FFFCD5B4"/>
      </top>
      <bottom style="thin">
        <color rgb="FFFCD5B4"/>
      </bottom>
      <diagonal/>
    </border>
    <border>
      <left/>
      <right style="thin">
        <color rgb="FFFCD5B4"/>
      </right>
      <top/>
      <bottom style="thin">
        <color rgb="FFFCD5B4"/>
      </bottom>
      <diagonal/>
    </border>
    <border>
      <left style="thin">
        <color rgb="FFE6B8B7"/>
      </left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FCD5B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00">
    <xf numFmtId="0" fontId="0" fillId="0" borderId="0"/>
    <xf numFmtId="0" fontId="1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7">
    <xf numFmtId="0" fontId="0" fillId="0" borderId="0" xfId="0"/>
    <xf numFmtId="0" fontId="1" fillId="9" borderId="0" xfId="0" applyFont="1" applyFill="1"/>
    <xf numFmtId="0" fontId="0" fillId="0" borderId="0" xfId="0" applyAlignment="1">
      <alignment horizontal="center"/>
    </xf>
    <xf numFmtId="0" fontId="5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7" fillId="10" borderId="0" xfId="0" applyFont="1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2" borderId="9" xfId="0" applyFill="1" applyBorder="1" applyAlignment="1"/>
    <xf numFmtId="0" fontId="0" fillId="12" borderId="10" xfId="0" applyFill="1" applyBorder="1" applyAlignment="1"/>
    <xf numFmtId="0" fontId="0" fillId="12" borderId="11" xfId="0" applyFill="1" applyBorder="1" applyAlignment="1"/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11" xfId="0" applyFill="1" applyBorder="1" applyAlignment="1"/>
    <xf numFmtId="0" fontId="0" fillId="17" borderId="9" xfId="0" applyFill="1" applyBorder="1" applyAlignment="1"/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2" fillId="16" borderId="15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15" borderId="20" xfId="0" applyFill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10" borderId="9" xfId="0" applyFill="1" applyBorder="1" applyAlignment="1"/>
    <xf numFmtId="0" fontId="0" fillId="10" borderId="10" xfId="0" applyFill="1" applyBorder="1" applyAlignment="1"/>
    <xf numFmtId="0" fontId="0" fillId="10" borderId="11" xfId="0" applyFill="1" applyBorder="1" applyAlignment="1"/>
    <xf numFmtId="0" fontId="0" fillId="8" borderId="2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27" borderId="4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0" fillId="30" borderId="4" xfId="0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33" borderId="4" xfId="0" applyFill="1" applyBorder="1" applyAlignment="1">
      <alignment horizontal="center"/>
    </xf>
    <xf numFmtId="0" fontId="0" fillId="34" borderId="4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0" fillId="38" borderId="4" xfId="0" applyFill="1" applyBorder="1" applyAlignment="1">
      <alignment horizontal="center"/>
    </xf>
    <xf numFmtId="0" fontId="0" fillId="39" borderId="4" xfId="0" applyFill="1" applyBorder="1" applyAlignment="1">
      <alignment horizontal="center"/>
    </xf>
    <xf numFmtId="0" fontId="0" fillId="40" borderId="4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0" fontId="0" fillId="44" borderId="4" xfId="0" applyFill="1" applyBorder="1" applyAlignment="1">
      <alignment horizontal="center"/>
    </xf>
    <xf numFmtId="0" fontId="0" fillId="45" borderId="4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1" borderId="22" xfId="0" applyFill="1" applyBorder="1" applyAlignment="1">
      <alignment horizontal="center"/>
    </xf>
    <xf numFmtId="0" fontId="0" fillId="22" borderId="22" xfId="0" applyFill="1" applyBorder="1" applyAlignment="1">
      <alignment horizontal="center"/>
    </xf>
    <xf numFmtId="0" fontId="0" fillId="23" borderId="22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25" borderId="22" xfId="0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2" borderId="22" xfId="0" applyFill="1" applyBorder="1" applyAlignment="1">
      <alignment horizontal="center"/>
    </xf>
    <xf numFmtId="0" fontId="2" fillId="16" borderId="26" xfId="0" applyFont="1" applyFill="1" applyBorder="1" applyAlignment="1">
      <alignment horizontal="center"/>
    </xf>
    <xf numFmtId="164" fontId="7" fillId="0" borderId="20" xfId="0" applyNumberFormat="1" applyFont="1" applyBorder="1" applyAlignment="1"/>
    <xf numFmtId="164" fontId="0" fillId="0" borderId="20" xfId="0" applyNumberFormat="1" applyFont="1" applyBorder="1" applyAlignment="1"/>
    <xf numFmtId="164" fontId="0" fillId="0" borderId="20" xfId="0" applyNumberFormat="1" applyBorder="1" applyAlignment="1"/>
    <xf numFmtId="0" fontId="0" fillId="11" borderId="0" xfId="0" applyFill="1"/>
    <xf numFmtId="0" fontId="10" fillId="16" borderId="0" xfId="0" applyFont="1" applyFill="1" applyAlignment="1">
      <alignment horizontal="center"/>
    </xf>
    <xf numFmtId="0" fontId="2" fillId="47" borderId="0" xfId="0" applyFont="1" applyFill="1" applyBorder="1" applyAlignment="1">
      <alignment horizontal="center"/>
    </xf>
    <xf numFmtId="0" fontId="7" fillId="10" borderId="0" xfId="0" applyFont="1" applyFill="1" applyBorder="1" applyAlignment="1">
      <alignment horizontal="right" vertical="center"/>
    </xf>
    <xf numFmtId="0" fontId="0" fillId="10" borderId="8" xfId="0" applyFill="1" applyBorder="1" applyAlignment="1">
      <alignment horizontal="right" vertical="center"/>
    </xf>
    <xf numFmtId="0" fontId="0" fillId="10" borderId="7" xfId="0" applyFill="1" applyBorder="1" applyAlignment="1">
      <alignment horizontal="right" vertical="center"/>
    </xf>
    <xf numFmtId="0" fontId="2" fillId="16" borderId="0" xfId="0" applyFont="1" applyFill="1" applyAlignment="1">
      <alignment horizontal="right" vertical="center"/>
    </xf>
    <xf numFmtId="0" fontId="0" fillId="10" borderId="0" xfId="0" applyFill="1" applyBorder="1" applyAlignment="1">
      <alignment horizontal="right" vertical="center"/>
    </xf>
    <xf numFmtId="0" fontId="2" fillId="16" borderId="0" xfId="0" applyFont="1" applyFill="1" applyBorder="1" applyAlignment="1">
      <alignment horizontal="right" vertical="center"/>
    </xf>
    <xf numFmtId="0" fontId="0" fillId="14" borderId="0" xfId="0" applyFont="1" applyFill="1" applyBorder="1" applyAlignment="1">
      <alignment horizontal="center"/>
    </xf>
    <xf numFmtId="0" fontId="2" fillId="48" borderId="23" xfId="0" applyFont="1" applyFill="1" applyBorder="1" applyAlignment="1">
      <alignment horizontal="center"/>
    </xf>
    <xf numFmtId="0" fontId="2" fillId="48" borderId="24" xfId="0" applyFont="1" applyFill="1" applyBorder="1" applyAlignment="1">
      <alignment horizontal="center"/>
    </xf>
    <xf numFmtId="0" fontId="10" fillId="48" borderId="24" xfId="0" applyFont="1" applyFill="1" applyBorder="1" applyAlignment="1">
      <alignment horizontal="center" vertical="center"/>
    </xf>
    <xf numFmtId="0" fontId="2" fillId="48" borderId="24" xfId="0" applyFont="1" applyFill="1" applyBorder="1" applyAlignment="1">
      <alignment horizontal="center" vertical="center"/>
    </xf>
    <xf numFmtId="0" fontId="1" fillId="49" borderId="23" xfId="0" applyFont="1" applyFill="1" applyBorder="1" applyAlignment="1">
      <alignment horizontal="center"/>
    </xf>
    <xf numFmtId="0" fontId="11" fillId="16" borderId="23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1" borderId="23" xfId="0" applyFont="1" applyFill="1" applyBorder="1" applyAlignment="1">
      <alignment horizontal="center"/>
    </xf>
    <xf numFmtId="0" fontId="11" fillId="52" borderId="23" xfId="0" applyFont="1" applyFill="1" applyBorder="1" applyAlignment="1">
      <alignment horizontal="center"/>
    </xf>
    <xf numFmtId="0" fontId="11" fillId="53" borderId="23" xfId="0" applyFont="1" applyFill="1" applyBorder="1" applyAlignment="1">
      <alignment horizontal="center"/>
    </xf>
    <xf numFmtId="0" fontId="11" fillId="54" borderId="23" xfId="0" applyFont="1" applyFill="1" applyBorder="1" applyAlignment="1">
      <alignment horizontal="center"/>
    </xf>
    <xf numFmtId="0" fontId="11" fillId="55" borderId="23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4" borderId="3" xfId="0" applyFont="1" applyFill="1" applyBorder="1" applyAlignment="1">
      <alignment horizontal="center"/>
    </xf>
    <xf numFmtId="0" fontId="2" fillId="46" borderId="25" xfId="0" applyFont="1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2" fillId="0" borderId="0" xfId="0" applyNumberFormat="1" applyFont="1"/>
    <xf numFmtId="0" fontId="2" fillId="56" borderId="0" xfId="0" applyFont="1" applyFill="1"/>
    <xf numFmtId="21" fontId="2" fillId="0" borderId="0" xfId="0" applyNumberFormat="1" applyFont="1"/>
    <xf numFmtId="0" fontId="1" fillId="57" borderId="0" xfId="0" applyFont="1" applyFill="1"/>
    <xf numFmtId="0" fontId="1" fillId="49" borderId="27" xfId="0" applyFont="1" applyFill="1" applyBorder="1" applyAlignment="1">
      <alignment horizontal="center"/>
    </xf>
    <xf numFmtId="0" fontId="2" fillId="46" borderId="28" xfId="0" applyFont="1" applyFill="1" applyBorder="1" applyAlignment="1">
      <alignment horizontal="center"/>
    </xf>
    <xf numFmtId="0" fontId="2" fillId="46" borderId="29" xfId="0" applyFont="1" applyFill="1" applyBorder="1" applyAlignment="1">
      <alignment horizontal="center"/>
    </xf>
    <xf numFmtId="0" fontId="2" fillId="58" borderId="30" xfId="0" applyFont="1" applyFill="1" applyBorder="1" applyAlignment="1">
      <alignment horizontal="center"/>
    </xf>
    <xf numFmtId="0" fontId="2" fillId="58" borderId="31" xfId="0" applyFont="1" applyFill="1" applyBorder="1" applyAlignment="1">
      <alignment horizontal="center"/>
    </xf>
    <xf numFmtId="0" fontId="2" fillId="59" borderId="30" xfId="0" applyFont="1" applyFill="1" applyBorder="1" applyAlignment="1">
      <alignment horizontal="center"/>
    </xf>
    <xf numFmtId="0" fontId="2" fillId="59" borderId="31" xfId="0" applyFont="1" applyFill="1" applyBorder="1" applyAlignment="1">
      <alignment horizontal="center"/>
    </xf>
    <xf numFmtId="0" fontId="2" fillId="60" borderId="30" xfId="0" applyFont="1" applyFill="1" applyBorder="1" applyAlignment="1">
      <alignment horizontal="center"/>
    </xf>
    <xf numFmtId="0" fontId="2" fillId="60" borderId="31" xfId="0" applyFont="1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6" borderId="22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8" borderId="22" xfId="0" applyFill="1" applyBorder="1" applyAlignment="1">
      <alignment horizontal="center"/>
    </xf>
    <xf numFmtId="0" fontId="2" fillId="61" borderId="0" xfId="0" applyFont="1" applyFill="1" applyAlignment="1">
      <alignment horizontal="center"/>
    </xf>
    <xf numFmtId="0" fontId="0" fillId="14" borderId="6" xfId="0" applyFill="1" applyBorder="1" applyAlignment="1">
      <alignment horizontal="center"/>
    </xf>
    <xf numFmtId="165" fontId="2" fillId="0" borderId="0" xfId="0" applyNumberFormat="1" applyFont="1"/>
    <xf numFmtId="0" fontId="2" fillId="46" borderId="32" xfId="0" applyFont="1" applyFill="1" applyBorder="1" applyAlignment="1">
      <alignment horizontal="center"/>
    </xf>
    <xf numFmtId="0" fontId="10" fillId="16" borderId="35" xfId="0" applyFont="1" applyFill="1" applyBorder="1" applyAlignment="1">
      <alignment horizontal="center"/>
    </xf>
    <xf numFmtId="0" fontId="10" fillId="16" borderId="36" xfId="0" applyFont="1" applyFill="1" applyBorder="1" applyAlignment="1">
      <alignment horizontal="center"/>
    </xf>
    <xf numFmtId="0" fontId="2" fillId="16" borderId="0" xfId="0" applyFont="1" applyFill="1" applyAlignment="1"/>
    <xf numFmtId="0" fontId="2" fillId="47" borderId="0" xfId="0" applyFont="1" applyFill="1" applyAlignment="1"/>
    <xf numFmtId="0" fontId="2" fillId="46" borderId="0" xfId="0" applyFont="1" applyFill="1"/>
    <xf numFmtId="0" fontId="10" fillId="16" borderId="0" xfId="0" applyFont="1" applyFill="1" applyAlignment="1">
      <alignment horizontal="right"/>
    </xf>
    <xf numFmtId="0" fontId="17" fillId="62" borderId="0" xfId="0" applyFont="1" applyFill="1" applyAlignment="1">
      <alignment horizontal="center" vertical="center"/>
    </xf>
    <xf numFmtId="0" fontId="0" fillId="10" borderId="33" xfId="0" applyFont="1" applyFill="1" applyBorder="1" applyAlignment="1">
      <alignment horizontal="center"/>
    </xf>
    <xf numFmtId="0" fontId="0" fillId="10" borderId="34" xfId="0" applyFont="1" applyFill="1" applyBorder="1" applyAlignment="1">
      <alignment horizontal="center"/>
    </xf>
    <xf numFmtId="0" fontId="15" fillId="17" borderId="0" xfId="0" applyFont="1" applyFill="1" applyBorder="1" applyAlignment="1">
      <alignment horizontal="center" vertical="center"/>
    </xf>
    <xf numFmtId="0" fontId="2" fillId="16" borderId="0" xfId="0" applyFont="1" applyFill="1" applyAlignment="1">
      <alignment horizontal="right"/>
    </xf>
  </cellXfs>
  <cellStyles count="300"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Normal" xfId="0" builtinId="0"/>
    <cellStyle name="Tecan.At.Excel.Attenuation" xfId="6" xr:uid="{00000000-0005-0000-0000-000025010000}"/>
    <cellStyle name="Tecan.At.Excel.AutoGain_0" xfId="7" xr:uid="{00000000-0005-0000-0000-000026010000}"/>
    <cellStyle name="Tecan.At.Excel.Error" xfId="1" xr:uid="{00000000-0005-0000-0000-000027010000}"/>
    <cellStyle name="Tecan.At.Excel.GFactorAndMeasurementBlank" xfId="5" xr:uid="{00000000-0005-0000-0000-000028010000}"/>
    <cellStyle name="Tecan.At.Excel.GFactorBlank" xfId="3" xr:uid="{00000000-0005-0000-0000-000029010000}"/>
    <cellStyle name="Tecan.At.Excel.GFactorReference" xfId="4" xr:uid="{00000000-0005-0000-0000-00002A010000}"/>
    <cellStyle name="Tecan.At.Excel.MeasurementBlank" xfId="2" xr:uid="{00000000-0005-0000-0000-00002B010000}"/>
  </cellStyles>
  <dxfs count="21"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CD1E7"/>
      <color rgb="FFD79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139700</xdr:colOff>
          <xdr:row>34</xdr:row>
          <xdr:rowOff>12700</xdr:rowOff>
        </xdr:from>
        <xdr:to>
          <xdr:col>26</xdr:col>
          <xdr:colOff>749300</xdr:colOff>
          <xdr:row>36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63500</xdr:colOff>
          <xdr:row>34</xdr:row>
          <xdr:rowOff>25400</xdr:rowOff>
        </xdr:from>
        <xdr:to>
          <xdr:col>29</xdr:col>
          <xdr:colOff>609600</xdr:colOff>
          <xdr:row>36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63500</xdr:colOff>
          <xdr:row>3</xdr:row>
          <xdr:rowOff>114300</xdr:rowOff>
        </xdr:from>
        <xdr:to>
          <xdr:col>23</xdr:col>
          <xdr:colOff>393700</xdr:colOff>
          <xdr:row>4</xdr:row>
          <xdr:rowOff>152400</xdr:rowOff>
        </xdr:to>
        <xdr:sp macro="" textlink="">
          <xdr:nvSpPr>
            <xdr:cNvPr id="5129" name="Button 9" descr="calc.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139700</xdr:colOff>
          <xdr:row>37</xdr:row>
          <xdr:rowOff>12700</xdr:rowOff>
        </xdr:from>
        <xdr:to>
          <xdr:col>29</xdr:col>
          <xdr:colOff>622300</xdr:colOff>
          <xdr:row>38</xdr:row>
          <xdr:rowOff>190500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152400</xdr:colOff>
          <xdr:row>40</xdr:row>
          <xdr:rowOff>12700</xdr:rowOff>
        </xdr:from>
        <xdr:to>
          <xdr:col>26</xdr:col>
          <xdr:colOff>749300</xdr:colOff>
          <xdr:row>42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calibrate 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88900</xdr:colOff>
          <xdr:row>40</xdr:row>
          <xdr:rowOff>25400</xdr:rowOff>
        </xdr:from>
        <xdr:to>
          <xdr:col>29</xdr:col>
          <xdr:colOff>622300</xdr:colOff>
          <xdr:row>42</xdr:row>
          <xdr:rowOff>12700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calibrate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I222"/>
  <sheetViews>
    <sheetView tabSelected="1" zoomScale="125" zoomScaleNormal="125" zoomScalePageLayoutView="125" workbookViewId="0">
      <selection activeCell="F15" sqref="F15:F35"/>
    </sheetView>
  </sheetViews>
  <sheetFormatPr baseColWidth="10" defaultColWidth="7" defaultRowHeight="15" customHeight="1" x14ac:dyDescent="0.2"/>
  <cols>
    <col min="1" max="1" width="3.33203125" style="4" customWidth="1"/>
    <col min="2" max="2" width="3" style="4" customWidth="1"/>
    <col min="3" max="3" width="16" style="4" customWidth="1"/>
    <col min="4" max="4" width="7.6640625" style="4" bestFit="1" customWidth="1"/>
    <col min="5" max="5" width="8.6640625" style="4" customWidth="1"/>
    <col min="6" max="6" width="7.6640625" style="4" customWidth="1"/>
    <col min="7" max="7" width="3" style="4" customWidth="1"/>
    <col min="8" max="8" width="3.5" style="4" customWidth="1"/>
    <col min="9" max="9" width="3.1640625" style="2" customWidth="1"/>
    <col min="10" max="12" width="7" style="2"/>
    <col min="13" max="13" width="7.6640625" style="2" bestFit="1" customWidth="1"/>
    <col min="14" max="22" width="7" style="2"/>
    <col min="23" max="23" width="3.1640625" style="2" customWidth="1"/>
    <col min="24" max="24" width="5.6640625" style="2" customWidth="1"/>
    <col min="25" max="25" width="7.6640625" style="2" customWidth="1"/>
    <col min="26" max="26" width="5.1640625" style="2" customWidth="1"/>
    <col min="27" max="30" width="11.83203125" style="2" customWidth="1"/>
    <col min="31" max="31" width="2.83203125" style="2" customWidth="1"/>
    <col min="32" max="32" width="11.83203125" style="4" customWidth="1"/>
    <col min="33" max="113" width="7" style="4"/>
    <col min="114" max="16384" width="7" style="2"/>
  </cols>
  <sheetData>
    <row r="1" spans="2:32" s="3" customFormat="1" ht="15" customHeight="1" thickBot="1" x14ac:dyDescent="0.25"/>
    <row r="2" spans="2:32" ht="15" customHeight="1" thickBot="1" x14ac:dyDescent="0.25">
      <c r="B2" s="58"/>
      <c r="C2" s="59" t="s">
        <v>173</v>
      </c>
      <c r="D2" s="59"/>
      <c r="E2" s="59"/>
      <c r="F2" s="59"/>
      <c r="G2" s="60"/>
      <c r="I2" s="11"/>
      <c r="J2" s="12" t="s">
        <v>155</v>
      </c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3"/>
    </row>
    <row r="3" spans="2:32" s="4" customFormat="1" ht="15" customHeight="1" thickBot="1" x14ac:dyDescent="0.25"/>
    <row r="4" spans="2:32" ht="15" customHeight="1" x14ac:dyDescent="0.2">
      <c r="B4" s="44"/>
      <c r="C4" s="45"/>
      <c r="D4" s="45"/>
      <c r="E4" s="45"/>
      <c r="F4" s="45"/>
      <c r="G4" s="46"/>
      <c r="I4" s="14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6"/>
      <c r="AF4" s="104"/>
    </row>
    <row r="5" spans="2:32" ht="15" customHeight="1" x14ac:dyDescent="0.2">
      <c r="B5" s="47"/>
      <c r="C5" s="107" t="s">
        <v>157</v>
      </c>
      <c r="D5" s="9" t="s">
        <v>159</v>
      </c>
      <c r="E5" s="161" t="s">
        <v>226</v>
      </c>
      <c r="F5" s="161"/>
      <c r="G5" s="48"/>
      <c r="I5" s="17"/>
      <c r="J5" s="5"/>
      <c r="K5" s="5">
        <v>1</v>
      </c>
      <c r="L5" s="5">
        <v>2</v>
      </c>
      <c r="M5" s="5">
        <v>3</v>
      </c>
      <c r="N5" s="5">
        <v>4</v>
      </c>
      <c r="O5" s="5">
        <v>5</v>
      </c>
      <c r="P5" s="5">
        <v>6</v>
      </c>
      <c r="Q5" s="5">
        <v>7</v>
      </c>
      <c r="R5" s="5">
        <v>8</v>
      </c>
      <c r="S5" s="5">
        <v>9</v>
      </c>
      <c r="T5" s="5">
        <v>10</v>
      </c>
      <c r="U5" s="5">
        <v>11</v>
      </c>
      <c r="V5" s="5">
        <v>12</v>
      </c>
      <c r="W5" s="5"/>
      <c r="X5" s="5"/>
      <c r="Y5" s="114" t="s">
        <v>160</v>
      </c>
      <c r="Z5" s="115" t="s">
        <v>161</v>
      </c>
      <c r="AA5" s="116" t="s">
        <v>162</v>
      </c>
      <c r="AB5" s="117" t="s">
        <v>163</v>
      </c>
      <c r="AC5" s="117" t="s">
        <v>164</v>
      </c>
      <c r="AD5" s="117" t="s">
        <v>166</v>
      </c>
      <c r="AE5" s="18"/>
      <c r="AF5" s="104"/>
    </row>
    <row r="6" spans="2:32" ht="15" customHeight="1" x14ac:dyDescent="0.2">
      <c r="B6" s="47"/>
      <c r="C6" s="108" t="s">
        <v>187</v>
      </c>
      <c r="D6" s="153">
        <v>37</v>
      </c>
      <c r="E6" s="166" t="s">
        <v>224</v>
      </c>
      <c r="F6" s="166"/>
      <c r="G6" s="48"/>
      <c r="I6" s="17"/>
      <c r="J6" s="5" t="s">
        <v>139</v>
      </c>
      <c r="K6" s="118" t="s">
        <v>149</v>
      </c>
      <c r="L6" s="53" t="s">
        <v>149</v>
      </c>
      <c r="M6" s="53" t="s">
        <v>149</v>
      </c>
      <c r="N6" s="53" t="s">
        <v>149</v>
      </c>
      <c r="O6" s="53" t="s">
        <v>149</v>
      </c>
      <c r="P6" s="53" t="s">
        <v>149</v>
      </c>
      <c r="Q6" s="53" t="s">
        <v>149</v>
      </c>
      <c r="R6" s="53" t="s">
        <v>149</v>
      </c>
      <c r="S6" s="53" t="s">
        <v>149</v>
      </c>
      <c r="T6" s="53" t="s">
        <v>149</v>
      </c>
      <c r="U6" s="53" t="s">
        <v>149</v>
      </c>
      <c r="V6" s="53" t="s">
        <v>149</v>
      </c>
      <c r="W6" s="5"/>
      <c r="X6" s="118" t="s">
        <v>149</v>
      </c>
      <c r="Y6" s="54" t="s">
        <v>147</v>
      </c>
      <c r="Z6" s="55">
        <f t="shared" ref="Z6:Z13" si="0">COUNTIF(white_border_definition,X6)</f>
        <v>36</v>
      </c>
      <c r="AA6" s="101">
        <f t="shared" ref="AA6:AA13" ca="1" si="1">compute_white_average($X6, white_border_definition)</f>
        <v>9.3340017361111124E-2</v>
      </c>
      <c r="AB6" s="102">
        <f t="shared" ref="AB6:AB13" ca="1" si="2">compute_white_min($X6, white_border_definition)</f>
        <v>9.1499999999999998E-2</v>
      </c>
      <c r="AC6" s="103">
        <f t="shared" ref="AC6:AC13" ca="1" si="3">compute_white_max($X6, white_border_definition)</f>
        <v>0.10100000000000001</v>
      </c>
      <c r="AD6" s="103">
        <f t="shared" ref="AD6:AD13" ca="1" si="4">compute_white_std($X6, white_border_definition,$AA6)</f>
        <v>1.1684623472179201E-3</v>
      </c>
      <c r="AE6" s="18"/>
      <c r="AF6" s="104"/>
    </row>
    <row r="7" spans="2:32" ht="15" customHeight="1" x14ac:dyDescent="0.2">
      <c r="B7" s="47"/>
      <c r="C7" s="109" t="s">
        <v>165</v>
      </c>
      <c r="D7" s="10">
        <f>D6+96+2-1</f>
        <v>134</v>
      </c>
      <c r="E7" s="158"/>
      <c r="F7" s="159">
        <v>10000</v>
      </c>
      <c r="G7" s="48"/>
      <c r="I7" s="17"/>
      <c r="J7" s="5" t="s">
        <v>140</v>
      </c>
      <c r="K7" s="53" t="s">
        <v>149</v>
      </c>
      <c r="L7" s="53"/>
      <c r="M7" s="53"/>
      <c r="N7" s="53"/>
      <c r="O7" s="53"/>
      <c r="P7" s="53"/>
      <c r="Q7" s="53"/>
      <c r="R7" s="53"/>
      <c r="S7" s="53"/>
      <c r="T7" s="53"/>
      <c r="U7" s="53"/>
      <c r="V7" s="53" t="s">
        <v>149</v>
      </c>
      <c r="W7" s="5"/>
      <c r="X7" s="119" t="s">
        <v>150</v>
      </c>
      <c r="Y7" s="54" t="s">
        <v>148</v>
      </c>
      <c r="Z7" s="55">
        <f t="shared" si="0"/>
        <v>0</v>
      </c>
      <c r="AA7" s="101">
        <f t="shared" si="1"/>
        <v>0</v>
      </c>
      <c r="AB7" s="102">
        <f t="shared" si="2"/>
        <v>0</v>
      </c>
      <c r="AC7" s="103">
        <f t="shared" si="3"/>
        <v>0</v>
      </c>
      <c r="AD7" s="103">
        <f t="shared" si="4"/>
        <v>0</v>
      </c>
      <c r="AE7" s="18"/>
      <c r="AF7" s="104"/>
    </row>
    <row r="8" spans="2:32" ht="15" customHeight="1" x14ac:dyDescent="0.2">
      <c r="B8" s="47"/>
      <c r="C8" s="110" t="s">
        <v>158</v>
      </c>
      <c r="D8" s="105">
        <f ca="1">COUNTA(INDIRECT(data_sheet_name&amp;"!A"&amp;$D$6&amp;":ZZ"&amp;$D$6))-1</f>
        <v>32</v>
      </c>
      <c r="E8" s="166" t="s">
        <v>225</v>
      </c>
      <c r="F8" s="166"/>
      <c r="G8" s="48"/>
      <c r="I8" s="17"/>
      <c r="J8" s="5" t="s">
        <v>141</v>
      </c>
      <c r="K8" s="53" t="s">
        <v>149</v>
      </c>
      <c r="L8" s="53"/>
      <c r="M8" s="53"/>
      <c r="N8" s="53"/>
      <c r="O8" s="53"/>
      <c r="P8" s="53"/>
      <c r="Q8" s="53"/>
      <c r="R8" s="53"/>
      <c r="S8" s="53"/>
      <c r="T8" s="53"/>
      <c r="U8" s="53"/>
      <c r="V8" s="53" t="s">
        <v>149</v>
      </c>
      <c r="W8" s="5"/>
      <c r="X8" s="120" t="s">
        <v>151</v>
      </c>
      <c r="Y8" s="54" t="s">
        <v>152</v>
      </c>
      <c r="Z8" s="55">
        <f t="shared" si="0"/>
        <v>0</v>
      </c>
      <c r="AA8" s="101">
        <f t="shared" si="1"/>
        <v>0</v>
      </c>
      <c r="AB8" s="102">
        <f t="shared" si="2"/>
        <v>0</v>
      </c>
      <c r="AC8" s="103">
        <f t="shared" si="3"/>
        <v>0</v>
      </c>
      <c r="AD8" s="103">
        <f t="shared" si="4"/>
        <v>0</v>
      </c>
      <c r="AE8" s="18"/>
    </row>
    <row r="9" spans="2:32" ht="15" customHeight="1" x14ac:dyDescent="0.2">
      <c r="B9" s="47"/>
      <c r="C9" s="111" t="s">
        <v>196</v>
      </c>
      <c r="D9" s="113">
        <v>36.4</v>
      </c>
      <c r="E9" s="158"/>
      <c r="F9" s="159">
        <v>6000</v>
      </c>
      <c r="G9" s="48"/>
      <c r="I9" s="17"/>
      <c r="J9" s="5" t="s">
        <v>142</v>
      </c>
      <c r="K9" s="53" t="s">
        <v>149</v>
      </c>
      <c r="L9" s="53"/>
      <c r="M9" s="53"/>
      <c r="N9" s="53"/>
      <c r="O9" s="53"/>
      <c r="P9" s="53"/>
      <c r="Q9" s="53"/>
      <c r="R9" s="53"/>
      <c r="S9" s="53"/>
      <c r="T9" s="53"/>
      <c r="U9" s="53"/>
      <c r="V9" s="53" t="s">
        <v>149</v>
      </c>
      <c r="W9" s="5"/>
      <c r="X9" s="121" t="s">
        <v>153</v>
      </c>
      <c r="Y9" s="54" t="s">
        <v>154</v>
      </c>
      <c r="Z9" s="55">
        <f t="shared" si="0"/>
        <v>0</v>
      </c>
      <c r="AA9" s="101">
        <f t="shared" si="1"/>
        <v>0</v>
      </c>
      <c r="AB9" s="102">
        <f t="shared" si="2"/>
        <v>0</v>
      </c>
      <c r="AC9" s="103">
        <f t="shared" si="3"/>
        <v>0</v>
      </c>
      <c r="AD9" s="103">
        <f t="shared" si="4"/>
        <v>0</v>
      </c>
      <c r="AE9" s="18"/>
    </row>
    <row r="10" spans="2:32" ht="15" customHeight="1" x14ac:dyDescent="0.2">
      <c r="B10" s="47"/>
      <c r="C10" s="112" t="s">
        <v>197</v>
      </c>
      <c r="D10" s="106">
        <v>37.6</v>
      </c>
      <c r="E10" s="166" t="s">
        <v>228</v>
      </c>
      <c r="F10" s="166"/>
      <c r="G10" s="48"/>
      <c r="I10" s="17"/>
      <c r="J10" s="5" t="s">
        <v>143</v>
      </c>
      <c r="K10" s="53" t="s">
        <v>149</v>
      </c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 t="s">
        <v>149</v>
      </c>
      <c r="W10" s="5"/>
      <c r="X10" s="122" t="s">
        <v>188</v>
      </c>
      <c r="Y10" s="54" t="s">
        <v>190</v>
      </c>
      <c r="Z10" s="55">
        <f t="shared" si="0"/>
        <v>0</v>
      </c>
      <c r="AA10" s="101">
        <f t="shared" si="1"/>
        <v>0</v>
      </c>
      <c r="AB10" s="102">
        <f t="shared" si="2"/>
        <v>0</v>
      </c>
      <c r="AC10" s="103">
        <f t="shared" si="3"/>
        <v>0</v>
      </c>
      <c r="AD10" s="103">
        <f t="shared" si="4"/>
        <v>0</v>
      </c>
      <c r="AE10" s="18"/>
    </row>
    <row r="11" spans="2:32" ht="15" customHeight="1" x14ac:dyDescent="0.2">
      <c r="B11" s="49"/>
      <c r="C11" s="111" t="s">
        <v>198</v>
      </c>
      <c r="D11" s="7" t="str">
        <f ca="1">IF(COUNTIFS(Data!B38:BM38,"&lt;="&amp;$D$10,Data!B38:BM38,"&gt;="&amp;$D$9) =number_of_cycles, "OK", "T° PB !")</f>
        <v>OK</v>
      </c>
      <c r="E11" s="158"/>
      <c r="F11" s="160">
        <v>500</v>
      </c>
      <c r="G11" s="50"/>
      <c r="I11" s="17"/>
      <c r="J11" s="5" t="s">
        <v>144</v>
      </c>
      <c r="K11" s="53" t="s">
        <v>149</v>
      </c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 t="s">
        <v>149</v>
      </c>
      <c r="W11" s="5"/>
      <c r="X11" s="123" t="s">
        <v>189</v>
      </c>
      <c r="Y11" s="54" t="s">
        <v>192</v>
      </c>
      <c r="Z11" s="55">
        <f t="shared" si="0"/>
        <v>0</v>
      </c>
      <c r="AA11" s="101">
        <f t="shared" si="1"/>
        <v>0</v>
      </c>
      <c r="AB11" s="102">
        <f t="shared" si="2"/>
        <v>0</v>
      </c>
      <c r="AC11" s="103">
        <f t="shared" si="3"/>
        <v>0</v>
      </c>
      <c r="AD11" s="103">
        <f t="shared" si="4"/>
        <v>0</v>
      </c>
      <c r="AE11" s="18"/>
    </row>
    <row r="12" spans="2:32" ht="15" customHeight="1" x14ac:dyDescent="0.2">
      <c r="B12" s="49"/>
      <c r="C12" s="105"/>
      <c r="D12" s="105"/>
      <c r="E12" s="105"/>
      <c r="F12" s="105"/>
      <c r="G12" s="50"/>
      <c r="I12" s="17"/>
      <c r="J12" s="5" t="s">
        <v>145</v>
      </c>
      <c r="K12" s="53" t="s">
        <v>149</v>
      </c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 t="s">
        <v>149</v>
      </c>
      <c r="W12" s="5"/>
      <c r="X12" s="124" t="s">
        <v>191</v>
      </c>
      <c r="Y12" s="54" t="s">
        <v>194</v>
      </c>
      <c r="Z12" s="55">
        <f t="shared" si="0"/>
        <v>0</v>
      </c>
      <c r="AA12" s="101">
        <f t="shared" si="1"/>
        <v>0</v>
      </c>
      <c r="AB12" s="102">
        <f t="shared" si="2"/>
        <v>0</v>
      </c>
      <c r="AC12" s="103">
        <f t="shared" si="3"/>
        <v>0</v>
      </c>
      <c r="AD12" s="103">
        <f t="shared" si="4"/>
        <v>0</v>
      </c>
      <c r="AE12" s="18"/>
    </row>
    <row r="13" spans="2:32" ht="15" customHeight="1" x14ac:dyDescent="0.2">
      <c r="B13" s="49"/>
      <c r="C13" s="7"/>
      <c r="D13" s="7"/>
      <c r="E13" s="163" t="s">
        <v>222</v>
      </c>
      <c r="F13" s="164"/>
      <c r="G13" s="50"/>
      <c r="I13" s="17"/>
      <c r="J13" s="5" t="s">
        <v>146</v>
      </c>
      <c r="K13" s="53" t="s">
        <v>149</v>
      </c>
      <c r="L13" s="53" t="s">
        <v>149</v>
      </c>
      <c r="M13" s="53" t="s">
        <v>149</v>
      </c>
      <c r="N13" s="53" t="s">
        <v>149</v>
      </c>
      <c r="O13" s="53" t="s">
        <v>149</v>
      </c>
      <c r="P13" s="53" t="s">
        <v>149</v>
      </c>
      <c r="Q13" s="53" t="s">
        <v>149</v>
      </c>
      <c r="R13" s="53" t="s">
        <v>149</v>
      </c>
      <c r="S13" s="53" t="s">
        <v>149</v>
      </c>
      <c r="T13" s="53" t="s">
        <v>149</v>
      </c>
      <c r="U13" s="53" t="s">
        <v>149</v>
      </c>
      <c r="V13" s="53" t="s">
        <v>149</v>
      </c>
      <c r="W13" s="5"/>
      <c r="X13" s="125" t="s">
        <v>193</v>
      </c>
      <c r="Y13" s="54" t="s">
        <v>195</v>
      </c>
      <c r="Z13" s="55">
        <f t="shared" si="0"/>
        <v>0</v>
      </c>
      <c r="AA13" s="101">
        <f t="shared" si="1"/>
        <v>0</v>
      </c>
      <c r="AB13" s="102">
        <f t="shared" si="2"/>
        <v>0</v>
      </c>
      <c r="AC13" s="103">
        <f t="shared" si="3"/>
        <v>0</v>
      </c>
      <c r="AD13" s="103">
        <f t="shared" si="4"/>
        <v>0</v>
      </c>
      <c r="AE13" s="18"/>
    </row>
    <row r="14" spans="2:32" ht="15" customHeight="1" x14ac:dyDescent="0.2">
      <c r="B14" s="49"/>
      <c r="C14" s="105" t="s">
        <v>168</v>
      </c>
      <c r="D14" s="105" t="s">
        <v>172</v>
      </c>
      <c r="E14" s="156" t="s">
        <v>221</v>
      </c>
      <c r="F14" s="157" t="s">
        <v>220</v>
      </c>
      <c r="G14" s="50"/>
      <c r="I14" s="17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5"/>
      <c r="X14" s="5"/>
      <c r="Y14" s="5"/>
      <c r="Z14" s="5"/>
      <c r="AA14" s="5"/>
      <c r="AB14" s="5"/>
      <c r="AC14" s="5"/>
      <c r="AD14" s="5"/>
      <c r="AE14" s="18"/>
    </row>
    <row r="15" spans="2:32" ht="15" customHeight="1" thickBot="1" x14ac:dyDescent="0.25">
      <c r="B15" s="49"/>
      <c r="C15" s="126" t="s">
        <v>199</v>
      </c>
      <c r="D15" s="62" t="s">
        <v>66</v>
      </c>
      <c r="E15" s="139">
        <v>10000</v>
      </c>
      <c r="F15" s="139">
        <v>20000</v>
      </c>
      <c r="G15" s="50"/>
      <c r="I15" s="19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2" s="4" customFormat="1" ht="15" customHeight="1" thickBot="1" x14ac:dyDescent="0.25">
      <c r="B16" s="49"/>
      <c r="C16" s="127" t="s">
        <v>200</v>
      </c>
      <c r="D16" s="63" t="s">
        <v>67</v>
      </c>
      <c r="E16" s="139">
        <v>10000</v>
      </c>
      <c r="F16" s="139">
        <v>20000</v>
      </c>
      <c r="G16" s="50"/>
    </row>
    <row r="17" spans="2:31" ht="15" customHeight="1" thickBot="1" x14ac:dyDescent="0.25">
      <c r="B17" s="49"/>
      <c r="C17" s="127" t="s">
        <v>201</v>
      </c>
      <c r="D17" s="64" t="s">
        <v>68</v>
      </c>
      <c r="E17" s="139">
        <v>10000</v>
      </c>
      <c r="F17" s="139">
        <v>20000</v>
      </c>
      <c r="G17" s="50"/>
      <c r="I17" s="30"/>
      <c r="J17" s="31" t="s">
        <v>156</v>
      </c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s="4" customFormat="1" ht="15" customHeight="1" thickBot="1" x14ac:dyDescent="0.25">
      <c r="B18" s="49"/>
      <c r="C18" s="127" t="s">
        <v>202</v>
      </c>
      <c r="D18" s="65" t="s">
        <v>69</v>
      </c>
      <c r="E18" s="139">
        <v>10000</v>
      </c>
      <c r="F18" s="139">
        <v>20000</v>
      </c>
      <c r="G18" s="50"/>
    </row>
    <row r="19" spans="2:31" ht="15" customHeight="1" x14ac:dyDescent="0.2">
      <c r="B19" s="49"/>
      <c r="C19" s="127" t="s">
        <v>203</v>
      </c>
      <c r="D19" s="66" t="s">
        <v>70</v>
      </c>
      <c r="E19" s="139">
        <v>10000</v>
      </c>
      <c r="F19" s="139">
        <v>20000</v>
      </c>
      <c r="G19" s="50"/>
      <c r="I19" s="2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2">
      <c r="B20" s="49"/>
      <c r="C20" s="127" t="s">
        <v>204</v>
      </c>
      <c r="D20" s="67" t="s">
        <v>71</v>
      </c>
      <c r="E20" s="139">
        <v>10000</v>
      </c>
      <c r="F20" s="139">
        <v>20000</v>
      </c>
      <c r="G20" s="50"/>
      <c r="I20" s="25"/>
      <c r="J20" s="6"/>
      <c r="K20" s="6">
        <v>1</v>
      </c>
      <c r="L20" s="6">
        <v>2</v>
      </c>
      <c r="M20" s="6">
        <v>3</v>
      </c>
      <c r="N20" s="6">
        <v>4</v>
      </c>
      <c r="O20" s="6">
        <v>5</v>
      </c>
      <c r="P20" s="6">
        <v>6</v>
      </c>
      <c r="Q20" s="6">
        <v>7</v>
      </c>
      <c r="R20" s="6">
        <v>8</v>
      </c>
      <c r="S20" s="6">
        <v>9</v>
      </c>
      <c r="T20" s="6">
        <v>10</v>
      </c>
      <c r="U20" s="6">
        <v>11</v>
      </c>
      <c r="V20" s="6">
        <v>12</v>
      </c>
      <c r="W20" s="6"/>
      <c r="X20" s="6"/>
      <c r="Y20" s="6"/>
      <c r="Z20" s="6"/>
      <c r="AA20" s="6"/>
      <c r="AB20" s="6"/>
      <c r="AC20" s="6"/>
      <c r="AD20" s="6"/>
      <c r="AE20" s="26"/>
    </row>
    <row r="21" spans="2:31" ht="15" customHeight="1" x14ac:dyDescent="0.2">
      <c r="B21" s="49"/>
      <c r="C21" s="127" t="s">
        <v>205</v>
      </c>
      <c r="D21" s="68" t="s">
        <v>72</v>
      </c>
      <c r="E21" s="139">
        <v>10000</v>
      </c>
      <c r="F21" s="139">
        <v>20000</v>
      </c>
      <c r="G21" s="50"/>
      <c r="I21" s="25"/>
      <c r="J21" s="6" t="s">
        <v>139</v>
      </c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6"/>
      <c r="X21" s="6"/>
      <c r="Y21" s="6"/>
      <c r="Z21" s="6"/>
      <c r="AA21" s="6"/>
      <c r="AB21" s="6"/>
      <c r="AC21" s="6"/>
      <c r="AD21" s="6"/>
      <c r="AE21" s="26"/>
    </row>
    <row r="22" spans="2:31" ht="15" customHeight="1" x14ac:dyDescent="0.2">
      <c r="B22" s="49"/>
      <c r="C22" s="127" t="s">
        <v>206</v>
      </c>
      <c r="D22" s="69" t="s">
        <v>73</v>
      </c>
      <c r="E22" s="139">
        <v>10000</v>
      </c>
      <c r="F22" s="139">
        <v>20000</v>
      </c>
      <c r="G22" s="50"/>
      <c r="I22" s="25"/>
      <c r="J22" s="6" t="s">
        <v>140</v>
      </c>
      <c r="K22" s="56"/>
      <c r="L22" s="137" t="s">
        <v>149</v>
      </c>
      <c r="M22" s="56" t="s">
        <v>149</v>
      </c>
      <c r="N22" s="56" t="s">
        <v>149</v>
      </c>
      <c r="O22" s="56" t="s">
        <v>149</v>
      </c>
      <c r="P22" s="56" t="s">
        <v>149</v>
      </c>
      <c r="Q22" s="56" t="s">
        <v>149</v>
      </c>
      <c r="R22" s="56" t="s">
        <v>149</v>
      </c>
      <c r="S22" s="56" t="s">
        <v>149</v>
      </c>
      <c r="T22" s="56" t="s">
        <v>149</v>
      </c>
      <c r="U22" s="56" t="s">
        <v>149</v>
      </c>
      <c r="V22" s="56"/>
      <c r="W22" s="6"/>
      <c r="X22" s="6"/>
      <c r="Y22" s="6"/>
      <c r="Z22" s="6"/>
      <c r="AA22" s="6"/>
      <c r="AB22" s="6"/>
      <c r="AC22" s="6"/>
      <c r="AD22" s="6"/>
      <c r="AE22" s="26"/>
    </row>
    <row r="23" spans="2:31" ht="15" customHeight="1" x14ac:dyDescent="0.2">
      <c r="B23" s="49"/>
      <c r="C23" s="127" t="s">
        <v>207</v>
      </c>
      <c r="D23" s="70" t="s">
        <v>74</v>
      </c>
      <c r="E23" s="139">
        <v>10000</v>
      </c>
      <c r="F23" s="139">
        <v>20000</v>
      </c>
      <c r="G23" s="50"/>
      <c r="I23" s="25"/>
      <c r="J23" s="6" t="s">
        <v>141</v>
      </c>
      <c r="K23" s="56"/>
      <c r="L23" s="56" t="s">
        <v>149</v>
      </c>
      <c r="M23" s="56" t="s">
        <v>149</v>
      </c>
      <c r="N23" s="56" t="s">
        <v>149</v>
      </c>
      <c r="O23" s="56" t="s">
        <v>149</v>
      </c>
      <c r="P23" s="56" t="s">
        <v>149</v>
      </c>
      <c r="Q23" s="56" t="s">
        <v>149</v>
      </c>
      <c r="R23" s="56" t="s">
        <v>149</v>
      </c>
      <c r="S23" s="56" t="s">
        <v>149</v>
      </c>
      <c r="T23" s="56" t="s">
        <v>149</v>
      </c>
      <c r="U23" s="56" t="s">
        <v>149</v>
      </c>
      <c r="V23" s="56"/>
      <c r="W23" s="6"/>
      <c r="X23" s="6"/>
      <c r="Y23" s="6"/>
      <c r="Z23" s="6"/>
      <c r="AA23" s="6"/>
      <c r="AB23" s="6"/>
      <c r="AC23" s="6"/>
      <c r="AD23" s="6"/>
      <c r="AE23" s="26"/>
    </row>
    <row r="24" spans="2:31" ht="15" customHeight="1" x14ac:dyDescent="0.2">
      <c r="B24" s="49"/>
      <c r="C24" s="127" t="s">
        <v>208</v>
      </c>
      <c r="D24" s="71" t="s">
        <v>75</v>
      </c>
      <c r="E24" s="139">
        <v>10000</v>
      </c>
      <c r="F24" s="139">
        <v>20000</v>
      </c>
      <c r="G24" s="50"/>
      <c r="I24" s="25"/>
      <c r="J24" s="6" t="s">
        <v>142</v>
      </c>
      <c r="K24" s="56"/>
      <c r="L24" s="56" t="s">
        <v>149</v>
      </c>
      <c r="M24" s="56" t="s">
        <v>149</v>
      </c>
      <c r="N24" s="56" t="s">
        <v>149</v>
      </c>
      <c r="O24" s="56" t="s">
        <v>149</v>
      </c>
      <c r="P24" s="56" t="s">
        <v>149</v>
      </c>
      <c r="Q24" s="56" t="s">
        <v>149</v>
      </c>
      <c r="R24" s="56" t="s">
        <v>149</v>
      </c>
      <c r="S24" s="56" t="s">
        <v>149</v>
      </c>
      <c r="T24" s="56" t="s">
        <v>149</v>
      </c>
      <c r="U24" s="56" t="s">
        <v>149</v>
      </c>
      <c r="V24" s="56"/>
      <c r="W24" s="6"/>
      <c r="X24" s="6"/>
      <c r="Y24" s="6"/>
      <c r="Z24" s="6"/>
      <c r="AA24" s="6"/>
      <c r="AB24" s="6"/>
      <c r="AC24" s="6"/>
      <c r="AD24" s="6"/>
      <c r="AE24" s="26"/>
    </row>
    <row r="25" spans="2:31" ht="15" customHeight="1" x14ac:dyDescent="0.2">
      <c r="B25" s="49"/>
      <c r="C25" s="127" t="s">
        <v>209</v>
      </c>
      <c r="D25" s="72" t="s">
        <v>76</v>
      </c>
      <c r="E25" s="139">
        <v>10000</v>
      </c>
      <c r="F25" s="139">
        <v>20000</v>
      </c>
      <c r="G25" s="50"/>
      <c r="I25" s="25"/>
      <c r="J25" s="6" t="s">
        <v>143</v>
      </c>
      <c r="K25" s="56"/>
      <c r="L25" s="56" t="s">
        <v>149</v>
      </c>
      <c r="M25" s="56" t="s">
        <v>149</v>
      </c>
      <c r="N25" s="56" t="s">
        <v>149</v>
      </c>
      <c r="O25" s="56" t="s">
        <v>149</v>
      </c>
      <c r="P25" s="56" t="s">
        <v>149</v>
      </c>
      <c r="Q25" s="56" t="s">
        <v>149</v>
      </c>
      <c r="R25" s="56" t="s">
        <v>149</v>
      </c>
      <c r="S25" s="56" t="s">
        <v>149</v>
      </c>
      <c r="T25" s="56" t="s">
        <v>149</v>
      </c>
      <c r="U25" s="56" t="s">
        <v>149</v>
      </c>
      <c r="V25" s="56"/>
      <c r="W25" s="6"/>
      <c r="X25" s="6"/>
      <c r="Y25" s="6"/>
      <c r="Z25" s="6"/>
      <c r="AA25" s="6"/>
      <c r="AB25" s="6"/>
      <c r="AC25" s="6"/>
      <c r="AD25" s="6"/>
      <c r="AE25" s="26"/>
    </row>
    <row r="26" spans="2:31" ht="15" customHeight="1" x14ac:dyDescent="0.2">
      <c r="B26" s="49"/>
      <c r="C26" s="127" t="s">
        <v>210</v>
      </c>
      <c r="D26" s="73" t="s">
        <v>77</v>
      </c>
      <c r="E26" s="139">
        <v>10000</v>
      </c>
      <c r="F26" s="139">
        <v>20000</v>
      </c>
      <c r="G26" s="50"/>
      <c r="I26" s="25"/>
      <c r="J26" s="6" t="s">
        <v>144</v>
      </c>
      <c r="K26" s="56"/>
      <c r="L26" s="56" t="s">
        <v>149</v>
      </c>
      <c r="M26" s="56" t="s">
        <v>149</v>
      </c>
      <c r="N26" s="56" t="s">
        <v>149</v>
      </c>
      <c r="O26" s="56" t="s">
        <v>149</v>
      </c>
      <c r="P26" s="56" t="s">
        <v>149</v>
      </c>
      <c r="Q26" s="56" t="s">
        <v>149</v>
      </c>
      <c r="R26" s="56" t="s">
        <v>149</v>
      </c>
      <c r="S26" s="56" t="s">
        <v>149</v>
      </c>
      <c r="T26" s="56" t="s">
        <v>149</v>
      </c>
      <c r="U26" s="56" t="s">
        <v>149</v>
      </c>
      <c r="V26" s="56"/>
      <c r="W26" s="6"/>
      <c r="X26" s="6"/>
      <c r="Y26" s="6"/>
      <c r="Z26" s="6"/>
      <c r="AA26" s="6"/>
      <c r="AB26" s="6"/>
      <c r="AC26" s="6"/>
      <c r="AD26" s="6"/>
      <c r="AE26" s="26"/>
    </row>
    <row r="27" spans="2:31" ht="15" customHeight="1" x14ac:dyDescent="0.2">
      <c r="B27" s="49"/>
      <c r="C27" s="127" t="s">
        <v>212</v>
      </c>
      <c r="D27" s="74" t="s">
        <v>169</v>
      </c>
      <c r="E27" s="139">
        <v>10000</v>
      </c>
      <c r="F27" s="139">
        <v>20000</v>
      </c>
      <c r="G27" s="50"/>
      <c r="I27" s="25"/>
      <c r="J27" s="6" t="s">
        <v>145</v>
      </c>
      <c r="K27" s="56"/>
      <c r="L27" s="56" t="s">
        <v>149</v>
      </c>
      <c r="M27" s="56" t="s">
        <v>149</v>
      </c>
      <c r="N27" s="56" t="s">
        <v>149</v>
      </c>
      <c r="O27" s="56" t="s">
        <v>149</v>
      </c>
      <c r="P27" s="56" t="s">
        <v>149</v>
      </c>
      <c r="Q27" s="56" t="s">
        <v>149</v>
      </c>
      <c r="R27" s="56" t="s">
        <v>149</v>
      </c>
      <c r="S27" s="56" t="s">
        <v>149</v>
      </c>
      <c r="T27" s="56" t="s">
        <v>149</v>
      </c>
      <c r="U27" s="56" t="s">
        <v>149</v>
      </c>
      <c r="V27" s="56"/>
      <c r="W27" s="6"/>
      <c r="X27" s="6"/>
      <c r="Y27" s="6"/>
      <c r="Z27" s="6"/>
      <c r="AA27" s="6"/>
      <c r="AB27" s="6"/>
      <c r="AC27" s="6"/>
      <c r="AD27" s="6"/>
      <c r="AE27" s="26"/>
    </row>
    <row r="28" spans="2:31" ht="15" customHeight="1" x14ac:dyDescent="0.2">
      <c r="B28" s="49"/>
      <c r="C28" s="127" t="s">
        <v>211</v>
      </c>
      <c r="D28" s="75" t="s">
        <v>170</v>
      </c>
      <c r="E28" s="139">
        <v>10000</v>
      </c>
      <c r="F28" s="139">
        <v>20000</v>
      </c>
      <c r="G28" s="50"/>
      <c r="I28" s="25"/>
      <c r="J28" s="6" t="s">
        <v>146</v>
      </c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6"/>
      <c r="X28" s="6"/>
      <c r="Y28" s="6"/>
      <c r="Z28" s="6"/>
      <c r="AA28" s="6"/>
      <c r="AB28" s="6"/>
      <c r="AC28" s="6"/>
      <c r="AD28" s="6"/>
      <c r="AE28" s="26"/>
    </row>
    <row r="29" spans="2:31" ht="15" customHeight="1" thickBot="1" x14ac:dyDescent="0.25">
      <c r="B29" s="49"/>
      <c r="C29" s="127" t="s">
        <v>213</v>
      </c>
      <c r="D29" s="76" t="s">
        <v>171</v>
      </c>
      <c r="E29" s="139">
        <v>10000</v>
      </c>
      <c r="F29" s="139">
        <v>20000</v>
      </c>
      <c r="G29" s="50"/>
      <c r="I29" s="27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9"/>
    </row>
    <row r="30" spans="2:31" s="4" customFormat="1" ht="15" customHeight="1" thickBot="1" x14ac:dyDescent="0.25">
      <c r="B30" s="49"/>
      <c r="C30" s="127" t="s">
        <v>214</v>
      </c>
      <c r="D30" s="77" t="s">
        <v>174</v>
      </c>
      <c r="E30" s="139">
        <v>10000</v>
      </c>
      <c r="F30" s="139">
        <v>20000</v>
      </c>
      <c r="G30" s="50"/>
    </row>
    <row r="31" spans="2:31" ht="15" customHeight="1" thickBot="1" x14ac:dyDescent="0.25">
      <c r="B31" s="49"/>
      <c r="C31" s="127" t="s">
        <v>215</v>
      </c>
      <c r="D31" s="78" t="s">
        <v>175</v>
      </c>
      <c r="E31" s="139">
        <v>10000</v>
      </c>
      <c r="F31" s="139">
        <v>20000</v>
      </c>
      <c r="G31" s="50"/>
      <c r="I31" s="33"/>
      <c r="J31" s="34" t="s">
        <v>167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5"/>
    </row>
    <row r="32" spans="2:31" s="4" customFormat="1" ht="15" customHeight="1" thickBot="1" x14ac:dyDescent="0.25">
      <c r="B32" s="49"/>
      <c r="C32" s="127" t="s">
        <v>216</v>
      </c>
      <c r="D32" s="79" t="s">
        <v>176</v>
      </c>
      <c r="E32" s="139">
        <v>10000</v>
      </c>
      <c r="F32" s="139">
        <v>20000</v>
      </c>
      <c r="G32" s="50"/>
    </row>
    <row r="33" spans="2:31" ht="15" customHeight="1" x14ac:dyDescent="0.2">
      <c r="B33" s="49"/>
      <c r="C33" s="138" t="s">
        <v>217</v>
      </c>
      <c r="D33" s="80" t="s">
        <v>180</v>
      </c>
      <c r="E33" s="139">
        <v>10000</v>
      </c>
      <c r="F33" s="139">
        <v>20000</v>
      </c>
      <c r="G33" s="50"/>
      <c r="I33" s="36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8"/>
    </row>
    <row r="34" spans="2:31" ht="15" customHeight="1" x14ac:dyDescent="0.2">
      <c r="B34" s="49"/>
      <c r="C34" s="139" t="s">
        <v>218</v>
      </c>
      <c r="D34" s="81" t="s">
        <v>181</v>
      </c>
      <c r="E34" s="139">
        <v>10000</v>
      </c>
      <c r="F34" s="139">
        <v>20000</v>
      </c>
      <c r="G34" s="50"/>
      <c r="I34" s="39"/>
      <c r="J34" s="8"/>
      <c r="K34" s="8">
        <v>1</v>
      </c>
      <c r="L34" s="8">
        <v>2</v>
      </c>
      <c r="M34" s="8">
        <v>3</v>
      </c>
      <c r="N34" s="8">
        <v>4</v>
      </c>
      <c r="O34" s="8">
        <v>5</v>
      </c>
      <c r="P34" s="8">
        <v>6</v>
      </c>
      <c r="Q34" s="8">
        <v>7</v>
      </c>
      <c r="R34" s="8">
        <v>8</v>
      </c>
      <c r="S34" s="8">
        <v>9</v>
      </c>
      <c r="T34" s="8">
        <v>10</v>
      </c>
      <c r="U34" s="8">
        <v>11</v>
      </c>
      <c r="V34" s="8">
        <v>12</v>
      </c>
      <c r="W34" s="8"/>
      <c r="X34" s="8"/>
      <c r="Y34" s="8"/>
      <c r="Z34" s="8"/>
      <c r="AA34" s="8"/>
      <c r="AB34" s="8"/>
      <c r="AC34" s="8"/>
      <c r="AD34" s="8"/>
      <c r="AE34" s="40"/>
    </row>
    <row r="35" spans="2:31" ht="15" customHeight="1" x14ac:dyDescent="0.2">
      <c r="B35" s="49"/>
      <c r="C35" s="139" t="s">
        <v>219</v>
      </c>
      <c r="D35" s="82" t="s">
        <v>182</v>
      </c>
      <c r="E35" s="139">
        <v>10000</v>
      </c>
      <c r="F35" s="139">
        <v>20000</v>
      </c>
      <c r="G35" s="50"/>
      <c r="I35" s="39"/>
      <c r="J35" s="8" t="s">
        <v>139</v>
      </c>
      <c r="K35" s="61"/>
      <c r="L35" s="61"/>
      <c r="M35" s="61"/>
      <c r="N35" s="57"/>
      <c r="O35" s="57"/>
      <c r="P35" s="57"/>
      <c r="Q35" s="57"/>
      <c r="R35" s="57"/>
      <c r="S35" s="57"/>
      <c r="T35" s="57"/>
      <c r="U35" s="57"/>
      <c r="V35" s="57"/>
      <c r="W35" s="8"/>
      <c r="X35" s="8"/>
      <c r="Y35" s="8"/>
      <c r="Z35" s="8"/>
      <c r="AA35" s="8"/>
      <c r="AB35" s="165" t="s">
        <v>223</v>
      </c>
      <c r="AC35" s="8"/>
      <c r="AD35" s="8"/>
      <c r="AE35" s="40"/>
    </row>
    <row r="36" spans="2:31" ht="15" customHeight="1" x14ac:dyDescent="0.2">
      <c r="B36" s="49"/>
      <c r="C36" s="127"/>
      <c r="D36" s="83" t="s">
        <v>183</v>
      </c>
      <c r="E36" s="139"/>
      <c r="F36" s="139"/>
      <c r="G36" s="50"/>
      <c r="I36" s="39"/>
      <c r="J36" s="8" t="s">
        <v>140</v>
      </c>
      <c r="K36" s="57"/>
      <c r="L36" s="62" t="s">
        <v>66</v>
      </c>
      <c r="M36" s="62" t="s">
        <v>66</v>
      </c>
      <c r="N36" s="62" t="s">
        <v>66</v>
      </c>
      <c r="O36" s="90" t="s">
        <v>67</v>
      </c>
      <c r="P36" s="90" t="s">
        <v>67</v>
      </c>
      <c r="Q36" s="90" t="s">
        <v>67</v>
      </c>
      <c r="R36" s="91" t="s">
        <v>68</v>
      </c>
      <c r="S36" s="91" t="s">
        <v>68</v>
      </c>
      <c r="T36" s="91" t="s">
        <v>68</v>
      </c>
      <c r="U36" s="95" t="s">
        <v>72</v>
      </c>
      <c r="V36" s="57"/>
      <c r="W36" s="8"/>
      <c r="X36" s="8"/>
      <c r="Y36" s="8"/>
      <c r="Z36" s="8"/>
      <c r="AA36" s="8"/>
      <c r="AB36" s="165"/>
      <c r="AC36" s="8"/>
      <c r="AD36" s="8"/>
      <c r="AE36" s="40"/>
    </row>
    <row r="37" spans="2:31" ht="15" customHeight="1" x14ac:dyDescent="0.2">
      <c r="B37" s="49"/>
      <c r="C37" s="127"/>
      <c r="D37" s="84" t="s">
        <v>184</v>
      </c>
      <c r="E37" s="139"/>
      <c r="F37" s="139"/>
      <c r="G37" s="50"/>
      <c r="I37" s="39"/>
      <c r="J37" s="8" t="s">
        <v>141</v>
      </c>
      <c r="K37" s="61"/>
      <c r="L37" s="92" t="s">
        <v>69</v>
      </c>
      <c r="M37" s="92" t="s">
        <v>69</v>
      </c>
      <c r="N37" s="92" t="s">
        <v>69</v>
      </c>
      <c r="O37" s="93" t="s">
        <v>70</v>
      </c>
      <c r="P37" s="93" t="s">
        <v>70</v>
      </c>
      <c r="Q37" s="93" t="s">
        <v>70</v>
      </c>
      <c r="R37" s="94" t="s">
        <v>71</v>
      </c>
      <c r="S37" s="94" t="s">
        <v>71</v>
      </c>
      <c r="T37" s="94" t="s">
        <v>71</v>
      </c>
      <c r="U37" s="95" t="s">
        <v>72</v>
      </c>
      <c r="V37" s="57"/>
      <c r="W37" s="8"/>
      <c r="X37" s="8"/>
      <c r="Y37" s="8"/>
      <c r="Z37" s="8"/>
      <c r="AA37" s="8"/>
      <c r="AB37" s="8"/>
      <c r="AC37" s="8"/>
      <c r="AD37" s="8"/>
      <c r="AE37" s="40"/>
    </row>
    <row r="38" spans="2:31" ht="15" customHeight="1" x14ac:dyDescent="0.2">
      <c r="B38" s="49"/>
      <c r="C38" s="127"/>
      <c r="D38" s="85" t="s">
        <v>177</v>
      </c>
      <c r="E38" s="139"/>
      <c r="F38" s="139"/>
      <c r="G38" s="50"/>
      <c r="I38" s="39"/>
      <c r="J38" s="8" t="s">
        <v>142</v>
      </c>
      <c r="K38" s="61"/>
      <c r="L38" s="96" t="s">
        <v>73</v>
      </c>
      <c r="M38" s="96" t="s">
        <v>73</v>
      </c>
      <c r="N38" s="96" t="s">
        <v>73</v>
      </c>
      <c r="O38" s="140" t="s">
        <v>74</v>
      </c>
      <c r="P38" s="141" t="s">
        <v>74</v>
      </c>
      <c r="Q38" s="141" t="s">
        <v>74</v>
      </c>
      <c r="R38" s="142" t="s">
        <v>75</v>
      </c>
      <c r="S38" s="143" t="s">
        <v>75</v>
      </c>
      <c r="T38" s="143" t="s">
        <v>75</v>
      </c>
      <c r="U38" s="130" t="s">
        <v>170</v>
      </c>
      <c r="V38" s="57"/>
      <c r="W38" s="8"/>
      <c r="X38" s="8"/>
      <c r="Y38" s="8"/>
      <c r="Z38" s="8"/>
      <c r="AA38" s="8"/>
      <c r="AB38" s="165"/>
      <c r="AC38" s="8"/>
      <c r="AD38" s="8"/>
      <c r="AE38" s="40"/>
    </row>
    <row r="39" spans="2:31" ht="15" customHeight="1" x14ac:dyDescent="0.2">
      <c r="B39" s="49"/>
      <c r="C39" s="127"/>
      <c r="D39" s="86" t="s">
        <v>179</v>
      </c>
      <c r="E39" s="139"/>
      <c r="F39" s="139"/>
      <c r="G39" s="50"/>
      <c r="I39" s="39"/>
      <c r="J39" s="8" t="s">
        <v>143</v>
      </c>
      <c r="K39" s="61"/>
      <c r="L39" s="144" t="s">
        <v>76</v>
      </c>
      <c r="M39" s="145" t="s">
        <v>76</v>
      </c>
      <c r="N39" s="145" t="s">
        <v>76</v>
      </c>
      <c r="O39" s="97" t="s">
        <v>77</v>
      </c>
      <c r="P39" s="97" t="s">
        <v>77</v>
      </c>
      <c r="Q39" s="97" t="s">
        <v>77</v>
      </c>
      <c r="R39" s="98" t="s">
        <v>169</v>
      </c>
      <c r="S39" s="98" t="s">
        <v>169</v>
      </c>
      <c r="T39" s="98" t="s">
        <v>169</v>
      </c>
      <c r="U39" s="130" t="s">
        <v>170</v>
      </c>
      <c r="V39" s="57"/>
      <c r="W39" s="8"/>
      <c r="X39" s="8"/>
      <c r="Y39" s="8"/>
      <c r="Z39" s="8"/>
      <c r="AA39" s="8"/>
      <c r="AB39" s="165"/>
      <c r="AC39" s="8"/>
      <c r="AD39" s="8"/>
      <c r="AE39" s="40"/>
    </row>
    <row r="40" spans="2:31" ht="15" customHeight="1" x14ac:dyDescent="0.2">
      <c r="B40" s="49"/>
      <c r="C40" s="127"/>
      <c r="D40" s="87" t="s">
        <v>178</v>
      </c>
      <c r="E40" s="139"/>
      <c r="F40" s="139"/>
      <c r="G40" s="50"/>
      <c r="I40" s="39"/>
      <c r="J40" s="8" t="s">
        <v>144</v>
      </c>
      <c r="K40" s="61"/>
      <c r="L40" s="99" t="s">
        <v>171</v>
      </c>
      <c r="M40" s="99" t="s">
        <v>171</v>
      </c>
      <c r="N40" s="99" t="s">
        <v>171</v>
      </c>
      <c r="O40" s="146" t="s">
        <v>174</v>
      </c>
      <c r="P40" s="146" t="s">
        <v>174</v>
      </c>
      <c r="Q40" s="146" t="s">
        <v>174</v>
      </c>
      <c r="R40" s="147" t="s">
        <v>175</v>
      </c>
      <c r="S40" s="147" t="s">
        <v>175</v>
      </c>
      <c r="T40" s="147" t="s">
        <v>175</v>
      </c>
      <c r="U40" s="151" t="s">
        <v>182</v>
      </c>
      <c r="V40" s="57"/>
      <c r="W40" s="8"/>
      <c r="X40" s="8"/>
      <c r="Y40" s="8"/>
      <c r="Z40" s="8"/>
      <c r="AA40" s="8"/>
      <c r="AB40" s="8"/>
      <c r="AC40" s="8"/>
      <c r="AD40" s="8"/>
      <c r="AE40" s="40"/>
    </row>
    <row r="41" spans="2:31" ht="15" customHeight="1" x14ac:dyDescent="0.2">
      <c r="B41" s="49"/>
      <c r="C41" s="128"/>
      <c r="D41" s="88" t="s">
        <v>185</v>
      </c>
      <c r="E41" s="155"/>
      <c r="F41" s="155"/>
      <c r="G41" s="50"/>
      <c r="I41" s="39"/>
      <c r="J41" s="8" t="s">
        <v>145</v>
      </c>
      <c r="K41" s="61"/>
      <c r="L41" s="148" t="s">
        <v>176</v>
      </c>
      <c r="M41" s="148" t="s">
        <v>176</v>
      </c>
      <c r="N41" s="148" t="s">
        <v>176</v>
      </c>
      <c r="O41" s="149" t="s">
        <v>180</v>
      </c>
      <c r="P41" s="149" t="s">
        <v>180</v>
      </c>
      <c r="Q41" s="149" t="s">
        <v>180</v>
      </c>
      <c r="R41" s="150" t="s">
        <v>181</v>
      </c>
      <c r="S41" s="150" t="s">
        <v>181</v>
      </c>
      <c r="T41" s="150" t="s">
        <v>181</v>
      </c>
      <c r="U41" s="151" t="s">
        <v>182</v>
      </c>
      <c r="V41" s="57"/>
      <c r="W41" s="8"/>
      <c r="X41" s="8"/>
      <c r="Y41" s="8"/>
      <c r="Z41" s="8"/>
      <c r="AA41" s="8"/>
      <c r="AB41" s="162" t="s">
        <v>227</v>
      </c>
      <c r="AC41" s="8"/>
      <c r="AD41" s="8"/>
      <c r="AE41" s="40"/>
    </row>
    <row r="42" spans="2:31" ht="15" customHeight="1" x14ac:dyDescent="0.2">
      <c r="B42" s="49"/>
      <c r="C42" s="129"/>
      <c r="D42" s="89" t="s">
        <v>186</v>
      </c>
      <c r="E42" s="129"/>
      <c r="F42" s="129"/>
      <c r="G42" s="50"/>
      <c r="I42" s="39"/>
      <c r="J42" s="8" t="s">
        <v>146</v>
      </c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8"/>
      <c r="X42" s="8"/>
      <c r="Y42" s="8"/>
      <c r="Z42" s="8"/>
      <c r="AA42" s="8"/>
      <c r="AB42" s="162"/>
      <c r="AC42" s="8"/>
      <c r="AD42" s="8"/>
      <c r="AE42" s="40"/>
    </row>
    <row r="43" spans="2:31" ht="15" customHeight="1" thickBot="1" x14ac:dyDescent="0.25">
      <c r="B43" s="51"/>
      <c r="C43" s="100"/>
      <c r="D43" s="100"/>
      <c r="E43" s="100"/>
      <c r="F43" s="100"/>
      <c r="G43" s="52"/>
      <c r="I43" s="41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3"/>
    </row>
    <row r="44" spans="2:31" s="4" customFormat="1" ht="15" customHeight="1" x14ac:dyDescent="0.2"/>
    <row r="45" spans="2:31" s="4" customFormat="1" ht="15" customHeight="1" x14ac:dyDescent="0.2"/>
    <row r="46" spans="2:31" s="4" customFormat="1" ht="15" customHeight="1" x14ac:dyDescent="0.2"/>
    <row r="47" spans="2:31" s="4" customFormat="1" ht="15" customHeight="1" x14ac:dyDescent="0.2"/>
    <row r="48" spans="2:31" s="4" customFormat="1" ht="15" customHeight="1" x14ac:dyDescent="0.2"/>
    <row r="49" s="4" customFormat="1" ht="15" customHeight="1" x14ac:dyDescent="0.2"/>
    <row r="50" s="4" customFormat="1" ht="15" customHeight="1" x14ac:dyDescent="0.2"/>
    <row r="51" s="4" customFormat="1" ht="15" customHeight="1" x14ac:dyDescent="0.2"/>
    <row r="52" s="4" customFormat="1" ht="15" customHeight="1" x14ac:dyDescent="0.2"/>
    <row r="53" s="4" customFormat="1" ht="15" customHeight="1" x14ac:dyDescent="0.2"/>
    <row r="54" s="4" customFormat="1" ht="15" customHeight="1" x14ac:dyDescent="0.2"/>
    <row r="55" s="4" customFormat="1" ht="15" customHeight="1" x14ac:dyDescent="0.2"/>
    <row r="56" s="4" customFormat="1" ht="15" customHeight="1" x14ac:dyDescent="0.2"/>
    <row r="57" s="4" customFormat="1" ht="15" customHeight="1" x14ac:dyDescent="0.2"/>
    <row r="58" s="4" customFormat="1" ht="15" customHeight="1" x14ac:dyDescent="0.2"/>
    <row r="59" s="4" customFormat="1" ht="15" customHeight="1" x14ac:dyDescent="0.2"/>
    <row r="60" s="4" customFormat="1" ht="15" customHeight="1" x14ac:dyDescent="0.2"/>
    <row r="61" s="4" customFormat="1" ht="15" customHeight="1" x14ac:dyDescent="0.2"/>
    <row r="62" s="4" customFormat="1" ht="15" customHeight="1" x14ac:dyDescent="0.2"/>
    <row r="63" s="4" customFormat="1" ht="15" customHeight="1" x14ac:dyDescent="0.2"/>
    <row r="64" s="4" customFormat="1" ht="15" customHeight="1" x14ac:dyDescent="0.2"/>
    <row r="65" s="4" customFormat="1" ht="15" customHeight="1" x14ac:dyDescent="0.2"/>
    <row r="66" s="4" customFormat="1" ht="15" customHeight="1" x14ac:dyDescent="0.2"/>
    <row r="67" s="4" customFormat="1" ht="15" customHeight="1" x14ac:dyDescent="0.2"/>
    <row r="68" s="4" customFormat="1" ht="15" customHeight="1" x14ac:dyDescent="0.2"/>
    <row r="69" s="4" customFormat="1" ht="15" customHeight="1" x14ac:dyDescent="0.2"/>
    <row r="70" s="4" customFormat="1" ht="15" customHeight="1" x14ac:dyDescent="0.2"/>
    <row r="71" s="4" customFormat="1" ht="15" customHeight="1" x14ac:dyDescent="0.2"/>
    <row r="72" s="4" customFormat="1" ht="15" customHeight="1" x14ac:dyDescent="0.2"/>
    <row r="73" s="4" customFormat="1" ht="15" customHeight="1" x14ac:dyDescent="0.2"/>
    <row r="74" s="4" customFormat="1" ht="15" customHeight="1" x14ac:dyDescent="0.2"/>
    <row r="75" s="4" customFormat="1" ht="15" customHeight="1" x14ac:dyDescent="0.2"/>
    <row r="76" s="4" customFormat="1" ht="15" customHeight="1" x14ac:dyDescent="0.2"/>
    <row r="77" s="4" customFormat="1" ht="15" customHeight="1" x14ac:dyDescent="0.2"/>
    <row r="78" s="4" customFormat="1" ht="15" customHeight="1" x14ac:dyDescent="0.2"/>
    <row r="79" s="4" customFormat="1" ht="15" customHeight="1" x14ac:dyDescent="0.2"/>
    <row r="80" s="4" customFormat="1" ht="15" customHeight="1" x14ac:dyDescent="0.2"/>
    <row r="81" s="4" customFormat="1" ht="15" customHeight="1" x14ac:dyDescent="0.2"/>
    <row r="82" s="4" customFormat="1" ht="15" customHeight="1" x14ac:dyDescent="0.2"/>
    <row r="83" s="4" customFormat="1" ht="15" customHeight="1" x14ac:dyDescent="0.2"/>
    <row r="84" s="4" customFormat="1" ht="15" customHeight="1" x14ac:dyDescent="0.2"/>
    <row r="85" s="4" customFormat="1" ht="15" customHeight="1" x14ac:dyDescent="0.2"/>
    <row r="86" s="4" customFormat="1" ht="15" customHeight="1" x14ac:dyDescent="0.2"/>
    <row r="87" s="4" customFormat="1" ht="15" customHeight="1" x14ac:dyDescent="0.2"/>
    <row r="88" s="4" customFormat="1" ht="15" customHeight="1" x14ac:dyDescent="0.2"/>
    <row r="89" s="4" customFormat="1" ht="15" customHeight="1" x14ac:dyDescent="0.2"/>
    <row r="90" s="4" customFormat="1" ht="15" customHeight="1" x14ac:dyDescent="0.2"/>
    <row r="91" s="4" customFormat="1" ht="15" customHeight="1" x14ac:dyDescent="0.2"/>
    <row r="92" s="4" customFormat="1" ht="15" customHeight="1" x14ac:dyDescent="0.2"/>
    <row r="93" s="4" customFormat="1" ht="15" customHeight="1" x14ac:dyDescent="0.2"/>
    <row r="94" s="4" customFormat="1" ht="15" customHeight="1" x14ac:dyDescent="0.2"/>
    <row r="95" s="4" customFormat="1" ht="15" customHeight="1" x14ac:dyDescent="0.2"/>
    <row r="96" s="4" customFormat="1" ht="15" customHeight="1" x14ac:dyDescent="0.2"/>
    <row r="97" s="4" customFormat="1" ht="15" customHeight="1" x14ac:dyDescent="0.2"/>
    <row r="98" s="4" customFormat="1" ht="15" customHeight="1" x14ac:dyDescent="0.2"/>
    <row r="99" s="4" customFormat="1" ht="15" customHeight="1" x14ac:dyDescent="0.2"/>
    <row r="100" s="4" customFormat="1" ht="15" customHeight="1" x14ac:dyDescent="0.2"/>
    <row r="101" s="4" customFormat="1" ht="15" customHeight="1" x14ac:dyDescent="0.2"/>
    <row r="102" s="4" customFormat="1" ht="15" customHeight="1" x14ac:dyDescent="0.2"/>
    <row r="103" s="4" customFormat="1" ht="15" customHeight="1" x14ac:dyDescent="0.2"/>
    <row r="104" s="4" customFormat="1" ht="15" customHeight="1" x14ac:dyDescent="0.2"/>
    <row r="105" s="4" customFormat="1" ht="15" customHeight="1" x14ac:dyDescent="0.2"/>
    <row r="106" s="4" customFormat="1" ht="15" customHeight="1" x14ac:dyDescent="0.2"/>
    <row r="107" s="4" customFormat="1" ht="15" customHeight="1" x14ac:dyDescent="0.2"/>
    <row r="108" s="4" customFormat="1" ht="15" customHeight="1" x14ac:dyDescent="0.2"/>
    <row r="109" s="4" customFormat="1" ht="15" customHeight="1" x14ac:dyDescent="0.2"/>
    <row r="110" s="4" customFormat="1" ht="15" customHeight="1" x14ac:dyDescent="0.2"/>
    <row r="111" s="4" customFormat="1" ht="15" customHeight="1" x14ac:dyDescent="0.2"/>
    <row r="112" s="4" customFormat="1" ht="15" customHeight="1" x14ac:dyDescent="0.2"/>
    <row r="113" s="4" customFormat="1" ht="15" customHeight="1" x14ac:dyDescent="0.2"/>
    <row r="114" s="4" customFormat="1" ht="15" customHeight="1" x14ac:dyDescent="0.2"/>
    <row r="115" s="4" customFormat="1" ht="15" customHeight="1" x14ac:dyDescent="0.2"/>
    <row r="116" s="4" customFormat="1" ht="15" customHeight="1" x14ac:dyDescent="0.2"/>
    <row r="117" s="4" customFormat="1" ht="15" customHeight="1" x14ac:dyDescent="0.2"/>
    <row r="118" s="4" customFormat="1" ht="15" customHeight="1" x14ac:dyDescent="0.2"/>
    <row r="119" s="4" customFormat="1" ht="15" customHeight="1" x14ac:dyDescent="0.2"/>
    <row r="120" s="4" customFormat="1" ht="15" customHeight="1" x14ac:dyDescent="0.2"/>
    <row r="121" s="4" customFormat="1" ht="15" customHeight="1" x14ac:dyDescent="0.2"/>
    <row r="122" s="4" customFormat="1" ht="15" customHeight="1" x14ac:dyDescent="0.2"/>
    <row r="123" s="4" customFormat="1" ht="15" customHeight="1" x14ac:dyDescent="0.2"/>
    <row r="124" s="4" customFormat="1" ht="15" customHeight="1" x14ac:dyDescent="0.2"/>
    <row r="125" s="4" customFormat="1" ht="15" customHeight="1" x14ac:dyDescent="0.2"/>
    <row r="126" s="4" customFormat="1" ht="15" customHeight="1" x14ac:dyDescent="0.2"/>
    <row r="127" s="4" customFormat="1" ht="15" customHeight="1" x14ac:dyDescent="0.2"/>
    <row r="128" s="4" customFormat="1" ht="15" customHeight="1" x14ac:dyDescent="0.2"/>
    <row r="129" s="4" customFormat="1" ht="15" customHeight="1" x14ac:dyDescent="0.2"/>
    <row r="130" s="4" customFormat="1" ht="15" customHeight="1" x14ac:dyDescent="0.2"/>
    <row r="131" s="4" customFormat="1" ht="15" customHeight="1" x14ac:dyDescent="0.2"/>
    <row r="132" s="4" customFormat="1" ht="15" customHeight="1" x14ac:dyDescent="0.2"/>
    <row r="133" s="4" customFormat="1" ht="15" customHeight="1" x14ac:dyDescent="0.2"/>
    <row r="134" s="4" customFormat="1" ht="15" customHeight="1" x14ac:dyDescent="0.2"/>
    <row r="135" s="4" customFormat="1" ht="15" customHeight="1" x14ac:dyDescent="0.2"/>
    <row r="136" s="4" customFormat="1" ht="15" customHeight="1" x14ac:dyDescent="0.2"/>
    <row r="137" s="4" customFormat="1" ht="15" customHeight="1" x14ac:dyDescent="0.2"/>
    <row r="138" s="4" customFormat="1" ht="15" customHeight="1" x14ac:dyDescent="0.2"/>
    <row r="139" s="4" customFormat="1" ht="15" customHeight="1" x14ac:dyDescent="0.2"/>
    <row r="140" s="4" customFormat="1" ht="15" customHeight="1" x14ac:dyDescent="0.2"/>
    <row r="141" s="4" customFormat="1" ht="15" customHeight="1" x14ac:dyDescent="0.2"/>
    <row r="142" s="4" customFormat="1" ht="15" customHeight="1" x14ac:dyDescent="0.2"/>
    <row r="143" s="4" customFormat="1" ht="15" customHeight="1" x14ac:dyDescent="0.2"/>
    <row r="144" s="4" customFormat="1" ht="15" customHeight="1" x14ac:dyDescent="0.2"/>
    <row r="145" s="4" customFormat="1" ht="15" customHeight="1" x14ac:dyDescent="0.2"/>
    <row r="146" s="4" customFormat="1" ht="15" customHeight="1" x14ac:dyDescent="0.2"/>
    <row r="147" s="4" customFormat="1" ht="15" customHeight="1" x14ac:dyDescent="0.2"/>
    <row r="148" s="4" customFormat="1" ht="15" customHeight="1" x14ac:dyDescent="0.2"/>
    <row r="149" s="4" customFormat="1" ht="15" customHeight="1" x14ac:dyDescent="0.2"/>
    <row r="150" s="4" customFormat="1" ht="15" customHeight="1" x14ac:dyDescent="0.2"/>
    <row r="151" s="4" customFormat="1" ht="15" customHeight="1" x14ac:dyDescent="0.2"/>
    <row r="152" s="4" customFormat="1" ht="15" customHeight="1" x14ac:dyDescent="0.2"/>
    <row r="153" s="4" customFormat="1" ht="15" customHeight="1" x14ac:dyDescent="0.2"/>
    <row r="154" s="4" customFormat="1" ht="15" customHeight="1" x14ac:dyDescent="0.2"/>
    <row r="155" s="4" customFormat="1" ht="15" customHeight="1" x14ac:dyDescent="0.2"/>
    <row r="156" s="4" customFormat="1" ht="15" customHeight="1" x14ac:dyDescent="0.2"/>
    <row r="157" s="4" customFormat="1" ht="15" customHeight="1" x14ac:dyDescent="0.2"/>
    <row r="158" s="4" customFormat="1" ht="15" customHeight="1" x14ac:dyDescent="0.2"/>
    <row r="159" s="4" customFormat="1" ht="15" customHeight="1" x14ac:dyDescent="0.2"/>
    <row r="160" s="4" customFormat="1" ht="15" customHeight="1" x14ac:dyDescent="0.2"/>
    <row r="161" s="4" customFormat="1" ht="15" customHeight="1" x14ac:dyDescent="0.2"/>
    <row r="162" s="4" customFormat="1" ht="15" customHeight="1" x14ac:dyDescent="0.2"/>
    <row r="163" s="4" customFormat="1" ht="15" customHeight="1" x14ac:dyDescent="0.2"/>
    <row r="164" s="4" customFormat="1" ht="15" customHeight="1" x14ac:dyDescent="0.2"/>
    <row r="165" s="4" customFormat="1" ht="15" customHeight="1" x14ac:dyDescent="0.2"/>
    <row r="166" s="4" customFormat="1" ht="15" customHeight="1" x14ac:dyDescent="0.2"/>
    <row r="167" s="4" customFormat="1" ht="15" customHeight="1" x14ac:dyDescent="0.2"/>
    <row r="168" s="4" customFormat="1" ht="15" customHeight="1" x14ac:dyDescent="0.2"/>
    <row r="169" s="4" customFormat="1" ht="15" customHeight="1" x14ac:dyDescent="0.2"/>
    <row r="170" s="4" customFormat="1" ht="15" customHeight="1" x14ac:dyDescent="0.2"/>
    <row r="171" s="4" customFormat="1" ht="15" customHeight="1" x14ac:dyDescent="0.2"/>
    <row r="172" s="4" customFormat="1" ht="15" customHeight="1" x14ac:dyDescent="0.2"/>
    <row r="173" s="4" customFormat="1" ht="15" customHeight="1" x14ac:dyDescent="0.2"/>
    <row r="174" s="4" customFormat="1" ht="15" customHeight="1" x14ac:dyDescent="0.2"/>
    <row r="175" s="4" customFormat="1" ht="15" customHeight="1" x14ac:dyDescent="0.2"/>
    <row r="176" s="4" customFormat="1" ht="15" customHeight="1" x14ac:dyDescent="0.2"/>
    <row r="177" s="4" customFormat="1" ht="15" customHeight="1" x14ac:dyDescent="0.2"/>
    <row r="178" s="4" customFormat="1" ht="15" customHeight="1" x14ac:dyDescent="0.2"/>
    <row r="179" s="4" customFormat="1" ht="15" customHeight="1" x14ac:dyDescent="0.2"/>
    <row r="180" s="4" customFormat="1" ht="15" customHeight="1" x14ac:dyDescent="0.2"/>
    <row r="181" s="4" customFormat="1" ht="15" customHeight="1" x14ac:dyDescent="0.2"/>
    <row r="182" s="4" customFormat="1" ht="15" customHeight="1" x14ac:dyDescent="0.2"/>
    <row r="183" s="4" customFormat="1" ht="15" customHeight="1" x14ac:dyDescent="0.2"/>
    <row r="184" s="4" customFormat="1" ht="15" customHeight="1" x14ac:dyDescent="0.2"/>
    <row r="185" s="4" customFormat="1" ht="15" customHeight="1" x14ac:dyDescent="0.2"/>
    <row r="186" s="4" customFormat="1" ht="15" customHeight="1" x14ac:dyDescent="0.2"/>
    <row r="187" s="4" customFormat="1" ht="15" customHeight="1" x14ac:dyDescent="0.2"/>
    <row r="188" s="4" customFormat="1" ht="15" customHeight="1" x14ac:dyDescent="0.2"/>
    <row r="189" s="4" customFormat="1" ht="15" customHeight="1" x14ac:dyDescent="0.2"/>
    <row r="190" s="4" customFormat="1" ht="15" customHeight="1" x14ac:dyDescent="0.2"/>
    <row r="191" s="4" customFormat="1" ht="15" customHeight="1" x14ac:dyDescent="0.2"/>
    <row r="192" s="4" customFormat="1" ht="15" customHeight="1" x14ac:dyDescent="0.2"/>
    <row r="193" s="4" customFormat="1" ht="15" customHeight="1" x14ac:dyDescent="0.2"/>
    <row r="194" s="4" customFormat="1" ht="15" customHeight="1" x14ac:dyDescent="0.2"/>
    <row r="195" s="4" customFormat="1" ht="15" customHeight="1" x14ac:dyDescent="0.2"/>
    <row r="196" s="4" customFormat="1" ht="15" customHeight="1" x14ac:dyDescent="0.2"/>
    <row r="197" s="4" customFormat="1" ht="15" customHeight="1" x14ac:dyDescent="0.2"/>
    <row r="198" s="4" customFormat="1" ht="15" customHeight="1" x14ac:dyDescent="0.2"/>
    <row r="199" s="4" customFormat="1" ht="15" customHeight="1" x14ac:dyDescent="0.2"/>
    <row r="200" s="4" customFormat="1" ht="15" customHeight="1" x14ac:dyDescent="0.2"/>
    <row r="201" s="4" customFormat="1" ht="15" customHeight="1" x14ac:dyDescent="0.2"/>
    <row r="202" s="4" customFormat="1" ht="15" customHeight="1" x14ac:dyDescent="0.2"/>
    <row r="203" s="4" customFormat="1" ht="15" customHeight="1" x14ac:dyDescent="0.2"/>
    <row r="204" s="4" customFormat="1" ht="15" customHeight="1" x14ac:dyDescent="0.2"/>
    <row r="205" s="4" customFormat="1" ht="15" customHeight="1" x14ac:dyDescent="0.2"/>
    <row r="206" s="4" customFormat="1" ht="15" customHeight="1" x14ac:dyDescent="0.2"/>
    <row r="207" s="4" customFormat="1" ht="15" customHeight="1" x14ac:dyDescent="0.2"/>
    <row r="208" s="4" customFormat="1" ht="15" customHeight="1" x14ac:dyDescent="0.2"/>
    <row r="209" s="4" customFormat="1" ht="15" customHeight="1" x14ac:dyDescent="0.2"/>
    <row r="210" s="4" customFormat="1" ht="15" customHeight="1" x14ac:dyDescent="0.2"/>
    <row r="211" s="4" customFormat="1" ht="15" customHeight="1" x14ac:dyDescent="0.2"/>
    <row r="212" s="4" customFormat="1" ht="15" customHeight="1" x14ac:dyDescent="0.2"/>
    <row r="213" s="4" customFormat="1" ht="15" customHeight="1" x14ac:dyDescent="0.2"/>
    <row r="214" s="4" customFormat="1" ht="15" customHeight="1" x14ac:dyDescent="0.2"/>
    <row r="215" s="4" customFormat="1" ht="15" customHeight="1" x14ac:dyDescent="0.2"/>
    <row r="216" s="4" customFormat="1" ht="15" customHeight="1" x14ac:dyDescent="0.2"/>
    <row r="217" s="4" customFormat="1" ht="15" customHeight="1" x14ac:dyDescent="0.2"/>
    <row r="218" s="4" customFormat="1" ht="15" customHeight="1" x14ac:dyDescent="0.2"/>
    <row r="219" s="4" customFormat="1" ht="15" customHeight="1" x14ac:dyDescent="0.2"/>
    <row r="220" s="4" customFormat="1" ht="15" customHeight="1" x14ac:dyDescent="0.2"/>
    <row r="221" s="4" customFormat="1" ht="15" customHeight="1" x14ac:dyDescent="0.2"/>
    <row r="222" s="4" customFormat="1" ht="15" customHeight="1" x14ac:dyDescent="0.2"/>
  </sheetData>
  <mergeCells count="8">
    <mergeCell ref="E5:F5"/>
    <mergeCell ref="AB41:AB42"/>
    <mergeCell ref="E13:F13"/>
    <mergeCell ref="AB35:AB36"/>
    <mergeCell ref="AB38:AB39"/>
    <mergeCell ref="E6:F6"/>
    <mergeCell ref="E8:F8"/>
    <mergeCell ref="E10:F10"/>
  </mergeCells>
  <phoneticPr fontId="6" type="noConversion"/>
  <conditionalFormatting sqref="K15:AD16 K29:AD29 K21:V21 K7:V13 O36:Q36 U36:V39 K37:T37 K39 K38:N38 M6:V6 Y6:Y13 K22 M22:V22 K23:V28 R39:T40 O39:Q39 AA6:AA13">
    <cfRule type="expression" dxfId="20" priority="1">
      <formula>K6="W8"</formula>
    </cfRule>
    <cfRule type="expression" dxfId="19" priority="2">
      <formula>K6="W7"</formula>
    </cfRule>
    <cfRule type="expression" dxfId="18" priority="3">
      <formula>K6="W6"</formula>
    </cfRule>
    <cfRule type="expression" dxfId="17" priority="4">
      <formula>K6="W5"</formula>
    </cfRule>
    <cfRule type="expression" dxfId="16" priority="122">
      <formula>K6="W4"</formula>
    </cfRule>
    <cfRule type="expression" dxfId="15" priority="123">
      <formula>K6="W3"</formula>
    </cfRule>
    <cfRule type="expression" dxfId="14" priority="124">
      <formula>K6="W2"</formula>
    </cfRule>
  </conditionalFormatting>
  <conditionalFormatting sqref="AB6:AB13">
    <cfRule type="expression" dxfId="13" priority="22">
      <formula>AB6="W4"</formula>
    </cfRule>
    <cfRule type="expression" dxfId="12" priority="23">
      <formula>AB6="W3"</formula>
    </cfRule>
    <cfRule type="expression" dxfId="11" priority="24">
      <formula>AB6="W2"</formula>
    </cfRule>
    <cfRule type="expression" dxfId="10" priority="25">
      <formula>AB6="W1"</formula>
    </cfRule>
  </conditionalFormatting>
  <conditionalFormatting sqref="K30:AD30 K43:AD43 K35:V35 K36 K41:V42 K40:Q40 U40:V40">
    <cfRule type="expression" dxfId="9" priority="18">
      <formula>K30="W4"</formula>
    </cfRule>
    <cfRule type="expression" dxfId="8" priority="19">
      <formula>K30="W3"</formula>
    </cfRule>
    <cfRule type="expression" dxfId="7" priority="20">
      <formula>K30="W2"</formula>
    </cfRule>
    <cfRule type="expression" dxfId="6" priority="21">
      <formula>K30="W1"</formula>
    </cfRule>
  </conditionalFormatting>
  <conditionalFormatting sqref="R36:T36">
    <cfRule type="expression" dxfId="5" priority="14">
      <formula>R36="W4"</formula>
    </cfRule>
    <cfRule type="expression" dxfId="4" priority="15">
      <formula>R36="W3"</formula>
    </cfRule>
    <cfRule type="expression" dxfId="3" priority="16">
      <formula>R36="W2"</formula>
    </cfRule>
    <cfRule type="expression" dxfId="2" priority="17">
      <formula>R36="W1"</formula>
    </cfRule>
  </conditionalFormatting>
  <conditionalFormatting sqref="D11">
    <cfRule type="notContainsText" dxfId="1" priority="9" operator="notContains" text="OK">
      <formula>ISERROR(SEARCH("OK",D11))</formula>
    </cfRule>
  </conditionalFormatting>
  <conditionalFormatting sqref="K7:V13 K21:V21 K22 M22:V22 K23:V28 L6:V6">
    <cfRule type="expression" dxfId="0" priority="126">
      <formula>K6="W1"</formula>
    </cfRule>
  </conditionalFormatting>
  <dataValidations count="1">
    <dataValidation type="list" allowBlank="1" showInputMessage="1" showErrorMessage="1" sqref="M21:V28 K21:K28 L21 L23:L28 K7:K13 L6:V13" xr:uid="{00000000-0002-0000-0000-000000000000}">
      <formula1>"W1,W2,W3,W4,W5,W6,W7,W8"</formula1>
    </dataValidation>
  </dataValidations>
  <pageMargins left="0.75" right="0.75" top="1" bottom="1" header="0.5" footer="0.5"/>
  <pageSetup paperSize="9" scale="31" orientation="portrait" horizontalDpi="4294967292" verticalDpi="4294967292" r:id="rId1"/>
  <colBreaks count="2" manualBreakCount="2">
    <brk id="54" max="1048575" man="1"/>
    <brk id="9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workbook_one">
                <anchor moveWithCells="1">
                  <from>
                    <xdr:col>23</xdr:col>
                    <xdr:colOff>139700</xdr:colOff>
                    <xdr:row>34</xdr:row>
                    <xdr:rowOff>12700</xdr:rowOff>
                  </from>
                  <to>
                    <xdr:col>26</xdr:col>
                    <xdr:colOff>749300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fresh_workbook_all">
                <anchor moveWithCells="1">
                  <from>
                    <xdr:col>28</xdr:col>
                    <xdr:colOff>63500</xdr:colOff>
                    <xdr:row>34</xdr:row>
                    <xdr:rowOff>25400</xdr:rowOff>
                  </from>
                  <to>
                    <xdr:col>29</xdr:col>
                    <xdr:colOff>609600</xdr:colOff>
                    <xdr:row>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calc" altText="calc.">
                <anchor moveWithCells="1">
                  <from>
                    <xdr:col>22</xdr:col>
                    <xdr:colOff>63500</xdr:colOff>
                    <xdr:row>3</xdr:row>
                    <xdr:rowOff>114300</xdr:rowOff>
                  </from>
                  <to>
                    <xdr:col>23</xdr:col>
                    <xdr:colOff>393700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7" name="Button 28">
              <controlPr defaultSize="0" print="0" autoFill="0" autoPict="0" macro="[0]!clear_workbook">
                <anchor moveWithCells="1">
                  <from>
                    <xdr:col>23</xdr:col>
                    <xdr:colOff>139700</xdr:colOff>
                    <xdr:row>37</xdr:row>
                    <xdr:rowOff>12700</xdr:rowOff>
                  </from>
                  <to>
                    <xdr:col>29</xdr:col>
                    <xdr:colOff>622300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8" name="Button 33">
              <controlPr defaultSize="0" print="0" autoFill="0" autoPict="0" macro="[0]!calibrate_one">
                <anchor moveWithCells="1">
                  <from>
                    <xdr:col>23</xdr:col>
                    <xdr:colOff>152400</xdr:colOff>
                    <xdr:row>40</xdr:row>
                    <xdr:rowOff>12700</xdr:rowOff>
                  </from>
                  <to>
                    <xdr:col>26</xdr:col>
                    <xdr:colOff>749300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9" name="Button 34">
              <controlPr defaultSize="0" print="0" autoFill="0" autoPict="0" macro="[0]!calibrate_all">
                <anchor moveWithCells="1">
                  <from>
                    <xdr:col>28</xdr:col>
                    <xdr:colOff>88900</xdr:colOff>
                    <xdr:row>40</xdr:row>
                    <xdr:rowOff>25400</xdr:rowOff>
                  </from>
                  <to>
                    <xdr:col>29</xdr:col>
                    <xdr:colOff>622300</xdr:colOff>
                    <xdr:row>42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M139"/>
  <sheetViews>
    <sheetView workbookViewId="0">
      <selection activeCell="B120" sqref="B120"/>
    </sheetView>
  </sheetViews>
  <sheetFormatPr baseColWidth="10" defaultRowHeight="15" x14ac:dyDescent="0.2"/>
  <cols>
    <col min="5" max="5" width="11.1640625" customWidth="1"/>
  </cols>
  <sheetData>
    <row r="1" spans="1:33" x14ac:dyDescent="0.2">
      <c r="A1" s="131" t="s">
        <v>0</v>
      </c>
      <c r="B1" s="131"/>
      <c r="C1" s="131"/>
      <c r="D1" s="131"/>
      <c r="E1" s="131" t="s">
        <v>1</v>
      </c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</row>
    <row r="2" spans="1:33" x14ac:dyDescent="0.2">
      <c r="A2" s="131" t="s">
        <v>2</v>
      </c>
      <c r="B2" s="131"/>
      <c r="C2" s="131"/>
      <c r="D2" s="131"/>
      <c r="E2" s="131" t="s">
        <v>3</v>
      </c>
      <c r="F2" s="131"/>
      <c r="G2" s="131"/>
      <c r="H2" s="131"/>
      <c r="I2" s="131" t="s">
        <v>4</v>
      </c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</row>
    <row r="3" spans="1:33" x14ac:dyDescent="0.2">
      <c r="A3" s="131" t="s">
        <v>5</v>
      </c>
      <c r="B3" s="131"/>
      <c r="C3" s="131"/>
      <c r="D3" s="131"/>
      <c r="E3" s="131" t="s">
        <v>6</v>
      </c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</row>
    <row r="4" spans="1:33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</row>
    <row r="5" spans="1:33" x14ac:dyDescent="0.2">
      <c r="A5" s="131" t="s">
        <v>7</v>
      </c>
      <c r="B5" s="132">
        <v>43164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</row>
    <row r="6" spans="1:33" x14ac:dyDescent="0.2">
      <c r="A6" s="131" t="s">
        <v>8</v>
      </c>
      <c r="B6" s="133">
        <v>0.41690972222222222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</row>
    <row r="7" spans="1:33" x14ac:dyDescent="0.2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</row>
    <row r="8" spans="1:33" x14ac:dyDescent="0.2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</row>
    <row r="9" spans="1:33" x14ac:dyDescent="0.2">
      <c r="A9" s="131" t="s">
        <v>9</v>
      </c>
      <c r="B9" s="131"/>
      <c r="C9" s="131"/>
      <c r="D9" s="131"/>
      <c r="E9" s="131" t="s">
        <v>10</v>
      </c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</row>
    <row r="10" spans="1:33" x14ac:dyDescent="0.2">
      <c r="A10" s="131" t="s">
        <v>11</v>
      </c>
      <c r="B10" s="131"/>
      <c r="C10" s="131"/>
      <c r="D10" s="131"/>
      <c r="E10" s="131" t="s">
        <v>12</v>
      </c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</row>
    <row r="11" spans="1:33" x14ac:dyDescent="0.2">
      <c r="A11" s="131" t="s">
        <v>13</v>
      </c>
      <c r="B11" s="131"/>
      <c r="C11" s="131"/>
      <c r="D11" s="131"/>
      <c r="E11" s="131" t="s">
        <v>14</v>
      </c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</row>
    <row r="12" spans="1:33" x14ac:dyDescent="0.2">
      <c r="A12" s="131" t="s">
        <v>15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</row>
    <row r="13" spans="1:33" x14ac:dyDescent="0.2">
      <c r="A13" s="131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</row>
    <row r="14" spans="1:33" x14ac:dyDescent="0.2">
      <c r="A14" s="134" t="s">
        <v>16</v>
      </c>
      <c r="B14" s="134"/>
      <c r="C14" s="134"/>
      <c r="D14" s="134"/>
      <c r="E14" s="134" t="s">
        <v>17</v>
      </c>
      <c r="F14" s="134" t="s">
        <v>18</v>
      </c>
      <c r="G14" s="134"/>
      <c r="H14" s="134"/>
      <c r="I14" s="134"/>
      <c r="J14" s="134"/>
      <c r="K14" s="134"/>
      <c r="L14" s="134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</row>
    <row r="15" spans="1:33" x14ac:dyDescent="0.2">
      <c r="A15" s="131"/>
      <c r="B15" s="131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  <c r="AE15" s="131"/>
      <c r="AF15" s="131"/>
      <c r="AG15" s="131"/>
    </row>
    <row r="16" spans="1:33" x14ac:dyDescent="0.2">
      <c r="A16" s="134" t="s">
        <v>19</v>
      </c>
      <c r="B16" s="134"/>
      <c r="C16" s="134"/>
      <c r="D16" s="134"/>
      <c r="E16" s="134" t="s">
        <v>20</v>
      </c>
      <c r="F16" s="134"/>
      <c r="G16" s="134"/>
      <c r="H16" s="134"/>
      <c r="I16" s="134"/>
      <c r="J16" s="134"/>
      <c r="K16" s="134"/>
      <c r="L16" s="134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</row>
    <row r="17" spans="1:33" x14ac:dyDescent="0.2">
      <c r="A17" s="131"/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  <c r="AE17" s="131"/>
      <c r="AF17" s="131"/>
      <c r="AG17" s="131"/>
    </row>
    <row r="18" spans="1:33" x14ac:dyDescent="0.2">
      <c r="A18" s="134" t="s">
        <v>21</v>
      </c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</row>
    <row r="19" spans="1:33" x14ac:dyDescent="0.2">
      <c r="A19" s="134" t="s">
        <v>22</v>
      </c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F19" s="131"/>
      <c r="AG19" s="131"/>
    </row>
    <row r="20" spans="1:33" x14ac:dyDescent="0.2">
      <c r="A20" s="134" t="s">
        <v>23</v>
      </c>
      <c r="B20" s="134"/>
      <c r="C20" s="134"/>
      <c r="D20" s="134"/>
      <c r="E20" s="134">
        <v>20</v>
      </c>
      <c r="F20" s="134" t="s">
        <v>24</v>
      </c>
      <c r="G20" s="134"/>
      <c r="H20" s="134"/>
      <c r="I20" s="134"/>
      <c r="J20" s="134"/>
      <c r="K20" s="134"/>
      <c r="L20" s="134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</row>
    <row r="21" spans="1:33" x14ac:dyDescent="0.2">
      <c r="A21" s="134" t="s">
        <v>25</v>
      </c>
      <c r="B21" s="134"/>
      <c r="C21" s="134"/>
      <c r="D21" s="134"/>
      <c r="E21" s="134">
        <v>3</v>
      </c>
      <c r="F21" s="134" t="s">
        <v>26</v>
      </c>
      <c r="G21" s="134"/>
      <c r="H21" s="134"/>
      <c r="I21" s="134"/>
      <c r="J21" s="134"/>
      <c r="K21" s="134"/>
      <c r="L21" s="134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</row>
    <row r="22" spans="1:33" x14ac:dyDescent="0.2">
      <c r="A22" s="134" t="s">
        <v>27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</row>
    <row r="23" spans="1:33" x14ac:dyDescent="0.2">
      <c r="A23" s="131"/>
      <c r="B23" s="131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1"/>
      <c r="AE23" s="131"/>
      <c r="AF23" s="131"/>
      <c r="AG23" s="131"/>
    </row>
    <row r="24" spans="1:33" x14ac:dyDescent="0.2">
      <c r="A24" s="131"/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</row>
    <row r="25" spans="1:33" x14ac:dyDescent="0.2">
      <c r="A25" s="131" t="s">
        <v>28</v>
      </c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1"/>
      <c r="AE25" s="131"/>
      <c r="AF25" s="131"/>
      <c r="AG25" s="131"/>
    </row>
    <row r="26" spans="1:33" x14ac:dyDescent="0.2">
      <c r="A26" s="131" t="s">
        <v>29</v>
      </c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</row>
    <row r="27" spans="1:33" x14ac:dyDescent="0.2">
      <c r="A27" s="131" t="s">
        <v>30</v>
      </c>
      <c r="B27" s="131"/>
      <c r="C27" s="131"/>
      <c r="D27" s="131"/>
      <c r="E27" s="131">
        <v>32</v>
      </c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1"/>
      <c r="AE27" s="131"/>
      <c r="AF27" s="131"/>
      <c r="AG27" s="131"/>
    </row>
    <row r="28" spans="1:33" x14ac:dyDescent="0.2">
      <c r="A28" s="131" t="s">
        <v>31</v>
      </c>
      <c r="B28" s="131"/>
      <c r="C28" s="131"/>
      <c r="D28" s="131"/>
      <c r="E28" s="135">
        <v>1.0416666666666666E-2</v>
      </c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</row>
    <row r="29" spans="1:33" x14ac:dyDescent="0.2">
      <c r="A29" s="131" t="s">
        <v>32</v>
      </c>
      <c r="B29" s="131"/>
      <c r="C29" s="131"/>
      <c r="D29" s="131"/>
      <c r="E29" s="131">
        <v>600</v>
      </c>
      <c r="F29" s="131" t="s">
        <v>33</v>
      </c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1"/>
      <c r="AE29" s="131"/>
      <c r="AF29" s="131"/>
      <c r="AG29" s="131"/>
    </row>
    <row r="30" spans="1:33" x14ac:dyDescent="0.2">
      <c r="A30" s="131" t="s">
        <v>34</v>
      </c>
      <c r="B30" s="131"/>
      <c r="C30" s="131"/>
      <c r="D30" s="131"/>
      <c r="E30" s="131">
        <v>9</v>
      </c>
      <c r="F30" s="131" t="s">
        <v>33</v>
      </c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1"/>
      <c r="AE30" s="131"/>
      <c r="AF30" s="131"/>
      <c r="AG30" s="131"/>
    </row>
    <row r="31" spans="1:33" x14ac:dyDescent="0.2">
      <c r="A31" s="131" t="s">
        <v>35</v>
      </c>
      <c r="B31" s="131"/>
      <c r="C31" s="131"/>
      <c r="D31" s="131"/>
      <c r="E31" s="131">
        <v>10</v>
      </c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</row>
    <row r="32" spans="1:33" x14ac:dyDescent="0.2">
      <c r="A32" s="131" t="s">
        <v>36</v>
      </c>
      <c r="B32" s="131"/>
      <c r="C32" s="131"/>
      <c r="D32" s="131"/>
      <c r="E32" s="131">
        <v>100</v>
      </c>
      <c r="F32" s="131" t="s">
        <v>37</v>
      </c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  <c r="AE32" s="131"/>
      <c r="AF32" s="131"/>
      <c r="AG32" s="131"/>
    </row>
    <row r="33" spans="1:65" x14ac:dyDescent="0.2">
      <c r="A33" s="131" t="s">
        <v>38</v>
      </c>
      <c r="B33" s="133">
        <v>43223.421550925923</v>
      </c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</row>
    <row r="34" spans="1:65" x14ac:dyDescent="0.2">
      <c r="A34" s="131"/>
      <c r="B34" s="131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</row>
    <row r="35" spans="1:65" x14ac:dyDescent="0.2">
      <c r="A35" s="131"/>
      <c r="B35" s="131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</row>
    <row r="36" spans="1:65" x14ac:dyDescent="0.2">
      <c r="A36" s="136" t="s">
        <v>39</v>
      </c>
      <c r="B36" s="136">
        <v>1</v>
      </c>
      <c r="C36" s="136">
        <v>2</v>
      </c>
      <c r="D36" s="136">
        <v>3</v>
      </c>
      <c r="E36" s="136">
        <v>4</v>
      </c>
      <c r="F36" s="136">
        <v>5</v>
      </c>
      <c r="G36" s="136">
        <v>6</v>
      </c>
      <c r="H36" s="136">
        <v>7</v>
      </c>
      <c r="I36" s="136">
        <v>8</v>
      </c>
      <c r="J36" s="136">
        <v>9</v>
      </c>
      <c r="K36" s="136">
        <v>10</v>
      </c>
      <c r="L36" s="136">
        <v>11</v>
      </c>
      <c r="M36" s="136">
        <v>12</v>
      </c>
      <c r="N36" s="136">
        <v>13</v>
      </c>
      <c r="O36" s="136">
        <v>14</v>
      </c>
      <c r="P36" s="136">
        <v>15</v>
      </c>
      <c r="Q36" s="136">
        <v>16</v>
      </c>
      <c r="R36" s="136">
        <v>17</v>
      </c>
      <c r="S36" s="136">
        <v>18</v>
      </c>
      <c r="T36" s="136">
        <v>19</v>
      </c>
      <c r="U36" s="136">
        <v>20</v>
      </c>
      <c r="V36" s="136">
        <v>21</v>
      </c>
      <c r="W36" s="136">
        <v>22</v>
      </c>
      <c r="X36" s="136">
        <v>23</v>
      </c>
      <c r="Y36" s="136">
        <v>24</v>
      </c>
      <c r="Z36" s="136">
        <v>25</v>
      </c>
      <c r="AA36" s="136">
        <v>26</v>
      </c>
      <c r="AB36" s="136">
        <v>27</v>
      </c>
      <c r="AC36" s="136">
        <v>28</v>
      </c>
      <c r="AD36" s="136">
        <v>29</v>
      </c>
      <c r="AE36" s="136">
        <v>30</v>
      </c>
      <c r="AF36" s="136">
        <v>31</v>
      </c>
      <c r="AG36" s="136">
        <v>32</v>
      </c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</row>
    <row r="37" spans="1:65" x14ac:dyDescent="0.2">
      <c r="A37" s="136" t="s">
        <v>40</v>
      </c>
      <c r="B37" s="131">
        <v>0</v>
      </c>
      <c r="C37" s="131">
        <v>900.1</v>
      </c>
      <c r="D37" s="131">
        <v>1800.2</v>
      </c>
      <c r="E37" s="131">
        <v>2700.3</v>
      </c>
      <c r="F37" s="131">
        <v>3600.4</v>
      </c>
      <c r="G37" s="131">
        <v>4500.5</v>
      </c>
      <c r="H37" s="131">
        <v>5400.6</v>
      </c>
      <c r="I37" s="131">
        <v>6300.7</v>
      </c>
      <c r="J37" s="131">
        <v>7200.8</v>
      </c>
      <c r="K37" s="131">
        <v>8100.9</v>
      </c>
      <c r="L37" s="131">
        <v>9001</v>
      </c>
      <c r="M37" s="131">
        <v>9901.1</v>
      </c>
      <c r="N37" s="131">
        <v>10801.2</v>
      </c>
      <c r="O37" s="131">
        <v>11701.3</v>
      </c>
      <c r="P37" s="131">
        <v>12601.4</v>
      </c>
      <c r="Q37" s="131">
        <v>13501.6</v>
      </c>
      <c r="R37" s="131">
        <v>14401.7</v>
      </c>
      <c r="S37" s="131">
        <v>15301.8</v>
      </c>
      <c r="T37" s="131">
        <v>16201.9</v>
      </c>
      <c r="U37" s="131">
        <v>17102</v>
      </c>
      <c r="V37" s="131">
        <v>18002.099999999999</v>
      </c>
      <c r="W37" s="131">
        <v>18902.2</v>
      </c>
      <c r="X37" s="131">
        <v>19802.3</v>
      </c>
      <c r="Y37" s="131">
        <v>20702.400000000001</v>
      </c>
      <c r="Z37" s="131">
        <v>21602.5</v>
      </c>
      <c r="AA37" s="131">
        <v>22502.6</v>
      </c>
      <c r="AB37" s="131">
        <v>23402.7</v>
      </c>
      <c r="AC37" s="131">
        <v>24302.799999999999</v>
      </c>
      <c r="AD37" s="131">
        <v>25202.9</v>
      </c>
      <c r="AE37" s="131">
        <v>26103</v>
      </c>
      <c r="AF37" s="131">
        <v>27003.1</v>
      </c>
      <c r="AG37" s="154">
        <v>27903.200000000001</v>
      </c>
    </row>
    <row r="38" spans="1:65" x14ac:dyDescent="0.2">
      <c r="A38" s="136" t="s">
        <v>41</v>
      </c>
      <c r="B38" s="131">
        <v>36.5</v>
      </c>
      <c r="C38" s="131">
        <v>37.200000000000003</v>
      </c>
      <c r="D38" s="131">
        <v>37.4</v>
      </c>
      <c r="E38" s="131">
        <v>36.700000000000003</v>
      </c>
      <c r="F38" s="131">
        <v>37</v>
      </c>
      <c r="G38" s="131">
        <v>36.9</v>
      </c>
      <c r="H38" s="131">
        <v>37.5</v>
      </c>
      <c r="I38" s="131">
        <v>37.6</v>
      </c>
      <c r="J38" s="131">
        <v>37.6</v>
      </c>
      <c r="K38" s="131">
        <v>37.6</v>
      </c>
      <c r="L38" s="131">
        <v>37.6</v>
      </c>
      <c r="M38" s="131">
        <v>37.6</v>
      </c>
      <c r="N38" s="131">
        <v>37.6</v>
      </c>
      <c r="O38" s="131">
        <v>37.6</v>
      </c>
      <c r="P38" s="131">
        <v>37.4</v>
      </c>
      <c r="Q38" s="131">
        <v>37.1</v>
      </c>
      <c r="R38" s="131">
        <v>36.799999999999997</v>
      </c>
      <c r="S38" s="131">
        <v>36.9</v>
      </c>
      <c r="T38" s="131">
        <v>37.1</v>
      </c>
      <c r="U38" s="131">
        <v>37.200000000000003</v>
      </c>
      <c r="V38" s="131">
        <v>37.299999999999997</v>
      </c>
      <c r="W38" s="131">
        <v>37.299999999999997</v>
      </c>
      <c r="X38" s="131">
        <v>37.4</v>
      </c>
      <c r="Y38" s="131">
        <v>37.6</v>
      </c>
      <c r="Z38" s="131">
        <v>37.299999999999997</v>
      </c>
      <c r="AA38" s="131">
        <v>36.799999999999997</v>
      </c>
      <c r="AB38" s="131">
        <v>37</v>
      </c>
      <c r="AC38" s="131">
        <v>37.4</v>
      </c>
      <c r="AD38" s="131">
        <v>37.5</v>
      </c>
      <c r="AE38" s="131">
        <v>37.6</v>
      </c>
      <c r="AF38" s="131">
        <v>37.200000000000003</v>
      </c>
      <c r="AG38" s="131">
        <v>36.799999999999997</v>
      </c>
    </row>
    <row r="39" spans="1:65" x14ac:dyDescent="0.2">
      <c r="A39" s="136" t="s">
        <v>42</v>
      </c>
      <c r="B39" s="131">
        <v>9.1899999999999996E-2</v>
      </c>
      <c r="C39" s="131">
        <v>9.1999999999999998E-2</v>
      </c>
      <c r="D39" s="131">
        <v>9.1999999999999998E-2</v>
      </c>
      <c r="E39" s="131">
        <v>9.1800000000000007E-2</v>
      </c>
      <c r="F39" s="131">
        <v>9.1899999999999996E-2</v>
      </c>
      <c r="G39" s="131">
        <v>9.1800000000000007E-2</v>
      </c>
      <c r="H39" s="131">
        <v>9.1899999999999996E-2</v>
      </c>
      <c r="I39" s="131">
        <v>9.1800000000000007E-2</v>
      </c>
      <c r="J39" s="131">
        <v>9.1800000000000007E-2</v>
      </c>
      <c r="K39" s="131">
        <v>9.1800000000000007E-2</v>
      </c>
      <c r="L39" s="131">
        <v>9.1700000000000004E-2</v>
      </c>
      <c r="M39" s="131">
        <v>9.1700000000000004E-2</v>
      </c>
      <c r="N39" s="131">
        <v>9.1499999999999998E-2</v>
      </c>
      <c r="O39" s="131">
        <v>9.1499999999999998E-2</v>
      </c>
      <c r="P39" s="131">
        <v>9.1700000000000004E-2</v>
      </c>
      <c r="Q39" s="131">
        <v>9.1800000000000007E-2</v>
      </c>
      <c r="R39" s="131">
        <v>9.1899999999999996E-2</v>
      </c>
      <c r="S39" s="131">
        <v>9.1999999999999998E-2</v>
      </c>
      <c r="T39" s="131">
        <v>9.1999999999999998E-2</v>
      </c>
      <c r="U39" s="131">
        <v>9.2100000000000001E-2</v>
      </c>
      <c r="V39" s="131">
        <v>9.1999999999999998E-2</v>
      </c>
      <c r="W39" s="131">
        <v>9.2100000000000001E-2</v>
      </c>
      <c r="X39" s="131">
        <v>9.1999999999999998E-2</v>
      </c>
      <c r="Y39" s="131">
        <v>9.2100000000000001E-2</v>
      </c>
      <c r="Z39" s="131">
        <v>9.2100000000000001E-2</v>
      </c>
      <c r="AA39" s="131">
        <v>9.1999999999999998E-2</v>
      </c>
      <c r="AB39" s="131">
        <v>9.1999999999999998E-2</v>
      </c>
      <c r="AC39" s="131">
        <v>9.1899999999999996E-2</v>
      </c>
      <c r="AD39" s="131">
        <v>9.2100000000000001E-2</v>
      </c>
      <c r="AE39" s="131">
        <v>9.1800000000000007E-2</v>
      </c>
      <c r="AF39" s="131">
        <v>9.1899999999999996E-2</v>
      </c>
      <c r="AG39" s="131">
        <v>9.1899999999999996E-2</v>
      </c>
    </row>
    <row r="40" spans="1:65" x14ac:dyDescent="0.2">
      <c r="A40" s="136" t="s">
        <v>43</v>
      </c>
      <c r="B40" s="131">
        <v>9.2299999999999993E-2</v>
      </c>
      <c r="C40" s="131">
        <v>9.2200000000000004E-2</v>
      </c>
      <c r="D40" s="131">
        <v>9.2100000000000001E-2</v>
      </c>
      <c r="E40" s="131">
        <v>9.1999999999999998E-2</v>
      </c>
      <c r="F40" s="131">
        <v>9.1999999999999998E-2</v>
      </c>
      <c r="G40" s="131">
        <v>9.1999999999999998E-2</v>
      </c>
      <c r="H40" s="131">
        <v>9.1999999999999998E-2</v>
      </c>
      <c r="I40" s="131">
        <v>9.1999999999999998E-2</v>
      </c>
      <c r="J40" s="131">
        <v>9.1999999999999998E-2</v>
      </c>
      <c r="K40" s="131">
        <v>9.1899999999999996E-2</v>
      </c>
      <c r="L40" s="131">
        <v>9.1899999999999996E-2</v>
      </c>
      <c r="M40" s="131">
        <v>9.1899999999999996E-2</v>
      </c>
      <c r="N40" s="131">
        <v>9.1700000000000004E-2</v>
      </c>
      <c r="O40" s="131">
        <v>9.1600000000000001E-2</v>
      </c>
      <c r="P40" s="131">
        <v>9.1899999999999996E-2</v>
      </c>
      <c r="Q40" s="131">
        <v>9.1899999999999996E-2</v>
      </c>
      <c r="R40" s="131">
        <v>9.1999999999999998E-2</v>
      </c>
      <c r="S40" s="131">
        <v>9.2200000000000004E-2</v>
      </c>
      <c r="T40" s="131">
        <v>9.2200000000000004E-2</v>
      </c>
      <c r="U40" s="131">
        <v>9.2200000000000004E-2</v>
      </c>
      <c r="V40" s="131">
        <v>9.2200000000000004E-2</v>
      </c>
      <c r="W40" s="131">
        <v>9.2299999999999993E-2</v>
      </c>
      <c r="X40" s="131">
        <v>9.2200000000000004E-2</v>
      </c>
      <c r="Y40" s="131">
        <v>9.2200000000000004E-2</v>
      </c>
      <c r="Z40" s="131">
        <v>9.2100000000000001E-2</v>
      </c>
      <c r="AA40" s="131">
        <v>9.2200000000000004E-2</v>
      </c>
      <c r="AB40" s="131">
        <v>9.2200000000000004E-2</v>
      </c>
      <c r="AC40" s="131">
        <v>9.2200000000000004E-2</v>
      </c>
      <c r="AD40" s="131">
        <v>9.2200000000000004E-2</v>
      </c>
      <c r="AE40" s="131">
        <v>9.2200000000000004E-2</v>
      </c>
      <c r="AF40" s="131">
        <v>9.2100000000000001E-2</v>
      </c>
      <c r="AG40" s="131">
        <v>9.2200000000000004E-2</v>
      </c>
    </row>
    <row r="41" spans="1:65" x14ac:dyDescent="0.2">
      <c r="A41" s="136" t="s">
        <v>44</v>
      </c>
      <c r="B41" s="131">
        <v>9.2700000000000005E-2</v>
      </c>
      <c r="C41" s="131">
        <v>9.2499999999999999E-2</v>
      </c>
      <c r="D41" s="131">
        <v>9.2399999999999996E-2</v>
      </c>
      <c r="E41" s="131">
        <v>9.2200000000000004E-2</v>
      </c>
      <c r="F41" s="131">
        <v>9.2200000000000004E-2</v>
      </c>
      <c r="G41" s="131">
        <v>9.2100000000000001E-2</v>
      </c>
      <c r="H41" s="131">
        <v>9.2100000000000001E-2</v>
      </c>
      <c r="I41" s="131">
        <v>9.2200000000000004E-2</v>
      </c>
      <c r="J41" s="131">
        <v>9.2200000000000004E-2</v>
      </c>
      <c r="K41" s="131">
        <v>9.2100000000000001E-2</v>
      </c>
      <c r="L41" s="131">
        <v>9.2100000000000001E-2</v>
      </c>
      <c r="M41" s="131">
        <v>9.1999999999999998E-2</v>
      </c>
      <c r="N41" s="131">
        <v>9.1899999999999996E-2</v>
      </c>
      <c r="O41" s="131">
        <v>9.1800000000000007E-2</v>
      </c>
      <c r="P41" s="131">
        <v>9.2100000000000001E-2</v>
      </c>
      <c r="Q41" s="131">
        <v>9.2100000000000001E-2</v>
      </c>
      <c r="R41" s="131">
        <v>9.2200000000000004E-2</v>
      </c>
      <c r="S41" s="131">
        <v>9.2299999999999993E-2</v>
      </c>
      <c r="T41" s="131">
        <v>9.2299999999999993E-2</v>
      </c>
      <c r="U41" s="131">
        <v>9.2399999999999996E-2</v>
      </c>
      <c r="V41" s="131">
        <v>9.2399999999999996E-2</v>
      </c>
      <c r="W41" s="131">
        <v>9.2399999999999996E-2</v>
      </c>
      <c r="X41" s="131">
        <v>9.2299999999999993E-2</v>
      </c>
      <c r="Y41" s="131">
        <v>9.2299999999999993E-2</v>
      </c>
      <c r="Z41" s="131">
        <v>9.2299999999999993E-2</v>
      </c>
      <c r="AA41" s="131">
        <v>9.2200000000000004E-2</v>
      </c>
      <c r="AB41" s="131">
        <v>9.2299999999999993E-2</v>
      </c>
      <c r="AC41" s="131">
        <v>9.2200000000000004E-2</v>
      </c>
      <c r="AD41" s="131">
        <v>9.2200000000000004E-2</v>
      </c>
      <c r="AE41" s="131">
        <v>9.2200000000000004E-2</v>
      </c>
      <c r="AF41" s="131">
        <v>9.2200000000000004E-2</v>
      </c>
      <c r="AG41" s="131">
        <v>9.2200000000000004E-2</v>
      </c>
    </row>
    <row r="42" spans="1:65" x14ac:dyDescent="0.2">
      <c r="A42" s="136" t="s">
        <v>45</v>
      </c>
      <c r="B42" s="131">
        <v>9.2299999999999993E-2</v>
      </c>
      <c r="C42" s="131">
        <v>9.2299999999999993E-2</v>
      </c>
      <c r="D42" s="131">
        <v>9.2200000000000004E-2</v>
      </c>
      <c r="E42" s="131">
        <v>9.1999999999999998E-2</v>
      </c>
      <c r="F42" s="131">
        <v>9.2100000000000001E-2</v>
      </c>
      <c r="G42" s="131">
        <v>9.1999999999999998E-2</v>
      </c>
      <c r="H42" s="131">
        <v>9.2100000000000001E-2</v>
      </c>
      <c r="I42" s="131">
        <v>9.2100000000000001E-2</v>
      </c>
      <c r="J42" s="131">
        <v>9.2200000000000004E-2</v>
      </c>
      <c r="K42" s="131">
        <v>9.1999999999999998E-2</v>
      </c>
      <c r="L42" s="131">
        <v>9.1999999999999998E-2</v>
      </c>
      <c r="M42" s="131">
        <v>9.1899999999999996E-2</v>
      </c>
      <c r="N42" s="131">
        <v>9.1899999999999996E-2</v>
      </c>
      <c r="O42" s="131">
        <v>9.1700000000000004E-2</v>
      </c>
      <c r="P42" s="131">
        <v>9.2100000000000001E-2</v>
      </c>
      <c r="Q42" s="131">
        <v>9.2100000000000001E-2</v>
      </c>
      <c r="R42" s="131">
        <v>9.2200000000000004E-2</v>
      </c>
      <c r="S42" s="131">
        <v>9.2299999999999993E-2</v>
      </c>
      <c r="T42" s="131">
        <v>9.2799999999999994E-2</v>
      </c>
      <c r="U42" s="131">
        <v>9.2399999999999996E-2</v>
      </c>
      <c r="V42" s="131">
        <v>9.2399999999999996E-2</v>
      </c>
      <c r="W42" s="131">
        <v>9.2399999999999996E-2</v>
      </c>
      <c r="X42" s="131">
        <v>9.2399999999999996E-2</v>
      </c>
      <c r="Y42" s="131">
        <v>9.2399999999999996E-2</v>
      </c>
      <c r="Z42" s="131">
        <v>9.2299999999999993E-2</v>
      </c>
      <c r="AA42" s="131">
        <v>9.2299999999999993E-2</v>
      </c>
      <c r="AB42" s="131">
        <v>9.2299999999999993E-2</v>
      </c>
      <c r="AC42" s="131">
        <v>9.2299999999999993E-2</v>
      </c>
      <c r="AD42" s="131">
        <v>9.2399999999999996E-2</v>
      </c>
      <c r="AE42" s="131">
        <v>9.2200000000000004E-2</v>
      </c>
      <c r="AF42" s="131">
        <v>9.2299999999999993E-2</v>
      </c>
      <c r="AG42" s="131">
        <v>9.2299999999999993E-2</v>
      </c>
    </row>
    <row r="43" spans="1:65" x14ac:dyDescent="0.2">
      <c r="A43" s="136" t="s">
        <v>46</v>
      </c>
      <c r="B43" s="131">
        <v>9.2700000000000005E-2</v>
      </c>
      <c r="C43" s="131">
        <v>9.2799999999999994E-2</v>
      </c>
      <c r="D43" s="131">
        <v>9.2600000000000002E-2</v>
      </c>
      <c r="E43" s="131">
        <v>9.2399999999999996E-2</v>
      </c>
      <c r="F43" s="131">
        <v>9.2399999999999996E-2</v>
      </c>
      <c r="G43" s="131">
        <v>9.2299999999999993E-2</v>
      </c>
      <c r="H43" s="131">
        <v>9.2299999999999993E-2</v>
      </c>
      <c r="I43" s="131">
        <v>9.2399999999999996E-2</v>
      </c>
      <c r="J43" s="131">
        <v>9.2399999999999996E-2</v>
      </c>
      <c r="K43" s="131">
        <v>9.2299999999999993E-2</v>
      </c>
      <c r="L43" s="131">
        <v>9.2299999999999993E-2</v>
      </c>
      <c r="M43" s="131">
        <v>9.2200000000000004E-2</v>
      </c>
      <c r="N43" s="131">
        <v>9.2100000000000001E-2</v>
      </c>
      <c r="O43" s="131">
        <v>9.1999999999999998E-2</v>
      </c>
      <c r="P43" s="131">
        <v>9.2299999999999993E-2</v>
      </c>
      <c r="Q43" s="131">
        <v>9.2399999999999996E-2</v>
      </c>
      <c r="R43" s="131">
        <v>9.2499999999999999E-2</v>
      </c>
      <c r="S43" s="131">
        <v>9.2700000000000005E-2</v>
      </c>
      <c r="T43" s="131">
        <v>9.2700000000000005E-2</v>
      </c>
      <c r="U43" s="131">
        <v>9.2799999999999994E-2</v>
      </c>
      <c r="V43" s="131">
        <v>9.2799999999999994E-2</v>
      </c>
      <c r="W43" s="131">
        <v>9.2799999999999994E-2</v>
      </c>
      <c r="X43" s="131">
        <v>9.2700000000000005E-2</v>
      </c>
      <c r="Y43" s="131">
        <v>9.2799999999999994E-2</v>
      </c>
      <c r="Z43" s="131">
        <v>9.2700000000000005E-2</v>
      </c>
      <c r="AA43" s="131">
        <v>9.2700000000000005E-2</v>
      </c>
      <c r="AB43" s="131">
        <v>9.2700000000000005E-2</v>
      </c>
      <c r="AC43" s="131">
        <v>9.2700000000000005E-2</v>
      </c>
      <c r="AD43" s="131">
        <v>9.2700000000000005E-2</v>
      </c>
      <c r="AE43" s="131">
        <v>9.2700000000000005E-2</v>
      </c>
      <c r="AF43" s="131">
        <v>9.2700000000000005E-2</v>
      </c>
      <c r="AG43" s="131">
        <v>9.2700000000000005E-2</v>
      </c>
    </row>
    <row r="44" spans="1:65" x14ac:dyDescent="0.2">
      <c r="A44" s="136" t="s">
        <v>47</v>
      </c>
      <c r="B44" s="131">
        <v>9.2999999999999999E-2</v>
      </c>
      <c r="C44" s="131">
        <v>9.2999999999999999E-2</v>
      </c>
      <c r="D44" s="131">
        <v>9.2899999999999996E-2</v>
      </c>
      <c r="E44" s="131">
        <v>9.2600000000000002E-2</v>
      </c>
      <c r="F44" s="131">
        <v>9.2600000000000002E-2</v>
      </c>
      <c r="G44" s="131">
        <v>9.2399999999999996E-2</v>
      </c>
      <c r="H44" s="131">
        <v>9.2399999999999996E-2</v>
      </c>
      <c r="I44" s="131">
        <v>9.2799999999999994E-2</v>
      </c>
      <c r="J44" s="131">
        <v>9.2600000000000002E-2</v>
      </c>
      <c r="K44" s="131">
        <v>9.2499999999999999E-2</v>
      </c>
      <c r="L44" s="131">
        <v>9.2200000000000004E-2</v>
      </c>
      <c r="M44" s="131">
        <v>9.2100000000000001E-2</v>
      </c>
      <c r="N44" s="131">
        <v>9.2200000000000004E-2</v>
      </c>
      <c r="O44" s="131">
        <v>9.2200000000000004E-2</v>
      </c>
      <c r="P44" s="131">
        <v>9.2299999999999993E-2</v>
      </c>
      <c r="Q44" s="131">
        <v>9.2499999999999999E-2</v>
      </c>
      <c r="R44" s="131">
        <v>9.2600000000000002E-2</v>
      </c>
      <c r="S44" s="131">
        <v>9.2600000000000002E-2</v>
      </c>
      <c r="T44" s="131">
        <v>9.2499999999999999E-2</v>
      </c>
      <c r="U44" s="131">
        <v>9.2600000000000002E-2</v>
      </c>
      <c r="V44" s="131">
        <v>9.2700000000000005E-2</v>
      </c>
      <c r="W44" s="131">
        <v>9.3200000000000005E-2</v>
      </c>
      <c r="X44" s="131">
        <v>9.2600000000000002E-2</v>
      </c>
      <c r="Y44" s="131">
        <v>9.2600000000000002E-2</v>
      </c>
      <c r="Z44" s="131">
        <v>9.2499999999999999E-2</v>
      </c>
      <c r="AA44" s="131">
        <v>9.2499999999999999E-2</v>
      </c>
      <c r="AB44" s="131">
        <v>9.2499999999999999E-2</v>
      </c>
      <c r="AC44" s="131">
        <v>9.2399999999999996E-2</v>
      </c>
      <c r="AD44" s="131">
        <v>9.2499999999999999E-2</v>
      </c>
      <c r="AE44" s="131">
        <v>9.2399999999999996E-2</v>
      </c>
      <c r="AF44" s="131">
        <v>9.2399999999999996E-2</v>
      </c>
      <c r="AG44" s="131">
        <v>9.2399999999999996E-2</v>
      </c>
    </row>
    <row r="45" spans="1:65" x14ac:dyDescent="0.2">
      <c r="A45" s="136" t="s">
        <v>48</v>
      </c>
      <c r="B45" s="131">
        <v>9.2899999999999996E-2</v>
      </c>
      <c r="C45" s="131">
        <v>9.2700000000000005E-2</v>
      </c>
      <c r="D45" s="131">
        <v>9.2600000000000002E-2</v>
      </c>
      <c r="E45" s="131">
        <v>9.2399999999999996E-2</v>
      </c>
      <c r="F45" s="131">
        <v>9.2399999999999996E-2</v>
      </c>
      <c r="G45" s="131">
        <v>9.2399999999999996E-2</v>
      </c>
      <c r="H45" s="131">
        <v>9.2399999999999996E-2</v>
      </c>
      <c r="I45" s="131">
        <v>9.2999999999999999E-2</v>
      </c>
      <c r="J45" s="131">
        <v>9.2399999999999996E-2</v>
      </c>
      <c r="K45" s="131">
        <v>9.2399999999999996E-2</v>
      </c>
      <c r="L45" s="131">
        <v>9.2499999999999999E-2</v>
      </c>
      <c r="M45" s="131">
        <v>9.2299999999999993E-2</v>
      </c>
      <c r="N45" s="131">
        <v>9.2299999999999993E-2</v>
      </c>
      <c r="O45" s="131">
        <v>9.2100000000000001E-2</v>
      </c>
      <c r="P45" s="131">
        <v>9.2499999999999999E-2</v>
      </c>
      <c r="Q45" s="131">
        <v>9.2600000000000002E-2</v>
      </c>
      <c r="R45" s="131">
        <v>9.2799999999999994E-2</v>
      </c>
      <c r="S45" s="131">
        <v>9.2899999999999996E-2</v>
      </c>
      <c r="T45" s="131">
        <v>9.2899999999999996E-2</v>
      </c>
      <c r="U45" s="131">
        <v>9.2899999999999996E-2</v>
      </c>
      <c r="V45" s="131">
        <v>9.2899999999999996E-2</v>
      </c>
      <c r="W45" s="131">
        <v>9.2899999999999996E-2</v>
      </c>
      <c r="X45" s="131">
        <v>9.2999999999999999E-2</v>
      </c>
      <c r="Y45" s="131">
        <v>9.3100000000000002E-2</v>
      </c>
      <c r="Z45" s="131">
        <v>9.2999999999999999E-2</v>
      </c>
      <c r="AA45" s="131">
        <v>9.2899999999999996E-2</v>
      </c>
      <c r="AB45" s="131">
        <v>9.2899999999999996E-2</v>
      </c>
      <c r="AC45" s="131">
        <v>9.2899999999999996E-2</v>
      </c>
      <c r="AD45" s="131">
        <v>9.2899999999999996E-2</v>
      </c>
      <c r="AE45" s="131">
        <v>9.2899999999999996E-2</v>
      </c>
      <c r="AF45" s="131">
        <v>9.2899999999999996E-2</v>
      </c>
      <c r="AG45" s="131">
        <v>9.2899999999999996E-2</v>
      </c>
    </row>
    <row r="46" spans="1:65" x14ac:dyDescent="0.2">
      <c r="A46" s="136" t="s">
        <v>49</v>
      </c>
      <c r="B46" s="131">
        <v>9.2399999999999996E-2</v>
      </c>
      <c r="C46" s="131">
        <v>9.2499999999999999E-2</v>
      </c>
      <c r="D46" s="131">
        <v>9.2399999999999996E-2</v>
      </c>
      <c r="E46" s="131">
        <v>9.2799999999999994E-2</v>
      </c>
      <c r="F46" s="131">
        <v>9.2499999999999999E-2</v>
      </c>
      <c r="G46" s="131">
        <v>9.2600000000000002E-2</v>
      </c>
      <c r="H46" s="131">
        <v>9.2600000000000002E-2</v>
      </c>
      <c r="I46" s="131">
        <v>9.2200000000000004E-2</v>
      </c>
      <c r="J46" s="131">
        <v>9.2200000000000004E-2</v>
      </c>
      <c r="K46" s="131">
        <v>9.2200000000000004E-2</v>
      </c>
      <c r="L46" s="131">
        <v>9.2499999999999999E-2</v>
      </c>
      <c r="M46" s="131">
        <v>9.2399999999999996E-2</v>
      </c>
      <c r="N46" s="131">
        <v>9.2299999999999993E-2</v>
      </c>
      <c r="O46" s="131">
        <v>9.1899999999999996E-2</v>
      </c>
      <c r="P46" s="131">
        <v>9.2600000000000002E-2</v>
      </c>
      <c r="Q46" s="131">
        <v>9.2200000000000004E-2</v>
      </c>
      <c r="R46" s="131">
        <v>9.2499999999999999E-2</v>
      </c>
      <c r="S46" s="131">
        <v>9.3299999999999994E-2</v>
      </c>
      <c r="T46" s="131">
        <v>9.2899999999999996E-2</v>
      </c>
      <c r="U46" s="131">
        <v>9.2999999999999999E-2</v>
      </c>
      <c r="V46" s="131">
        <v>9.2899999999999996E-2</v>
      </c>
      <c r="W46" s="131">
        <v>9.2899999999999996E-2</v>
      </c>
      <c r="X46" s="131">
        <v>9.2999999999999999E-2</v>
      </c>
      <c r="Y46" s="131">
        <v>9.2999999999999999E-2</v>
      </c>
      <c r="Z46" s="131">
        <v>9.2899999999999996E-2</v>
      </c>
      <c r="AA46" s="131">
        <v>9.2899999999999996E-2</v>
      </c>
      <c r="AB46" s="131">
        <v>9.2899999999999996E-2</v>
      </c>
      <c r="AC46" s="131">
        <v>9.2899999999999996E-2</v>
      </c>
      <c r="AD46" s="131">
        <v>9.2899999999999996E-2</v>
      </c>
      <c r="AE46" s="131">
        <v>9.2899999999999996E-2</v>
      </c>
      <c r="AF46" s="131">
        <v>9.2899999999999996E-2</v>
      </c>
      <c r="AG46" s="131">
        <v>9.2899999999999996E-2</v>
      </c>
    </row>
    <row r="47" spans="1:65" x14ac:dyDescent="0.2">
      <c r="A47" s="136" t="s">
        <v>50</v>
      </c>
      <c r="B47" s="131">
        <v>9.2600000000000002E-2</v>
      </c>
      <c r="C47" s="131">
        <v>9.2499999999999999E-2</v>
      </c>
      <c r="D47" s="131">
        <v>9.2399999999999996E-2</v>
      </c>
      <c r="E47" s="131">
        <v>9.2200000000000004E-2</v>
      </c>
      <c r="F47" s="131">
        <v>9.2100000000000001E-2</v>
      </c>
      <c r="G47" s="131">
        <v>9.2200000000000004E-2</v>
      </c>
      <c r="H47" s="131">
        <v>9.2100000000000001E-2</v>
      </c>
      <c r="I47" s="131">
        <v>9.2100000000000001E-2</v>
      </c>
      <c r="J47" s="131">
        <v>9.2100000000000001E-2</v>
      </c>
      <c r="K47" s="131">
        <v>9.2100000000000001E-2</v>
      </c>
      <c r="L47" s="131">
        <v>9.2600000000000002E-2</v>
      </c>
      <c r="M47" s="131">
        <v>9.1899999999999996E-2</v>
      </c>
      <c r="N47" s="131">
        <v>9.1800000000000007E-2</v>
      </c>
      <c r="O47" s="131">
        <v>9.1700000000000004E-2</v>
      </c>
      <c r="P47" s="131">
        <v>9.1999999999999998E-2</v>
      </c>
      <c r="Q47" s="131">
        <v>9.2100000000000001E-2</v>
      </c>
      <c r="R47" s="131">
        <v>9.2299999999999993E-2</v>
      </c>
      <c r="S47" s="131">
        <v>9.2399999999999996E-2</v>
      </c>
      <c r="T47" s="131">
        <v>9.2399999999999996E-2</v>
      </c>
      <c r="U47" s="131">
        <v>9.2499999999999999E-2</v>
      </c>
      <c r="V47" s="131">
        <v>9.2499999999999999E-2</v>
      </c>
      <c r="W47" s="131">
        <v>9.2499999999999999E-2</v>
      </c>
      <c r="X47" s="131">
        <v>9.2499999999999999E-2</v>
      </c>
      <c r="Y47" s="131">
        <v>9.2499999999999999E-2</v>
      </c>
      <c r="Z47" s="131">
        <v>9.2399999999999996E-2</v>
      </c>
      <c r="AA47" s="131">
        <v>9.2399999999999996E-2</v>
      </c>
      <c r="AB47" s="131">
        <v>9.3200000000000005E-2</v>
      </c>
      <c r="AC47" s="131">
        <v>9.2299999999999993E-2</v>
      </c>
      <c r="AD47" s="131">
        <v>9.2499999999999999E-2</v>
      </c>
      <c r="AE47" s="131">
        <v>9.2299999999999993E-2</v>
      </c>
      <c r="AF47" s="131">
        <v>9.2399999999999996E-2</v>
      </c>
      <c r="AG47" s="131">
        <v>9.2499999999999999E-2</v>
      </c>
    </row>
    <row r="48" spans="1:65" x14ac:dyDescent="0.2">
      <c r="A48" s="136" t="s">
        <v>51</v>
      </c>
      <c r="B48" s="131">
        <v>9.3200000000000005E-2</v>
      </c>
      <c r="C48" s="131">
        <v>9.3200000000000005E-2</v>
      </c>
      <c r="D48" s="131">
        <v>9.3100000000000002E-2</v>
      </c>
      <c r="E48" s="131">
        <v>9.3100000000000002E-2</v>
      </c>
      <c r="F48" s="131">
        <v>9.3200000000000005E-2</v>
      </c>
      <c r="G48" s="131">
        <v>9.3399999999999997E-2</v>
      </c>
      <c r="H48" s="131">
        <v>9.3299999999999994E-2</v>
      </c>
      <c r="I48" s="131">
        <v>9.3200000000000005E-2</v>
      </c>
      <c r="J48" s="131">
        <v>9.3200000000000005E-2</v>
      </c>
      <c r="K48" s="131">
        <v>9.3299999999999994E-2</v>
      </c>
      <c r="L48" s="131">
        <v>9.3299999999999994E-2</v>
      </c>
      <c r="M48" s="131">
        <v>9.3299999999999994E-2</v>
      </c>
      <c r="N48" s="131">
        <v>9.3200000000000005E-2</v>
      </c>
      <c r="O48" s="131">
        <v>9.2999999999999999E-2</v>
      </c>
      <c r="P48" s="131">
        <v>9.35E-2</v>
      </c>
      <c r="Q48" s="131">
        <v>9.3399999999999997E-2</v>
      </c>
      <c r="R48" s="131">
        <v>9.35E-2</v>
      </c>
      <c r="S48" s="131">
        <v>9.3600000000000003E-2</v>
      </c>
      <c r="T48" s="131">
        <v>9.3700000000000006E-2</v>
      </c>
      <c r="U48" s="131">
        <v>9.3700000000000006E-2</v>
      </c>
      <c r="V48" s="131">
        <v>9.3799999999999994E-2</v>
      </c>
      <c r="W48" s="131">
        <v>9.3799999999999994E-2</v>
      </c>
      <c r="X48" s="131">
        <v>9.3700000000000006E-2</v>
      </c>
      <c r="Y48" s="131">
        <v>9.3799999999999994E-2</v>
      </c>
      <c r="Z48" s="131">
        <v>9.3799999999999994E-2</v>
      </c>
      <c r="AA48" s="131">
        <v>9.3899999999999997E-2</v>
      </c>
      <c r="AB48" s="131">
        <v>9.3799999999999994E-2</v>
      </c>
      <c r="AC48" s="131">
        <v>9.3799999999999994E-2</v>
      </c>
      <c r="AD48" s="131">
        <v>9.3899999999999997E-2</v>
      </c>
      <c r="AE48" s="131">
        <v>9.3799999999999994E-2</v>
      </c>
      <c r="AF48" s="131">
        <v>9.3799999999999994E-2</v>
      </c>
      <c r="AG48" s="131">
        <v>9.3899999999999997E-2</v>
      </c>
    </row>
    <row r="49" spans="1:33" x14ac:dyDescent="0.2">
      <c r="A49" s="136" t="s">
        <v>52</v>
      </c>
      <c r="B49" s="131">
        <v>9.3100000000000002E-2</v>
      </c>
      <c r="C49" s="131">
        <v>9.3600000000000003E-2</v>
      </c>
      <c r="D49" s="131">
        <v>9.2899999999999996E-2</v>
      </c>
      <c r="E49" s="131">
        <v>9.2700000000000005E-2</v>
      </c>
      <c r="F49" s="131">
        <v>9.2700000000000005E-2</v>
      </c>
      <c r="G49" s="131">
        <v>9.2700000000000005E-2</v>
      </c>
      <c r="H49" s="131">
        <v>9.2700000000000005E-2</v>
      </c>
      <c r="I49" s="131">
        <v>9.2600000000000002E-2</v>
      </c>
      <c r="J49" s="131">
        <v>9.2600000000000002E-2</v>
      </c>
      <c r="K49" s="131">
        <v>9.2600000000000002E-2</v>
      </c>
      <c r="L49" s="131">
        <v>9.2700000000000005E-2</v>
      </c>
      <c r="M49" s="131">
        <v>9.2499999999999999E-2</v>
      </c>
      <c r="N49" s="131">
        <v>9.2399999999999996E-2</v>
      </c>
      <c r="O49" s="131">
        <v>9.2299999999999993E-2</v>
      </c>
      <c r="P49" s="131">
        <v>9.2700000000000005E-2</v>
      </c>
      <c r="Q49" s="131">
        <v>9.2600000000000002E-2</v>
      </c>
      <c r="R49" s="131">
        <v>9.2799999999999994E-2</v>
      </c>
      <c r="S49" s="131">
        <v>9.2999999999999999E-2</v>
      </c>
      <c r="T49" s="131">
        <v>9.2999999999999999E-2</v>
      </c>
      <c r="U49" s="131">
        <v>9.2999999999999999E-2</v>
      </c>
      <c r="V49" s="131">
        <v>9.3100000000000002E-2</v>
      </c>
      <c r="W49" s="131">
        <v>9.3100000000000002E-2</v>
      </c>
      <c r="X49" s="131">
        <v>9.3100000000000002E-2</v>
      </c>
      <c r="Y49" s="131">
        <v>9.3100000000000002E-2</v>
      </c>
      <c r="Z49" s="131">
        <v>9.2999999999999999E-2</v>
      </c>
      <c r="AA49" s="131">
        <v>9.2999999999999999E-2</v>
      </c>
      <c r="AB49" s="131">
        <v>9.3100000000000002E-2</v>
      </c>
      <c r="AC49" s="131">
        <v>9.2999999999999999E-2</v>
      </c>
      <c r="AD49" s="131">
        <v>9.2999999999999999E-2</v>
      </c>
      <c r="AE49" s="131">
        <v>9.2999999999999999E-2</v>
      </c>
      <c r="AF49" s="131">
        <v>9.2999999999999999E-2</v>
      </c>
      <c r="AG49" s="131">
        <v>9.2999999999999999E-2</v>
      </c>
    </row>
    <row r="50" spans="1:33" x14ac:dyDescent="0.2">
      <c r="A50" s="136" t="s">
        <v>53</v>
      </c>
      <c r="B50" s="131">
        <v>9.2799999999999994E-2</v>
      </c>
      <c r="C50" s="131">
        <v>9.2799999999999994E-2</v>
      </c>
      <c r="D50" s="131">
        <v>9.2799999999999994E-2</v>
      </c>
      <c r="E50" s="131">
        <v>9.2600000000000002E-2</v>
      </c>
      <c r="F50" s="131">
        <v>9.2600000000000002E-2</v>
      </c>
      <c r="G50" s="131">
        <v>9.2700000000000005E-2</v>
      </c>
      <c r="H50" s="131">
        <v>9.2700000000000005E-2</v>
      </c>
      <c r="I50" s="131">
        <v>9.2700000000000005E-2</v>
      </c>
      <c r="J50" s="131">
        <v>9.2700000000000005E-2</v>
      </c>
      <c r="K50" s="131">
        <v>9.2700000000000005E-2</v>
      </c>
      <c r="L50" s="131">
        <v>9.2600000000000002E-2</v>
      </c>
      <c r="M50" s="131">
        <v>9.2499999999999999E-2</v>
      </c>
      <c r="N50" s="131">
        <v>9.2399999999999996E-2</v>
      </c>
      <c r="O50" s="131">
        <v>9.2299999999999993E-2</v>
      </c>
      <c r="P50" s="131">
        <v>9.2499999999999999E-2</v>
      </c>
      <c r="Q50" s="131">
        <v>9.2700000000000005E-2</v>
      </c>
      <c r="R50" s="131">
        <v>9.3399999999999997E-2</v>
      </c>
      <c r="S50" s="131">
        <v>9.2999999999999999E-2</v>
      </c>
      <c r="T50" s="131">
        <v>9.2999999999999999E-2</v>
      </c>
      <c r="U50" s="131">
        <v>9.2999999999999999E-2</v>
      </c>
      <c r="V50" s="131">
        <v>9.3100000000000002E-2</v>
      </c>
      <c r="W50" s="131">
        <v>9.2999999999999999E-2</v>
      </c>
      <c r="X50" s="131">
        <v>9.2999999999999999E-2</v>
      </c>
      <c r="Y50" s="131">
        <v>9.3100000000000002E-2</v>
      </c>
      <c r="Z50" s="131">
        <v>9.2999999999999999E-2</v>
      </c>
      <c r="AA50" s="131">
        <v>9.2899999999999996E-2</v>
      </c>
      <c r="AB50" s="131">
        <v>9.2899999999999996E-2</v>
      </c>
      <c r="AC50" s="131">
        <v>9.2999999999999999E-2</v>
      </c>
      <c r="AD50" s="131">
        <v>9.2899999999999996E-2</v>
      </c>
      <c r="AE50" s="131">
        <v>9.2799999999999994E-2</v>
      </c>
      <c r="AF50" s="131">
        <v>9.2899999999999996E-2</v>
      </c>
      <c r="AG50" s="131">
        <v>9.2899999999999996E-2</v>
      </c>
    </row>
    <row r="51" spans="1:33" x14ac:dyDescent="0.2">
      <c r="A51" s="136" t="s">
        <v>54</v>
      </c>
      <c r="B51" s="131">
        <v>9.2299999999999993E-2</v>
      </c>
      <c r="C51" s="131">
        <v>9.2399999999999996E-2</v>
      </c>
      <c r="D51" s="131">
        <v>9.2399999999999996E-2</v>
      </c>
      <c r="E51" s="131">
        <v>9.2299999999999993E-2</v>
      </c>
      <c r="F51" s="131">
        <v>9.2299999999999993E-2</v>
      </c>
      <c r="G51" s="131">
        <v>9.2899999999999996E-2</v>
      </c>
      <c r="H51" s="131">
        <v>9.2299999999999993E-2</v>
      </c>
      <c r="I51" s="131">
        <v>9.2399999999999996E-2</v>
      </c>
      <c r="J51" s="131">
        <v>9.2399999999999996E-2</v>
      </c>
      <c r="K51" s="131">
        <v>9.2299999999999993E-2</v>
      </c>
      <c r="L51" s="131">
        <v>9.2200000000000004E-2</v>
      </c>
      <c r="M51" s="131">
        <v>9.2100000000000001E-2</v>
      </c>
      <c r="N51" s="131">
        <v>9.2100000000000001E-2</v>
      </c>
      <c r="O51" s="131">
        <v>9.2100000000000001E-2</v>
      </c>
      <c r="P51" s="131">
        <v>9.2299999999999993E-2</v>
      </c>
      <c r="Q51" s="131">
        <v>9.2399999999999996E-2</v>
      </c>
      <c r="R51" s="131">
        <v>9.2600000000000002E-2</v>
      </c>
      <c r="S51" s="131">
        <v>9.2700000000000005E-2</v>
      </c>
      <c r="T51" s="131">
        <v>9.2600000000000002E-2</v>
      </c>
      <c r="U51" s="131">
        <v>9.2600000000000002E-2</v>
      </c>
      <c r="V51" s="131">
        <v>9.2600000000000002E-2</v>
      </c>
      <c r="W51" s="131">
        <v>9.2700000000000005E-2</v>
      </c>
      <c r="X51" s="131">
        <v>9.2700000000000005E-2</v>
      </c>
      <c r="Y51" s="131">
        <v>9.2700000000000005E-2</v>
      </c>
      <c r="Z51" s="131">
        <v>9.2600000000000002E-2</v>
      </c>
      <c r="AA51" s="131">
        <v>9.2600000000000002E-2</v>
      </c>
      <c r="AB51" s="131">
        <v>9.2600000000000002E-2</v>
      </c>
      <c r="AC51" s="131">
        <v>9.2600000000000002E-2</v>
      </c>
      <c r="AD51" s="131">
        <v>9.2600000000000002E-2</v>
      </c>
      <c r="AE51" s="131">
        <v>9.2499999999999999E-2</v>
      </c>
      <c r="AF51" s="131">
        <v>9.2600000000000002E-2</v>
      </c>
      <c r="AG51" s="131">
        <v>9.2600000000000002E-2</v>
      </c>
    </row>
    <row r="52" spans="1:33" x14ac:dyDescent="0.2">
      <c r="A52" s="136" t="s">
        <v>55</v>
      </c>
      <c r="B52" s="131">
        <v>9.6299999999999997E-2</v>
      </c>
      <c r="C52" s="131">
        <v>9.6699999999999994E-2</v>
      </c>
      <c r="D52" s="131">
        <v>9.6699999999999994E-2</v>
      </c>
      <c r="E52" s="131">
        <v>9.6600000000000005E-2</v>
      </c>
      <c r="F52" s="131">
        <v>9.7000000000000003E-2</v>
      </c>
      <c r="G52" s="131">
        <v>9.7500000000000003E-2</v>
      </c>
      <c r="H52" s="131">
        <v>9.8299999999999998E-2</v>
      </c>
      <c r="I52" s="131">
        <v>9.9900000000000003E-2</v>
      </c>
      <c r="J52" s="131">
        <v>0.1021</v>
      </c>
      <c r="K52" s="131">
        <v>0.10580000000000001</v>
      </c>
      <c r="L52" s="131">
        <v>0.11169999999999999</v>
      </c>
      <c r="M52" s="131">
        <v>0.12039999999999999</v>
      </c>
      <c r="N52" s="131">
        <v>0.13370000000000001</v>
      </c>
      <c r="O52" s="131">
        <v>0.1525</v>
      </c>
      <c r="P52" s="131">
        <v>0.17659999000000001</v>
      </c>
      <c r="Q52" s="131">
        <v>0.20460001</v>
      </c>
      <c r="R52" s="131">
        <v>0.23830000000000001</v>
      </c>
      <c r="S52" s="131">
        <v>0.27849998999999998</v>
      </c>
      <c r="T52" s="131">
        <v>0.32359999</v>
      </c>
      <c r="U52" s="131">
        <v>0.37169998999999998</v>
      </c>
      <c r="V52" s="131">
        <v>0.42399998999999999</v>
      </c>
      <c r="W52" s="131">
        <v>0.47490000999999998</v>
      </c>
      <c r="X52" s="131">
        <v>0.51779997</v>
      </c>
      <c r="Y52" s="131">
        <v>0.55080003</v>
      </c>
      <c r="Z52" s="131">
        <v>0.56639998999999996</v>
      </c>
      <c r="AA52" s="131">
        <v>0.58270001000000005</v>
      </c>
      <c r="AB52" s="131">
        <v>0.59969996999999997</v>
      </c>
      <c r="AC52" s="131">
        <v>0.61470002000000001</v>
      </c>
      <c r="AD52" s="131">
        <v>0.63190000999999996</v>
      </c>
      <c r="AE52" s="131">
        <v>0.64770000999999999</v>
      </c>
      <c r="AF52" s="131">
        <v>0.66420000999999995</v>
      </c>
      <c r="AG52" s="131">
        <v>0.67739998999999995</v>
      </c>
    </row>
    <row r="53" spans="1:33" x14ac:dyDescent="0.2">
      <c r="A53" s="136" t="s">
        <v>56</v>
      </c>
      <c r="B53" s="131">
        <v>9.6299999999999997E-2</v>
      </c>
      <c r="C53" s="131">
        <v>9.6500000000000002E-2</v>
      </c>
      <c r="D53" s="131">
        <v>9.6600000000000005E-2</v>
      </c>
      <c r="E53" s="131">
        <v>9.64E-2</v>
      </c>
      <c r="F53" s="131">
        <v>9.6799999999999997E-2</v>
      </c>
      <c r="G53" s="131">
        <v>9.74E-2</v>
      </c>
      <c r="H53" s="131">
        <v>9.8100000000000007E-2</v>
      </c>
      <c r="I53" s="131">
        <v>9.9599999999999994E-2</v>
      </c>
      <c r="J53" s="131">
        <v>0.10199999999999999</v>
      </c>
      <c r="K53" s="131">
        <v>0.10539999999999999</v>
      </c>
      <c r="L53" s="131">
        <v>0.1124</v>
      </c>
      <c r="M53" s="131">
        <v>0.1205</v>
      </c>
      <c r="N53" s="131">
        <v>0.13349999000000001</v>
      </c>
      <c r="O53" s="131">
        <v>0.15229999999999999</v>
      </c>
      <c r="P53" s="131">
        <v>0.17710000000000001</v>
      </c>
      <c r="Q53" s="131">
        <v>0.20479998999999999</v>
      </c>
      <c r="R53" s="131">
        <v>0.2384</v>
      </c>
      <c r="S53" s="131">
        <v>0.27880000999999999</v>
      </c>
      <c r="T53" s="131">
        <v>0.32379999999999998</v>
      </c>
      <c r="U53" s="131">
        <v>0.37319999999999998</v>
      </c>
      <c r="V53" s="131">
        <v>0.42599999999999999</v>
      </c>
      <c r="W53" s="131">
        <v>0.47620001000000001</v>
      </c>
      <c r="X53" s="131">
        <v>0.5212</v>
      </c>
      <c r="Y53" s="131">
        <v>0.55360001000000003</v>
      </c>
      <c r="Z53" s="131">
        <v>0.56849998000000002</v>
      </c>
      <c r="AA53" s="131">
        <v>0.58700001000000002</v>
      </c>
      <c r="AB53" s="131">
        <v>0.60299999000000004</v>
      </c>
      <c r="AC53" s="131">
        <v>0.61809999000000004</v>
      </c>
      <c r="AD53" s="131">
        <v>0.63510001000000005</v>
      </c>
      <c r="AE53" s="131">
        <v>0.64969999</v>
      </c>
      <c r="AF53" s="131">
        <v>0.66739999999999999</v>
      </c>
      <c r="AG53" s="131">
        <v>0.68129998000000003</v>
      </c>
    </row>
    <row r="54" spans="1:33" x14ac:dyDescent="0.2">
      <c r="A54" s="136" t="s">
        <v>57</v>
      </c>
      <c r="B54" s="131">
        <v>9.8500000000000004E-2</v>
      </c>
      <c r="C54" s="131">
        <v>9.8599999999999993E-2</v>
      </c>
      <c r="D54" s="131">
        <v>9.7900000000000001E-2</v>
      </c>
      <c r="E54" s="131">
        <v>9.7799999999999998E-2</v>
      </c>
      <c r="F54" s="131">
        <v>9.8100000000000007E-2</v>
      </c>
      <c r="G54" s="131">
        <v>9.9299999999999999E-2</v>
      </c>
      <c r="H54" s="131">
        <v>9.9500000000000005E-2</v>
      </c>
      <c r="I54" s="131">
        <v>0.10100000000000001</v>
      </c>
      <c r="J54" s="131">
        <v>0.1031</v>
      </c>
      <c r="K54" s="131">
        <v>0.10680000000000001</v>
      </c>
      <c r="L54" s="131">
        <v>0.1123</v>
      </c>
      <c r="M54" s="131">
        <v>0.1208</v>
      </c>
      <c r="N54" s="131">
        <v>0.13669999999999999</v>
      </c>
      <c r="O54" s="131">
        <v>0.15290000000000001</v>
      </c>
      <c r="P54" s="131">
        <v>0.1754</v>
      </c>
      <c r="Q54" s="131">
        <v>0.20319999999999999</v>
      </c>
      <c r="R54" s="131">
        <v>0.23599999999999999</v>
      </c>
      <c r="S54" s="131">
        <v>0.27639999999999998</v>
      </c>
      <c r="T54" s="131">
        <v>0.32089999000000002</v>
      </c>
      <c r="U54" s="131">
        <v>0.37040001</v>
      </c>
      <c r="V54" s="131">
        <v>0.42320001000000002</v>
      </c>
      <c r="W54" s="131">
        <v>0.47400001000000003</v>
      </c>
      <c r="X54" s="131">
        <v>0.51859999000000001</v>
      </c>
      <c r="Y54" s="131">
        <v>0.55720000999999997</v>
      </c>
      <c r="Z54" s="131">
        <v>0.56809997999999995</v>
      </c>
      <c r="AA54" s="131">
        <v>0.58770001000000005</v>
      </c>
      <c r="AB54" s="131">
        <v>0.60199999999999998</v>
      </c>
      <c r="AC54" s="131">
        <v>0.62010001999999997</v>
      </c>
      <c r="AD54" s="131">
        <v>0.63349997999999996</v>
      </c>
      <c r="AE54" s="131">
        <v>0.65130001000000004</v>
      </c>
      <c r="AF54" s="131">
        <v>0.66659999000000003</v>
      </c>
      <c r="AG54" s="131">
        <v>0.68069999999999997</v>
      </c>
    </row>
    <row r="55" spans="1:33" x14ac:dyDescent="0.2">
      <c r="A55" s="136" t="s">
        <v>58</v>
      </c>
      <c r="B55" s="131">
        <v>9.69E-2</v>
      </c>
      <c r="C55" s="131">
        <v>9.6799999999999997E-2</v>
      </c>
      <c r="D55" s="131">
        <v>9.6799999999999997E-2</v>
      </c>
      <c r="E55" s="131">
        <v>9.6600000000000005E-2</v>
      </c>
      <c r="F55" s="131">
        <v>9.7100000000000006E-2</v>
      </c>
      <c r="G55" s="131">
        <v>9.7600000000000006E-2</v>
      </c>
      <c r="H55" s="131">
        <v>9.8199999999999996E-2</v>
      </c>
      <c r="I55" s="131">
        <v>0.10009999999999999</v>
      </c>
      <c r="J55" s="131">
        <v>0.1019</v>
      </c>
      <c r="K55" s="131">
        <v>0.1052</v>
      </c>
      <c r="L55" s="131">
        <v>0.1103</v>
      </c>
      <c r="M55" s="131">
        <v>0.1173</v>
      </c>
      <c r="N55" s="131">
        <v>0.1268</v>
      </c>
      <c r="O55" s="131">
        <v>0.13830000000000001</v>
      </c>
      <c r="P55" s="131">
        <v>0.15229999999999999</v>
      </c>
      <c r="Q55" s="131">
        <v>0.16949998999999999</v>
      </c>
      <c r="R55" s="131">
        <v>0.189</v>
      </c>
      <c r="S55" s="131">
        <v>0.21560000000000001</v>
      </c>
      <c r="T55" s="131">
        <v>0.24399999999999999</v>
      </c>
      <c r="U55" s="131">
        <v>0.27389999999999998</v>
      </c>
      <c r="V55" s="131">
        <v>0.30779999000000002</v>
      </c>
      <c r="W55" s="131">
        <v>0.33389999999999997</v>
      </c>
      <c r="X55" s="131">
        <v>0.35589999</v>
      </c>
      <c r="Y55" s="131">
        <v>0.36840001</v>
      </c>
      <c r="Z55" s="131">
        <v>0.37580001000000002</v>
      </c>
      <c r="AA55" s="131">
        <v>0.38600001</v>
      </c>
      <c r="AB55" s="131">
        <v>0.39419999999999999</v>
      </c>
      <c r="AC55" s="131">
        <v>0.40660000000000002</v>
      </c>
      <c r="AD55" s="131">
        <v>0.41780001</v>
      </c>
      <c r="AE55" s="131">
        <v>0.42879999000000002</v>
      </c>
      <c r="AF55" s="131">
        <v>0.43930000000000002</v>
      </c>
      <c r="AG55" s="131">
        <v>0.4506</v>
      </c>
    </row>
    <row r="56" spans="1:33" x14ac:dyDescent="0.2">
      <c r="A56" s="136" t="s">
        <v>59</v>
      </c>
      <c r="B56" s="131">
        <v>9.6799999999999997E-2</v>
      </c>
      <c r="C56" s="131">
        <v>9.7000000000000003E-2</v>
      </c>
      <c r="D56" s="131">
        <v>9.7000000000000003E-2</v>
      </c>
      <c r="E56" s="131">
        <v>9.6699999999999994E-2</v>
      </c>
      <c r="F56" s="131">
        <v>9.7199999999999995E-2</v>
      </c>
      <c r="G56" s="131">
        <v>9.7699999999999995E-2</v>
      </c>
      <c r="H56" s="131">
        <v>9.8599999999999993E-2</v>
      </c>
      <c r="I56" s="131">
        <v>0.10009999999999999</v>
      </c>
      <c r="J56" s="131">
        <v>0.1022</v>
      </c>
      <c r="K56" s="131">
        <v>0.1057</v>
      </c>
      <c r="L56" s="131">
        <v>0.11119999999999999</v>
      </c>
      <c r="M56" s="131">
        <v>0.1182</v>
      </c>
      <c r="N56" s="131">
        <v>0.12800001</v>
      </c>
      <c r="O56" s="131">
        <v>0.13930000000000001</v>
      </c>
      <c r="P56" s="131">
        <v>0.15360001000000001</v>
      </c>
      <c r="Q56" s="131">
        <v>0.17110001</v>
      </c>
      <c r="R56" s="131">
        <v>0.18979999</v>
      </c>
      <c r="S56" s="131">
        <v>0.21610001000000001</v>
      </c>
      <c r="T56" s="131">
        <v>0.24259998999999999</v>
      </c>
      <c r="U56" s="131">
        <v>0.27550000000000002</v>
      </c>
      <c r="V56" s="131">
        <v>0.30779999000000002</v>
      </c>
      <c r="W56" s="131">
        <v>0.33719999</v>
      </c>
      <c r="X56" s="131">
        <v>0.35409998999999998</v>
      </c>
      <c r="Y56" s="131">
        <v>0.36820000000000003</v>
      </c>
      <c r="Z56" s="131">
        <v>0.37830001000000002</v>
      </c>
      <c r="AA56" s="131">
        <v>0.38740000000000002</v>
      </c>
      <c r="AB56" s="131">
        <v>0.40029999999999999</v>
      </c>
      <c r="AC56" s="131">
        <v>0.40810001000000001</v>
      </c>
      <c r="AD56" s="131">
        <v>0.41929999000000001</v>
      </c>
      <c r="AE56" s="131">
        <v>0.42759999999999998</v>
      </c>
      <c r="AF56" s="131">
        <v>0.43689999000000002</v>
      </c>
      <c r="AG56" s="131">
        <v>0.44760000999999999</v>
      </c>
    </row>
    <row r="57" spans="1:33" x14ac:dyDescent="0.2">
      <c r="A57" s="136" t="s">
        <v>60</v>
      </c>
      <c r="B57" s="131">
        <v>9.69E-2</v>
      </c>
      <c r="C57" s="131">
        <v>9.7100000000000006E-2</v>
      </c>
      <c r="D57" s="131">
        <v>9.7000000000000003E-2</v>
      </c>
      <c r="E57" s="131">
        <v>9.6799999999999997E-2</v>
      </c>
      <c r="F57" s="131">
        <v>9.7199999999999995E-2</v>
      </c>
      <c r="G57" s="131">
        <v>9.7900000000000001E-2</v>
      </c>
      <c r="H57" s="131">
        <v>9.8699999999999996E-2</v>
      </c>
      <c r="I57" s="131">
        <v>0.1002</v>
      </c>
      <c r="J57" s="131">
        <v>0.1027</v>
      </c>
      <c r="K57" s="131">
        <v>0.10639999999999999</v>
      </c>
      <c r="L57" s="131">
        <v>0.11210000000000001</v>
      </c>
      <c r="M57" s="131">
        <v>0.1192</v>
      </c>
      <c r="N57" s="131">
        <v>0.12939999999999999</v>
      </c>
      <c r="O57" s="131">
        <v>0.14080000000000001</v>
      </c>
      <c r="P57" s="131">
        <v>0.15609999999999999</v>
      </c>
      <c r="Q57" s="131">
        <v>0.17330000000000001</v>
      </c>
      <c r="R57" s="131">
        <v>0.19580001</v>
      </c>
      <c r="S57" s="131">
        <v>0.22020000000000001</v>
      </c>
      <c r="T57" s="131">
        <v>0.25150001</v>
      </c>
      <c r="U57" s="131">
        <v>0.28220001</v>
      </c>
      <c r="V57" s="131">
        <v>0.31819998999999999</v>
      </c>
      <c r="W57" s="131">
        <v>0.34110001000000001</v>
      </c>
      <c r="X57" s="131">
        <v>0.36059998999999998</v>
      </c>
      <c r="Y57" s="131">
        <v>0.37490001000000001</v>
      </c>
      <c r="Z57" s="131">
        <v>0.38400000000000001</v>
      </c>
      <c r="AA57" s="131">
        <v>0.39359999000000001</v>
      </c>
      <c r="AB57" s="131">
        <v>0.39639999999999997</v>
      </c>
      <c r="AC57" s="131">
        <v>0.41170001000000001</v>
      </c>
      <c r="AD57" s="131">
        <v>0.42269999000000003</v>
      </c>
      <c r="AE57" s="131">
        <v>0.433</v>
      </c>
      <c r="AF57" s="131">
        <v>0.4425</v>
      </c>
      <c r="AG57" s="131">
        <v>0.44890001000000002</v>
      </c>
    </row>
    <row r="58" spans="1:33" x14ac:dyDescent="0.2">
      <c r="A58" s="136" t="s">
        <v>61</v>
      </c>
      <c r="B58" s="131">
        <v>9.7299999999999998E-2</v>
      </c>
      <c r="C58" s="131">
        <v>9.7299999999999998E-2</v>
      </c>
      <c r="D58" s="131">
        <v>9.74E-2</v>
      </c>
      <c r="E58" s="131">
        <v>9.7299999999999998E-2</v>
      </c>
      <c r="F58" s="131">
        <v>9.7500000000000003E-2</v>
      </c>
      <c r="G58" s="131">
        <v>9.8100000000000007E-2</v>
      </c>
      <c r="H58" s="131">
        <v>9.8900000000000002E-2</v>
      </c>
      <c r="I58" s="131">
        <v>0.1</v>
      </c>
      <c r="J58" s="131">
        <v>0.1024</v>
      </c>
      <c r="K58" s="131">
        <v>0.1052</v>
      </c>
      <c r="L58" s="131">
        <v>0.1106</v>
      </c>
      <c r="M58" s="131">
        <v>0.11849999999999999</v>
      </c>
      <c r="N58" s="131">
        <v>0.12959999999999999</v>
      </c>
      <c r="O58" s="131">
        <v>0.14470000999999999</v>
      </c>
      <c r="P58" s="131">
        <v>0.16309999999999999</v>
      </c>
      <c r="Q58" s="131">
        <v>0.18430000999999999</v>
      </c>
      <c r="R58" s="131">
        <v>0.21099999999999999</v>
      </c>
      <c r="S58" s="131">
        <v>0.24299999999999999</v>
      </c>
      <c r="T58" s="131">
        <v>0.28000000000000003</v>
      </c>
      <c r="U58" s="131">
        <v>0.31979998999999998</v>
      </c>
      <c r="V58" s="131">
        <v>0.36000000999999998</v>
      </c>
      <c r="W58" s="131">
        <v>0.39850000000000002</v>
      </c>
      <c r="X58" s="131">
        <v>0.42950000999999999</v>
      </c>
      <c r="Y58" s="131">
        <v>0.45079999999999998</v>
      </c>
      <c r="Z58" s="131">
        <v>0.45070000999999998</v>
      </c>
      <c r="AA58" s="131">
        <v>0.44879999999999998</v>
      </c>
      <c r="AB58" s="131">
        <v>0.44780001000000003</v>
      </c>
      <c r="AC58" s="131">
        <v>0.44980000999999997</v>
      </c>
      <c r="AD58" s="131">
        <v>0.45230000999999997</v>
      </c>
      <c r="AE58" s="131">
        <v>0.45680000999999998</v>
      </c>
      <c r="AF58" s="131">
        <v>0.46149999000000003</v>
      </c>
      <c r="AG58" s="131">
        <v>0.46529999</v>
      </c>
    </row>
    <row r="59" spans="1:33" x14ac:dyDescent="0.2">
      <c r="A59" s="136" t="s">
        <v>62</v>
      </c>
      <c r="B59" s="131">
        <v>9.7199999999999995E-2</v>
      </c>
      <c r="C59" s="131">
        <v>9.7299999999999998E-2</v>
      </c>
      <c r="D59" s="131">
        <v>9.7199999999999995E-2</v>
      </c>
      <c r="E59" s="131">
        <v>9.7100000000000006E-2</v>
      </c>
      <c r="F59" s="131">
        <v>9.74E-2</v>
      </c>
      <c r="G59" s="131">
        <v>9.7900000000000001E-2</v>
      </c>
      <c r="H59" s="131">
        <v>9.8699999999999996E-2</v>
      </c>
      <c r="I59" s="131">
        <v>9.9900000000000003E-2</v>
      </c>
      <c r="J59" s="131">
        <v>0.1019</v>
      </c>
      <c r="K59" s="131">
        <v>0.1051</v>
      </c>
      <c r="L59" s="131">
        <v>0.1105</v>
      </c>
      <c r="M59" s="131">
        <v>0.1182</v>
      </c>
      <c r="N59" s="131">
        <v>0.12970001</v>
      </c>
      <c r="O59" s="131">
        <v>0.14419999999999999</v>
      </c>
      <c r="P59" s="131">
        <v>0.16209999999999999</v>
      </c>
      <c r="Q59" s="131">
        <v>0.18290000000000001</v>
      </c>
      <c r="R59" s="131">
        <v>0.20930000000000001</v>
      </c>
      <c r="S59" s="131">
        <v>0.24199999999999999</v>
      </c>
      <c r="T59" s="131">
        <v>0.27729999999999999</v>
      </c>
      <c r="U59" s="131">
        <v>0.31560000999999999</v>
      </c>
      <c r="V59" s="131">
        <v>0.35649999999999998</v>
      </c>
      <c r="W59" s="131">
        <v>0.39390001000000002</v>
      </c>
      <c r="X59" s="131">
        <v>0.42269999000000003</v>
      </c>
      <c r="Y59" s="131">
        <v>0.44290000000000002</v>
      </c>
      <c r="Z59" s="131">
        <v>0.44100001</v>
      </c>
      <c r="AA59" s="131">
        <v>0.44019999999999998</v>
      </c>
      <c r="AB59" s="131">
        <v>0.44040000000000001</v>
      </c>
      <c r="AC59" s="131">
        <v>0.44459999</v>
      </c>
      <c r="AD59" s="131">
        <v>0.44949999000000002</v>
      </c>
      <c r="AE59" s="131">
        <v>0.45570000999999999</v>
      </c>
      <c r="AF59" s="131">
        <v>0.45939999999999998</v>
      </c>
      <c r="AG59" s="131">
        <v>0.46630000999999999</v>
      </c>
    </row>
    <row r="60" spans="1:33" x14ac:dyDescent="0.2">
      <c r="A60" s="136" t="s">
        <v>63</v>
      </c>
      <c r="B60" s="131">
        <v>9.7799999999999998E-2</v>
      </c>
      <c r="C60" s="131">
        <v>9.7799999999999998E-2</v>
      </c>
      <c r="D60" s="131">
        <v>9.7699999999999995E-2</v>
      </c>
      <c r="E60" s="131">
        <v>9.7600000000000006E-2</v>
      </c>
      <c r="F60" s="131">
        <v>9.7900000000000001E-2</v>
      </c>
      <c r="G60" s="131">
        <v>9.8400000000000001E-2</v>
      </c>
      <c r="H60" s="131">
        <v>9.9199999999999997E-2</v>
      </c>
      <c r="I60" s="131">
        <v>0.10059999999999999</v>
      </c>
      <c r="J60" s="131">
        <v>0.1027</v>
      </c>
      <c r="K60" s="131">
        <v>0.1062</v>
      </c>
      <c r="L60" s="131">
        <v>0.1118</v>
      </c>
      <c r="M60" s="131">
        <v>0.1201</v>
      </c>
      <c r="N60" s="131">
        <v>0.13150001</v>
      </c>
      <c r="O60" s="131">
        <v>0.14610000000000001</v>
      </c>
      <c r="P60" s="131">
        <v>0.16489999999999999</v>
      </c>
      <c r="Q60" s="131">
        <v>0.18590000000000001</v>
      </c>
      <c r="R60" s="131">
        <v>0.21349999</v>
      </c>
      <c r="S60" s="131">
        <v>0.24640000000000001</v>
      </c>
      <c r="T60" s="131">
        <v>0.28160000000000002</v>
      </c>
      <c r="U60" s="131">
        <v>0.32170000999999998</v>
      </c>
      <c r="V60" s="131">
        <v>0.36370000000000002</v>
      </c>
      <c r="W60" s="131">
        <v>0.39950001000000002</v>
      </c>
      <c r="X60" s="131">
        <v>0.42670000000000002</v>
      </c>
      <c r="Y60" s="131">
        <v>0.44530001000000002</v>
      </c>
      <c r="Z60" s="131">
        <v>0.44379999999999997</v>
      </c>
      <c r="AA60" s="131">
        <v>0.442</v>
      </c>
      <c r="AB60" s="131">
        <v>0.44299999000000001</v>
      </c>
      <c r="AC60" s="131">
        <v>0.44659999</v>
      </c>
      <c r="AD60" s="131">
        <v>0.44980000999999997</v>
      </c>
      <c r="AE60" s="131">
        <v>0.45660001</v>
      </c>
      <c r="AF60" s="131">
        <v>0.4632</v>
      </c>
      <c r="AG60" s="131">
        <v>0.46729999999999999</v>
      </c>
    </row>
    <row r="61" spans="1:33" x14ac:dyDescent="0.2">
      <c r="A61" s="136" t="s">
        <v>64</v>
      </c>
      <c r="B61" s="131">
        <v>9.6000000000000002E-2</v>
      </c>
      <c r="C61" s="131">
        <v>9.6100000000000005E-2</v>
      </c>
      <c r="D61" s="131">
        <v>9.6000000000000002E-2</v>
      </c>
      <c r="E61" s="131">
        <v>9.5799999999999996E-2</v>
      </c>
      <c r="F61" s="131">
        <v>9.6100000000000005E-2</v>
      </c>
      <c r="G61" s="131">
        <v>9.6500000000000002E-2</v>
      </c>
      <c r="H61" s="131">
        <v>9.74E-2</v>
      </c>
      <c r="I61" s="131">
        <v>9.8900000000000002E-2</v>
      </c>
      <c r="J61" s="131">
        <v>0.10100000000000001</v>
      </c>
      <c r="K61" s="131">
        <v>0.1046</v>
      </c>
      <c r="L61" s="131">
        <v>0.11020000000000001</v>
      </c>
      <c r="M61" s="131">
        <v>0.1181</v>
      </c>
      <c r="N61" s="131">
        <v>0.13139999999999999</v>
      </c>
      <c r="O61" s="131">
        <v>0.14860000000000001</v>
      </c>
      <c r="P61" s="131">
        <v>0.17290000999999999</v>
      </c>
      <c r="Q61" s="131">
        <v>0.1996</v>
      </c>
      <c r="R61" s="131">
        <v>0.23430000000000001</v>
      </c>
      <c r="S61" s="131">
        <v>0.27550000000000002</v>
      </c>
      <c r="T61" s="131">
        <v>0.31840000000000002</v>
      </c>
      <c r="U61" s="131">
        <v>0.36359998999999998</v>
      </c>
      <c r="V61" s="131">
        <v>0.40839999999999999</v>
      </c>
      <c r="W61" s="131">
        <v>0.44890001000000002</v>
      </c>
      <c r="X61" s="131">
        <v>0.48390000999999999</v>
      </c>
      <c r="Y61" s="131">
        <v>0.50089996999999997</v>
      </c>
      <c r="Z61" s="131">
        <v>0.51599996999999997</v>
      </c>
      <c r="AA61" s="131">
        <v>0.52990000999999998</v>
      </c>
      <c r="AB61" s="131">
        <v>0.54379999999999995</v>
      </c>
      <c r="AC61" s="131">
        <v>0.55919998999999998</v>
      </c>
      <c r="AD61" s="131">
        <v>0.57499999000000002</v>
      </c>
      <c r="AE61" s="131">
        <v>0.58929997999999995</v>
      </c>
      <c r="AF61" s="131">
        <v>0.60329997999999996</v>
      </c>
      <c r="AG61" s="131">
        <v>0.61339997999999996</v>
      </c>
    </row>
    <row r="62" spans="1:33" x14ac:dyDescent="0.2">
      <c r="A62" s="136" t="s">
        <v>65</v>
      </c>
      <c r="B62" s="131">
        <v>9.2499999999999999E-2</v>
      </c>
      <c r="C62" s="131">
        <v>9.2499999999999999E-2</v>
      </c>
      <c r="D62" s="131">
        <v>9.2899999999999996E-2</v>
      </c>
      <c r="E62" s="131">
        <v>9.2100000000000001E-2</v>
      </c>
      <c r="F62" s="131">
        <v>9.2100000000000001E-2</v>
      </c>
      <c r="G62" s="131">
        <v>9.2100000000000001E-2</v>
      </c>
      <c r="H62" s="131">
        <v>9.2100000000000001E-2</v>
      </c>
      <c r="I62" s="131">
        <v>9.2100000000000001E-2</v>
      </c>
      <c r="J62" s="131">
        <v>9.2100000000000001E-2</v>
      </c>
      <c r="K62" s="131">
        <v>9.1999999999999998E-2</v>
      </c>
      <c r="L62" s="131">
        <v>9.1999999999999998E-2</v>
      </c>
      <c r="M62" s="131">
        <v>9.1899999999999996E-2</v>
      </c>
      <c r="N62" s="131">
        <v>9.1800000000000007E-2</v>
      </c>
      <c r="O62" s="131">
        <v>9.1700000000000004E-2</v>
      </c>
      <c r="P62" s="131">
        <v>9.1999999999999998E-2</v>
      </c>
      <c r="Q62" s="131">
        <v>9.2100000000000001E-2</v>
      </c>
      <c r="R62" s="131">
        <v>9.2299999999999993E-2</v>
      </c>
      <c r="S62" s="131">
        <v>9.2399999999999996E-2</v>
      </c>
      <c r="T62" s="131">
        <v>9.2399999999999996E-2</v>
      </c>
      <c r="U62" s="131">
        <v>9.2499999999999999E-2</v>
      </c>
      <c r="V62" s="131">
        <v>9.2399999999999996E-2</v>
      </c>
      <c r="W62" s="131">
        <v>9.2499999999999999E-2</v>
      </c>
      <c r="X62" s="131">
        <v>9.2499999999999999E-2</v>
      </c>
      <c r="Y62" s="131">
        <v>9.2499999999999999E-2</v>
      </c>
      <c r="Z62" s="131">
        <v>9.2399999999999996E-2</v>
      </c>
      <c r="AA62" s="131">
        <v>9.2999999999999999E-2</v>
      </c>
      <c r="AB62" s="131">
        <v>9.2399999999999996E-2</v>
      </c>
      <c r="AC62" s="131">
        <v>9.2299999999999993E-2</v>
      </c>
      <c r="AD62" s="131">
        <v>9.2399999999999996E-2</v>
      </c>
      <c r="AE62" s="131">
        <v>9.2299999999999993E-2</v>
      </c>
      <c r="AF62" s="131">
        <v>9.2299999999999993E-2</v>
      </c>
      <c r="AG62" s="131">
        <v>9.2399999999999996E-2</v>
      </c>
    </row>
    <row r="63" spans="1:33" x14ac:dyDescent="0.2">
      <c r="A63" s="136" t="s">
        <v>66</v>
      </c>
      <c r="B63" s="131">
        <v>9.3299999999999994E-2</v>
      </c>
      <c r="C63" s="131">
        <v>9.3399999999999997E-2</v>
      </c>
      <c r="D63" s="131">
        <v>9.3600000000000003E-2</v>
      </c>
      <c r="E63" s="131">
        <v>9.35E-2</v>
      </c>
      <c r="F63" s="131">
        <v>9.3600000000000003E-2</v>
      </c>
      <c r="G63" s="131">
        <v>9.3600000000000003E-2</v>
      </c>
      <c r="H63" s="131">
        <v>9.3600000000000003E-2</v>
      </c>
      <c r="I63" s="131">
        <v>9.3600000000000003E-2</v>
      </c>
      <c r="J63" s="131">
        <v>9.3700000000000006E-2</v>
      </c>
      <c r="K63" s="131">
        <v>9.3700000000000006E-2</v>
      </c>
      <c r="L63" s="131">
        <v>9.35E-2</v>
      </c>
      <c r="M63" s="131">
        <v>9.3399999999999997E-2</v>
      </c>
      <c r="N63" s="131">
        <v>9.3399999999999997E-2</v>
      </c>
      <c r="O63" s="131">
        <v>9.3299999999999994E-2</v>
      </c>
      <c r="P63" s="131">
        <v>9.4100000000000003E-2</v>
      </c>
      <c r="Q63" s="131">
        <v>9.3600000000000003E-2</v>
      </c>
      <c r="R63" s="131">
        <v>9.3899999999999997E-2</v>
      </c>
      <c r="S63" s="131">
        <v>9.3799999999999994E-2</v>
      </c>
      <c r="T63" s="131">
        <v>9.3799999999999994E-2</v>
      </c>
      <c r="U63" s="131">
        <v>9.3799999999999994E-2</v>
      </c>
      <c r="V63" s="131">
        <v>9.3899999999999997E-2</v>
      </c>
      <c r="W63" s="131">
        <v>9.3899999999999997E-2</v>
      </c>
      <c r="X63" s="131">
        <v>9.3799999999999994E-2</v>
      </c>
      <c r="Y63" s="131">
        <v>9.3899999999999997E-2</v>
      </c>
      <c r="Z63" s="131">
        <v>9.3799999999999994E-2</v>
      </c>
      <c r="AA63" s="131">
        <v>9.3700000000000006E-2</v>
      </c>
      <c r="AB63" s="131">
        <v>9.3799999999999994E-2</v>
      </c>
      <c r="AC63" s="131">
        <v>9.3799999999999994E-2</v>
      </c>
      <c r="AD63" s="131">
        <v>9.3799999999999994E-2</v>
      </c>
      <c r="AE63" s="131">
        <v>9.3700000000000006E-2</v>
      </c>
      <c r="AF63" s="131">
        <v>9.3700000000000006E-2</v>
      </c>
      <c r="AG63" s="131">
        <v>9.3700000000000006E-2</v>
      </c>
    </row>
    <row r="64" spans="1:33" x14ac:dyDescent="0.2">
      <c r="A64" s="136" t="s">
        <v>67</v>
      </c>
      <c r="B64" s="131">
        <v>9.6299999999999997E-2</v>
      </c>
      <c r="C64" s="131">
        <v>9.64E-2</v>
      </c>
      <c r="D64" s="131">
        <v>9.64E-2</v>
      </c>
      <c r="E64" s="131">
        <v>9.6299999999999997E-2</v>
      </c>
      <c r="F64" s="131">
        <v>9.6600000000000005E-2</v>
      </c>
      <c r="G64" s="131">
        <v>9.7199999999999995E-2</v>
      </c>
      <c r="H64" s="131">
        <v>9.8199999999999996E-2</v>
      </c>
      <c r="I64" s="131">
        <v>9.9900000000000003E-2</v>
      </c>
      <c r="J64" s="131">
        <v>0.1024</v>
      </c>
      <c r="K64" s="131">
        <v>0.1062</v>
      </c>
      <c r="L64" s="131">
        <v>0.11260000000000001</v>
      </c>
      <c r="M64" s="131">
        <v>0.1215</v>
      </c>
      <c r="N64" s="131">
        <v>0.13539999999999999</v>
      </c>
      <c r="O64" s="131">
        <v>0.15329999999999999</v>
      </c>
      <c r="P64" s="131">
        <v>0.17580000000000001</v>
      </c>
      <c r="Q64" s="131">
        <v>0.20190000999999999</v>
      </c>
      <c r="R64" s="131">
        <v>0.23480000000000001</v>
      </c>
      <c r="S64" s="131">
        <v>0.27169999</v>
      </c>
      <c r="T64" s="131">
        <v>0.31159999999999999</v>
      </c>
      <c r="U64" s="131">
        <v>0.35399999999999998</v>
      </c>
      <c r="V64" s="131">
        <v>0.39379998999999999</v>
      </c>
      <c r="W64" s="131">
        <v>0.43009998999999999</v>
      </c>
      <c r="X64" s="131">
        <v>0.46239998999999998</v>
      </c>
      <c r="Y64" s="131">
        <v>0.47560000000000002</v>
      </c>
      <c r="Z64" s="131">
        <v>0.48959999999999998</v>
      </c>
      <c r="AA64" s="131">
        <v>0.50129997999999998</v>
      </c>
      <c r="AB64" s="131">
        <v>0.51660001</v>
      </c>
      <c r="AC64" s="131">
        <v>0.53240001000000003</v>
      </c>
      <c r="AD64" s="131">
        <v>0.54960001000000003</v>
      </c>
      <c r="AE64" s="131">
        <v>0.56789999999999996</v>
      </c>
      <c r="AF64" s="131">
        <v>0.57810002999999999</v>
      </c>
      <c r="AG64" s="131">
        <v>0.58969998000000001</v>
      </c>
    </row>
    <row r="65" spans="1:33" x14ac:dyDescent="0.2">
      <c r="A65" s="136" t="s">
        <v>68</v>
      </c>
      <c r="B65" s="131">
        <v>9.6299999999999997E-2</v>
      </c>
      <c r="C65" s="131">
        <v>9.6299999999999997E-2</v>
      </c>
      <c r="D65" s="131">
        <v>9.64E-2</v>
      </c>
      <c r="E65" s="131">
        <v>9.6199999999999994E-2</v>
      </c>
      <c r="F65" s="131">
        <v>9.6600000000000005E-2</v>
      </c>
      <c r="G65" s="131">
        <v>9.7199999999999995E-2</v>
      </c>
      <c r="H65" s="131">
        <v>9.8100000000000007E-2</v>
      </c>
      <c r="I65" s="131">
        <v>9.9500000000000005E-2</v>
      </c>
      <c r="J65" s="131">
        <v>0.1019</v>
      </c>
      <c r="K65" s="131">
        <v>0.10589999999999999</v>
      </c>
      <c r="L65" s="131">
        <v>0.1119</v>
      </c>
      <c r="M65" s="131">
        <v>0.12089999999999999</v>
      </c>
      <c r="N65" s="131">
        <v>0.13400000000000001</v>
      </c>
      <c r="O65" s="131">
        <v>0.15210000000000001</v>
      </c>
      <c r="P65" s="131">
        <v>0.17430000000000001</v>
      </c>
      <c r="Q65" s="131">
        <v>0.19969999999999999</v>
      </c>
      <c r="R65" s="131">
        <v>0.23169999999999999</v>
      </c>
      <c r="S65" s="131">
        <v>0.26969999</v>
      </c>
      <c r="T65" s="131">
        <v>0.30909999999999999</v>
      </c>
      <c r="U65" s="131">
        <v>0.35089998999999999</v>
      </c>
      <c r="V65" s="131">
        <v>0.39129998999999999</v>
      </c>
      <c r="W65" s="131">
        <v>0.42699999</v>
      </c>
      <c r="X65" s="131">
        <v>0.45939999999999998</v>
      </c>
      <c r="Y65" s="131">
        <v>0.47350001000000003</v>
      </c>
      <c r="Z65" s="131">
        <v>0.48590000999999999</v>
      </c>
      <c r="AA65" s="131">
        <v>0.49790001</v>
      </c>
      <c r="AB65" s="131">
        <v>0.51310003000000004</v>
      </c>
      <c r="AC65" s="131">
        <v>0.52969997999999996</v>
      </c>
      <c r="AD65" s="131">
        <v>0.54759997000000005</v>
      </c>
      <c r="AE65" s="131">
        <v>0.56389999000000002</v>
      </c>
      <c r="AF65" s="131">
        <v>0.57520002000000003</v>
      </c>
      <c r="AG65" s="131">
        <v>0.58670001999999999</v>
      </c>
    </row>
    <row r="66" spans="1:33" x14ac:dyDescent="0.2">
      <c r="A66" s="136" t="s">
        <v>69</v>
      </c>
      <c r="B66" s="131">
        <v>9.7299999999999998E-2</v>
      </c>
      <c r="C66" s="131">
        <v>9.9400000000000002E-2</v>
      </c>
      <c r="D66" s="131">
        <v>9.8699999999999996E-2</v>
      </c>
      <c r="E66" s="131">
        <v>9.7299999999999998E-2</v>
      </c>
      <c r="F66" s="131">
        <v>9.8000000000000004E-2</v>
      </c>
      <c r="G66" s="131">
        <v>9.98E-2</v>
      </c>
      <c r="H66" s="131">
        <v>9.9299999999999999E-2</v>
      </c>
      <c r="I66" s="131">
        <v>0.1021</v>
      </c>
      <c r="J66" s="131">
        <v>0.1032</v>
      </c>
      <c r="K66" s="131">
        <v>0.1086</v>
      </c>
      <c r="L66" s="131">
        <v>0.11310000000000001</v>
      </c>
      <c r="M66" s="131">
        <v>0.12189999999999999</v>
      </c>
      <c r="N66" s="131">
        <v>0.13489999999999999</v>
      </c>
      <c r="O66" s="131">
        <v>0.15270001</v>
      </c>
      <c r="P66" s="131">
        <v>0.17519999999999999</v>
      </c>
      <c r="Q66" s="131">
        <v>0.2016</v>
      </c>
      <c r="R66" s="131">
        <v>0.23469999</v>
      </c>
      <c r="S66" s="131">
        <v>0.27169999</v>
      </c>
      <c r="T66" s="131">
        <v>0.31159999999999999</v>
      </c>
      <c r="U66" s="131">
        <v>0.35409998999999998</v>
      </c>
      <c r="V66" s="131">
        <v>0.39510000000000001</v>
      </c>
      <c r="W66" s="131">
        <v>0.43159999999999998</v>
      </c>
      <c r="X66" s="131">
        <v>0.46500000000000002</v>
      </c>
      <c r="Y66" s="131">
        <v>0.48130000000000001</v>
      </c>
      <c r="Z66" s="131">
        <v>0.49270001000000002</v>
      </c>
      <c r="AA66" s="131">
        <v>0.50449997000000002</v>
      </c>
      <c r="AB66" s="131">
        <v>0.51749997999999997</v>
      </c>
      <c r="AC66" s="131">
        <v>0.53460001999999995</v>
      </c>
      <c r="AD66" s="131">
        <v>0.55220002000000001</v>
      </c>
      <c r="AE66" s="131">
        <v>0.56980001999999996</v>
      </c>
      <c r="AF66" s="131">
        <v>0.58139998000000004</v>
      </c>
      <c r="AG66" s="131">
        <v>0.59179996999999995</v>
      </c>
    </row>
    <row r="67" spans="1:33" x14ac:dyDescent="0.2">
      <c r="A67" s="136" t="s">
        <v>70</v>
      </c>
      <c r="B67" s="131">
        <v>9.7000000000000003E-2</v>
      </c>
      <c r="C67" s="131">
        <v>9.7199999999999995E-2</v>
      </c>
      <c r="D67" s="131">
        <v>9.69E-2</v>
      </c>
      <c r="E67" s="131">
        <v>9.6799999999999997E-2</v>
      </c>
      <c r="F67" s="131">
        <v>9.7100000000000006E-2</v>
      </c>
      <c r="G67" s="131">
        <v>9.7600000000000006E-2</v>
      </c>
      <c r="H67" s="131">
        <v>9.8299999999999998E-2</v>
      </c>
      <c r="I67" s="131">
        <v>9.9500000000000005E-2</v>
      </c>
      <c r="J67" s="131">
        <v>0.1018</v>
      </c>
      <c r="K67" s="131">
        <v>0.1051</v>
      </c>
      <c r="L67" s="131">
        <v>0.11020000000000001</v>
      </c>
      <c r="M67" s="131">
        <v>0.1179</v>
      </c>
      <c r="N67" s="131">
        <v>0.12959999999999999</v>
      </c>
      <c r="O67" s="131">
        <v>0.1472</v>
      </c>
      <c r="P67" s="131">
        <v>0.16750000000000001</v>
      </c>
      <c r="Q67" s="131">
        <v>0.1918</v>
      </c>
      <c r="R67" s="131">
        <v>0.22289999999999999</v>
      </c>
      <c r="S67" s="131">
        <v>0.26030001000000003</v>
      </c>
      <c r="T67" s="131">
        <v>0.29759999999999998</v>
      </c>
      <c r="U67" s="131">
        <v>0.33979999999999999</v>
      </c>
      <c r="V67" s="131">
        <v>0.38260000999999999</v>
      </c>
      <c r="W67" s="131">
        <v>0.41920000000000002</v>
      </c>
      <c r="X67" s="131">
        <v>0.45159999000000001</v>
      </c>
      <c r="Y67" s="131">
        <v>0.47289999999999999</v>
      </c>
      <c r="Z67" s="131">
        <v>0.48080000000000001</v>
      </c>
      <c r="AA67" s="131">
        <v>0.4919</v>
      </c>
      <c r="AB67" s="131">
        <v>0.505</v>
      </c>
      <c r="AC67" s="131">
        <v>0.51749997999999997</v>
      </c>
      <c r="AD67" s="131">
        <v>0.53219998000000002</v>
      </c>
      <c r="AE67" s="131">
        <v>0.55180001000000001</v>
      </c>
      <c r="AF67" s="131">
        <v>0.56819998999999999</v>
      </c>
      <c r="AG67" s="131">
        <v>0.57730000999999997</v>
      </c>
    </row>
    <row r="68" spans="1:33" x14ac:dyDescent="0.2">
      <c r="A68" s="136" t="s">
        <v>71</v>
      </c>
      <c r="B68" s="131">
        <v>9.64E-2</v>
      </c>
      <c r="C68" s="131">
        <v>9.6699999999999994E-2</v>
      </c>
      <c r="D68" s="131">
        <v>9.6500000000000002E-2</v>
      </c>
      <c r="E68" s="131">
        <v>9.6299999999999997E-2</v>
      </c>
      <c r="F68" s="131">
        <v>9.6699999999999994E-2</v>
      </c>
      <c r="G68" s="131">
        <v>9.7100000000000006E-2</v>
      </c>
      <c r="H68" s="131">
        <v>9.8100000000000007E-2</v>
      </c>
      <c r="I68" s="131">
        <v>9.9299999999999999E-2</v>
      </c>
      <c r="J68" s="131">
        <v>0.10199999999999999</v>
      </c>
      <c r="K68" s="131">
        <v>0.1046</v>
      </c>
      <c r="L68" s="131">
        <v>0.1103</v>
      </c>
      <c r="M68" s="131">
        <v>0.1183</v>
      </c>
      <c r="N68" s="131">
        <v>0.13</v>
      </c>
      <c r="O68" s="131">
        <v>0.14599999999999999</v>
      </c>
      <c r="P68" s="131">
        <v>0.16760000999999999</v>
      </c>
      <c r="Q68" s="131">
        <v>0.19259999999999999</v>
      </c>
      <c r="R68" s="131">
        <v>0.2243</v>
      </c>
      <c r="S68" s="131">
        <v>0.26150000000000001</v>
      </c>
      <c r="T68" s="131">
        <v>0.30050000999999998</v>
      </c>
      <c r="U68" s="131">
        <v>0.34279999</v>
      </c>
      <c r="V68" s="131">
        <v>0.38490000000000002</v>
      </c>
      <c r="W68" s="131">
        <v>0.42059999999999997</v>
      </c>
      <c r="X68" s="131">
        <v>0.45179998999999998</v>
      </c>
      <c r="Y68" s="131">
        <v>0.47070000000000001</v>
      </c>
      <c r="Z68" s="131">
        <v>0.48190000999999999</v>
      </c>
      <c r="AA68" s="131">
        <v>0.49149999</v>
      </c>
      <c r="AB68" s="131">
        <v>0.50389998999999996</v>
      </c>
      <c r="AC68" s="131">
        <v>0.51829999999999998</v>
      </c>
      <c r="AD68" s="131">
        <v>0.53560001000000002</v>
      </c>
      <c r="AE68" s="131">
        <v>0.55419998999999998</v>
      </c>
      <c r="AF68" s="131">
        <v>0.56629996999999999</v>
      </c>
      <c r="AG68" s="131">
        <v>0.57830000000000004</v>
      </c>
    </row>
    <row r="69" spans="1:33" x14ac:dyDescent="0.2">
      <c r="A69" s="136" t="s">
        <v>72</v>
      </c>
      <c r="B69" s="131">
        <v>9.6500000000000002E-2</v>
      </c>
      <c r="C69" s="131">
        <v>9.6500000000000002E-2</v>
      </c>
      <c r="D69" s="131">
        <v>9.6500000000000002E-2</v>
      </c>
      <c r="E69" s="131">
        <v>9.6299999999999997E-2</v>
      </c>
      <c r="F69" s="131">
        <v>9.6799999999999997E-2</v>
      </c>
      <c r="G69" s="131">
        <v>9.7100000000000006E-2</v>
      </c>
      <c r="H69" s="131">
        <v>9.8100000000000007E-2</v>
      </c>
      <c r="I69" s="131">
        <v>9.9599999999999994E-2</v>
      </c>
      <c r="J69" s="131">
        <v>0.1018</v>
      </c>
      <c r="K69" s="131">
        <v>0.1056</v>
      </c>
      <c r="L69" s="131">
        <v>0.11119999999999999</v>
      </c>
      <c r="M69" s="131">
        <v>0.1198</v>
      </c>
      <c r="N69" s="131">
        <v>0.13189999999999999</v>
      </c>
      <c r="O69" s="131">
        <v>0.14899999999999999</v>
      </c>
      <c r="P69" s="131">
        <v>0.17110001</v>
      </c>
      <c r="Q69" s="131">
        <v>0.19760000999999999</v>
      </c>
      <c r="R69" s="131">
        <v>0.23039999999999999</v>
      </c>
      <c r="S69" s="131">
        <v>0.26699999000000002</v>
      </c>
      <c r="T69" s="131">
        <v>0.30759998999999999</v>
      </c>
      <c r="U69" s="131">
        <v>0.34889998999999999</v>
      </c>
      <c r="V69" s="131">
        <v>0.38949999000000002</v>
      </c>
      <c r="W69" s="131">
        <v>0.42410001000000003</v>
      </c>
      <c r="X69" s="131">
        <v>0.4526</v>
      </c>
      <c r="Y69" s="131">
        <v>0.46589999999999998</v>
      </c>
      <c r="Z69" s="131">
        <v>0.47520000000000001</v>
      </c>
      <c r="AA69" s="131">
        <v>0.48769999000000003</v>
      </c>
      <c r="AB69" s="131">
        <v>0.49689999000000001</v>
      </c>
      <c r="AC69" s="131">
        <v>0.51470000000000005</v>
      </c>
      <c r="AD69" s="131">
        <v>0.53219998000000002</v>
      </c>
      <c r="AE69" s="131">
        <v>0.54809998999999998</v>
      </c>
      <c r="AF69" s="131">
        <v>0.55949998000000001</v>
      </c>
      <c r="AG69" s="131">
        <v>0.56969999999999998</v>
      </c>
    </row>
    <row r="70" spans="1:33" x14ac:dyDescent="0.2">
      <c r="A70" s="136" t="s">
        <v>73</v>
      </c>
      <c r="B70" s="131">
        <v>9.8400000000000001E-2</v>
      </c>
      <c r="C70" s="131">
        <v>9.8699999999999996E-2</v>
      </c>
      <c r="D70" s="131">
        <v>9.8599999999999993E-2</v>
      </c>
      <c r="E70" s="131">
        <v>9.8400000000000001E-2</v>
      </c>
      <c r="F70" s="131">
        <v>9.8799999999999999E-2</v>
      </c>
      <c r="G70" s="131">
        <v>9.9400000000000002E-2</v>
      </c>
      <c r="H70" s="131">
        <v>0.1003</v>
      </c>
      <c r="I70" s="131">
        <v>0.1019</v>
      </c>
      <c r="J70" s="131">
        <v>0.1046</v>
      </c>
      <c r="K70" s="131">
        <v>0.1089</v>
      </c>
      <c r="L70" s="131">
        <v>0.1152</v>
      </c>
      <c r="M70" s="131">
        <v>0.12479999999999999</v>
      </c>
      <c r="N70" s="131">
        <v>0.13950001000000001</v>
      </c>
      <c r="O70" s="131">
        <v>0.16</v>
      </c>
      <c r="P70" s="131">
        <v>0.18379999999999999</v>
      </c>
      <c r="Q70" s="131">
        <v>0.21390000000000001</v>
      </c>
      <c r="R70" s="131">
        <v>0.25080001000000002</v>
      </c>
      <c r="S70" s="131">
        <v>0.29300000999999998</v>
      </c>
      <c r="T70" s="131">
        <v>0.33880000999999998</v>
      </c>
      <c r="U70" s="131">
        <v>0.38699999000000002</v>
      </c>
      <c r="V70" s="131">
        <v>0.43189999000000001</v>
      </c>
      <c r="W70" s="131">
        <v>0.47330000999999999</v>
      </c>
      <c r="X70" s="131">
        <v>0.51120001000000004</v>
      </c>
      <c r="Y70" s="131">
        <v>0.52579998999999999</v>
      </c>
      <c r="Z70" s="131">
        <v>0.54390000999999999</v>
      </c>
      <c r="AA70" s="131">
        <v>0.55919998999999998</v>
      </c>
      <c r="AB70" s="131">
        <v>0.57630002000000002</v>
      </c>
      <c r="AC70" s="131">
        <v>0.59280001999999998</v>
      </c>
      <c r="AD70" s="131">
        <v>0.60970002000000001</v>
      </c>
      <c r="AE70" s="131">
        <v>0.62769997</v>
      </c>
      <c r="AF70" s="131">
        <v>0.63690000999999996</v>
      </c>
      <c r="AG70" s="131">
        <v>0.64880002000000003</v>
      </c>
    </row>
    <row r="71" spans="1:33" x14ac:dyDescent="0.2">
      <c r="A71" s="136" t="s">
        <v>74</v>
      </c>
      <c r="B71" s="131">
        <v>9.8500000000000004E-2</v>
      </c>
      <c r="C71" s="131">
        <v>9.8500000000000004E-2</v>
      </c>
      <c r="D71" s="131">
        <v>9.9000000000000005E-2</v>
      </c>
      <c r="E71" s="131">
        <v>9.8299999999999998E-2</v>
      </c>
      <c r="F71" s="131">
        <v>9.8699999999999996E-2</v>
      </c>
      <c r="G71" s="131">
        <v>9.9299999999999999E-2</v>
      </c>
      <c r="H71" s="131">
        <v>0.1004</v>
      </c>
      <c r="I71" s="131">
        <v>0.1028</v>
      </c>
      <c r="J71" s="131">
        <v>0.1052</v>
      </c>
      <c r="K71" s="131">
        <v>0.1096</v>
      </c>
      <c r="L71" s="131">
        <v>0.1168</v>
      </c>
      <c r="M71" s="131">
        <v>0.12740000000000001</v>
      </c>
      <c r="N71" s="131">
        <v>0.14269999999999999</v>
      </c>
      <c r="O71" s="131">
        <v>0.1648</v>
      </c>
      <c r="P71" s="131">
        <v>0.19040000000000001</v>
      </c>
      <c r="Q71" s="131">
        <v>0.22139998999999999</v>
      </c>
      <c r="R71" s="131">
        <v>0.25969999999999999</v>
      </c>
      <c r="S71" s="131">
        <v>0.30320001000000002</v>
      </c>
      <c r="T71" s="131">
        <v>0.34970000000000001</v>
      </c>
      <c r="U71" s="131">
        <v>0.39840001000000003</v>
      </c>
      <c r="V71" s="131">
        <v>0.442</v>
      </c>
      <c r="W71" s="131">
        <v>0.48289999</v>
      </c>
      <c r="X71" s="131">
        <v>0.51670002999999998</v>
      </c>
      <c r="Y71" s="131">
        <v>0.52999996999999999</v>
      </c>
      <c r="Z71" s="131">
        <v>0.54799998000000005</v>
      </c>
      <c r="AA71" s="131">
        <v>0.56449996999999996</v>
      </c>
      <c r="AB71" s="131">
        <v>0.58020002000000004</v>
      </c>
      <c r="AC71" s="131">
        <v>0.59759998000000003</v>
      </c>
      <c r="AD71" s="131">
        <v>0.61409997999999999</v>
      </c>
      <c r="AE71" s="131">
        <v>0.62929999999999997</v>
      </c>
      <c r="AF71" s="131">
        <v>0.63970000000000005</v>
      </c>
      <c r="AG71" s="131">
        <v>0.65079998999999999</v>
      </c>
    </row>
    <row r="72" spans="1:33" x14ac:dyDescent="0.2">
      <c r="A72" s="136" t="s">
        <v>75</v>
      </c>
      <c r="B72" s="131">
        <v>9.7699999999999995E-2</v>
      </c>
      <c r="C72" s="131">
        <v>9.7699999999999995E-2</v>
      </c>
      <c r="D72" s="131">
        <v>9.7500000000000003E-2</v>
      </c>
      <c r="E72" s="131">
        <v>9.7299999999999998E-2</v>
      </c>
      <c r="F72" s="131">
        <v>9.7699999999999995E-2</v>
      </c>
      <c r="G72" s="131">
        <v>9.8299999999999998E-2</v>
      </c>
      <c r="H72" s="131">
        <v>9.9400000000000002E-2</v>
      </c>
      <c r="I72" s="131">
        <v>0.10100000000000001</v>
      </c>
      <c r="J72" s="131">
        <v>0.1037</v>
      </c>
      <c r="K72" s="131">
        <v>0.1081</v>
      </c>
      <c r="L72" s="131">
        <v>0.1145</v>
      </c>
      <c r="M72" s="131">
        <v>0.12479999999999999</v>
      </c>
      <c r="N72" s="131">
        <v>0.13980000000000001</v>
      </c>
      <c r="O72" s="131">
        <v>0.15979999</v>
      </c>
      <c r="P72" s="131">
        <v>0.18520001</v>
      </c>
      <c r="Q72" s="131">
        <v>0.2147</v>
      </c>
      <c r="R72" s="131">
        <v>0.25240001000000001</v>
      </c>
      <c r="S72" s="131">
        <v>0.29429999000000001</v>
      </c>
      <c r="T72" s="131">
        <v>0.34060001000000001</v>
      </c>
      <c r="U72" s="131">
        <v>0.38780000999999997</v>
      </c>
      <c r="V72" s="131">
        <v>0.43149999</v>
      </c>
      <c r="W72" s="131">
        <v>0.47160000000000002</v>
      </c>
      <c r="X72" s="131">
        <v>0.51020001999999998</v>
      </c>
      <c r="Y72" s="131">
        <v>0.52109998000000002</v>
      </c>
      <c r="Z72" s="131">
        <v>0.53899996999999999</v>
      </c>
      <c r="AA72" s="131">
        <v>0.55479997000000003</v>
      </c>
      <c r="AB72" s="131">
        <v>0.57139998999999997</v>
      </c>
      <c r="AC72" s="131">
        <v>0.58899999000000003</v>
      </c>
      <c r="AD72" s="131">
        <v>0.60519999000000002</v>
      </c>
      <c r="AE72" s="131">
        <v>0.62239999000000001</v>
      </c>
      <c r="AF72" s="131">
        <v>0.63219999999999998</v>
      </c>
      <c r="AG72" s="131">
        <v>0.64399998999999997</v>
      </c>
    </row>
    <row r="73" spans="1:33" x14ac:dyDescent="0.2">
      <c r="A73" s="136" t="s">
        <v>76</v>
      </c>
      <c r="B73" s="131">
        <v>9.6799999999999997E-2</v>
      </c>
      <c r="C73" s="131">
        <v>9.69E-2</v>
      </c>
      <c r="D73" s="131">
        <v>9.6699999999999994E-2</v>
      </c>
      <c r="E73" s="131">
        <v>9.6500000000000002E-2</v>
      </c>
      <c r="F73" s="131">
        <v>9.6799999999999997E-2</v>
      </c>
      <c r="G73" s="131">
        <v>9.7299999999999998E-2</v>
      </c>
      <c r="H73" s="131">
        <v>9.8299999999999998E-2</v>
      </c>
      <c r="I73" s="131">
        <v>9.98E-2</v>
      </c>
      <c r="J73" s="131">
        <v>0.1021</v>
      </c>
      <c r="K73" s="131">
        <v>0.1061</v>
      </c>
      <c r="L73" s="131">
        <v>0.11219999999999999</v>
      </c>
      <c r="M73" s="131">
        <v>0.12130000000000001</v>
      </c>
      <c r="N73" s="131">
        <v>0.13519998999999999</v>
      </c>
      <c r="O73" s="131">
        <v>0.15369999000000001</v>
      </c>
      <c r="P73" s="131">
        <v>0.17799999999999999</v>
      </c>
      <c r="Q73" s="131">
        <v>0.20780000000000001</v>
      </c>
      <c r="R73" s="131">
        <v>0.24279999999999999</v>
      </c>
      <c r="S73" s="131">
        <v>0.28499999999999998</v>
      </c>
      <c r="T73" s="131">
        <v>0.32940000000000003</v>
      </c>
      <c r="U73" s="131">
        <v>0.37609999999999999</v>
      </c>
      <c r="V73" s="131">
        <v>0.42140000999999999</v>
      </c>
      <c r="W73" s="131">
        <v>0.46160001000000001</v>
      </c>
      <c r="X73" s="131">
        <v>0.49860000999999998</v>
      </c>
      <c r="Y73" s="131">
        <v>0.51359999000000001</v>
      </c>
      <c r="Z73" s="131">
        <v>0.52920001999999999</v>
      </c>
      <c r="AA73" s="131">
        <v>0.54239999999999999</v>
      </c>
      <c r="AB73" s="131">
        <v>0.55519998000000004</v>
      </c>
      <c r="AC73" s="131">
        <v>0.57069999000000005</v>
      </c>
      <c r="AD73" s="131">
        <v>0.58550000000000002</v>
      </c>
      <c r="AE73" s="131">
        <v>0.60060000000000002</v>
      </c>
      <c r="AF73" s="131">
        <v>0.61240000000000006</v>
      </c>
      <c r="AG73" s="131">
        <v>0.62239999000000001</v>
      </c>
    </row>
    <row r="74" spans="1:33" x14ac:dyDescent="0.2">
      <c r="A74" s="136" t="s">
        <v>77</v>
      </c>
      <c r="B74" s="131">
        <v>9.3200000000000005E-2</v>
      </c>
      <c r="C74" s="131">
        <v>9.4200000000000006E-2</v>
      </c>
      <c r="D74" s="131">
        <v>9.3299999999999994E-2</v>
      </c>
      <c r="E74" s="131">
        <v>9.3100000000000002E-2</v>
      </c>
      <c r="F74" s="131">
        <v>9.3200000000000005E-2</v>
      </c>
      <c r="G74" s="131">
        <v>9.2799999999999994E-2</v>
      </c>
      <c r="H74" s="131">
        <v>9.2799999999999994E-2</v>
      </c>
      <c r="I74" s="131">
        <v>9.2999999999999999E-2</v>
      </c>
      <c r="J74" s="131">
        <v>9.2700000000000005E-2</v>
      </c>
      <c r="K74" s="131">
        <v>9.2799999999999994E-2</v>
      </c>
      <c r="L74" s="131">
        <v>9.2600000000000002E-2</v>
      </c>
      <c r="M74" s="131">
        <v>9.2600000000000002E-2</v>
      </c>
      <c r="N74" s="131">
        <v>9.2499999999999999E-2</v>
      </c>
      <c r="O74" s="131">
        <v>9.2399999999999996E-2</v>
      </c>
      <c r="P74" s="131">
        <v>9.2700000000000005E-2</v>
      </c>
      <c r="Q74" s="131">
        <v>9.2799999999999994E-2</v>
      </c>
      <c r="R74" s="131">
        <v>9.2899999999999996E-2</v>
      </c>
      <c r="S74" s="131">
        <v>9.2999999999999999E-2</v>
      </c>
      <c r="T74" s="131">
        <v>9.3100000000000002E-2</v>
      </c>
      <c r="U74" s="131">
        <v>9.2999999999999999E-2</v>
      </c>
      <c r="V74" s="131">
        <v>9.3200000000000005E-2</v>
      </c>
      <c r="W74" s="131">
        <v>9.3200000000000005E-2</v>
      </c>
      <c r="X74" s="131">
        <v>9.3299999999999994E-2</v>
      </c>
      <c r="Y74" s="131">
        <v>9.3200000000000005E-2</v>
      </c>
      <c r="Z74" s="131">
        <v>9.3299999999999994E-2</v>
      </c>
      <c r="AA74" s="131">
        <v>9.3100000000000002E-2</v>
      </c>
      <c r="AB74" s="131">
        <v>9.3100000000000002E-2</v>
      </c>
      <c r="AC74" s="131">
        <v>9.2899999999999996E-2</v>
      </c>
      <c r="AD74" s="131">
        <v>9.2999999999999999E-2</v>
      </c>
      <c r="AE74" s="131">
        <v>9.2899999999999996E-2</v>
      </c>
      <c r="AF74" s="131">
        <v>9.2899999999999996E-2</v>
      </c>
      <c r="AG74" s="131">
        <v>9.3100000000000002E-2</v>
      </c>
    </row>
    <row r="75" spans="1:33" x14ac:dyDescent="0.2">
      <c r="A75" s="136" t="s">
        <v>78</v>
      </c>
      <c r="B75" s="131">
        <v>9.2499999999999999E-2</v>
      </c>
      <c r="C75" s="131">
        <v>9.2600000000000002E-2</v>
      </c>
      <c r="D75" s="131">
        <v>9.2700000000000005E-2</v>
      </c>
      <c r="E75" s="131">
        <v>9.2700000000000005E-2</v>
      </c>
      <c r="F75" s="131">
        <v>9.3399999999999997E-2</v>
      </c>
      <c r="G75" s="131">
        <v>9.2999999999999999E-2</v>
      </c>
      <c r="H75" s="131">
        <v>9.2999999999999999E-2</v>
      </c>
      <c r="I75" s="131">
        <v>9.3100000000000002E-2</v>
      </c>
      <c r="J75" s="131">
        <v>9.3100000000000002E-2</v>
      </c>
      <c r="K75" s="131">
        <v>9.2999999999999999E-2</v>
      </c>
      <c r="L75" s="131">
        <v>9.2999999999999999E-2</v>
      </c>
      <c r="M75" s="131">
        <v>9.2899999999999996E-2</v>
      </c>
      <c r="N75" s="131">
        <v>9.2899999999999996E-2</v>
      </c>
      <c r="O75" s="131">
        <v>9.2700000000000005E-2</v>
      </c>
      <c r="P75" s="131">
        <v>9.3100000000000002E-2</v>
      </c>
      <c r="Q75" s="131">
        <v>9.3200000000000005E-2</v>
      </c>
      <c r="R75" s="131">
        <v>9.3200000000000005E-2</v>
      </c>
      <c r="S75" s="131">
        <v>9.3299999999999994E-2</v>
      </c>
      <c r="T75" s="131">
        <v>9.3200000000000005E-2</v>
      </c>
      <c r="U75" s="131">
        <v>9.3200000000000005E-2</v>
      </c>
      <c r="V75" s="131">
        <v>9.3299999999999994E-2</v>
      </c>
      <c r="W75" s="131">
        <v>9.3299999999999994E-2</v>
      </c>
      <c r="X75" s="131">
        <v>9.3200000000000005E-2</v>
      </c>
      <c r="Y75" s="131">
        <v>9.3299999999999994E-2</v>
      </c>
      <c r="Z75" s="131">
        <v>9.3299999999999994E-2</v>
      </c>
      <c r="AA75" s="131">
        <v>9.3200000000000005E-2</v>
      </c>
      <c r="AB75" s="131">
        <v>9.3200000000000005E-2</v>
      </c>
      <c r="AC75" s="131">
        <v>9.3100000000000002E-2</v>
      </c>
      <c r="AD75" s="131">
        <v>9.3700000000000006E-2</v>
      </c>
      <c r="AE75" s="131">
        <v>9.2999999999999999E-2</v>
      </c>
      <c r="AF75" s="131">
        <v>9.3100000000000002E-2</v>
      </c>
      <c r="AG75" s="131">
        <v>9.3200000000000005E-2</v>
      </c>
    </row>
    <row r="76" spans="1:33" x14ac:dyDescent="0.2">
      <c r="A76" s="136" t="s">
        <v>79</v>
      </c>
      <c r="B76" s="131">
        <v>9.7000000000000003E-2</v>
      </c>
      <c r="C76" s="131">
        <v>9.7000000000000003E-2</v>
      </c>
      <c r="D76" s="131">
        <v>9.7100000000000006E-2</v>
      </c>
      <c r="E76" s="131">
        <v>9.7100000000000006E-2</v>
      </c>
      <c r="F76" s="131">
        <v>9.7299999999999998E-2</v>
      </c>
      <c r="G76" s="131">
        <v>9.7600000000000006E-2</v>
      </c>
      <c r="H76" s="131">
        <v>9.8000000000000004E-2</v>
      </c>
      <c r="I76" s="131">
        <v>9.8799999999999999E-2</v>
      </c>
      <c r="J76" s="131">
        <v>9.98E-2</v>
      </c>
      <c r="K76" s="131">
        <v>0.1014</v>
      </c>
      <c r="L76" s="131">
        <v>0.1041</v>
      </c>
      <c r="M76" s="131">
        <v>0.1087</v>
      </c>
      <c r="N76" s="131">
        <v>0.1163</v>
      </c>
      <c r="O76" s="131">
        <v>0.1278</v>
      </c>
      <c r="P76" s="131">
        <v>0.14599999999999999</v>
      </c>
      <c r="Q76" s="131">
        <v>0.1701</v>
      </c>
      <c r="R76" s="131">
        <v>0.19840000999999999</v>
      </c>
      <c r="S76" s="131">
        <v>0.23130000000000001</v>
      </c>
      <c r="T76" s="131">
        <v>0.27180000999999998</v>
      </c>
      <c r="U76" s="131">
        <v>0.32329999999999998</v>
      </c>
      <c r="V76" s="131">
        <v>0.37619998999999998</v>
      </c>
      <c r="W76" s="131">
        <v>0.43169998999999998</v>
      </c>
      <c r="X76" s="131">
        <v>0.48300000999999998</v>
      </c>
      <c r="Y76" s="131">
        <v>0.52890002999999997</v>
      </c>
      <c r="Z76" s="131">
        <v>0.55059999000000004</v>
      </c>
      <c r="AA76" s="131">
        <v>0.57309997000000001</v>
      </c>
      <c r="AB76" s="131">
        <v>0.58810001999999995</v>
      </c>
      <c r="AC76" s="131">
        <v>0.60329997999999996</v>
      </c>
      <c r="AD76" s="131">
        <v>0.61639999999999995</v>
      </c>
      <c r="AE76" s="131">
        <v>0.62980002000000002</v>
      </c>
      <c r="AF76" s="131">
        <v>0.64670002000000004</v>
      </c>
      <c r="AG76" s="131">
        <v>0.66259997999999998</v>
      </c>
    </row>
    <row r="77" spans="1:33" x14ac:dyDescent="0.2">
      <c r="A77" s="136" t="s">
        <v>80</v>
      </c>
      <c r="B77" s="131">
        <v>9.7600000000000006E-2</v>
      </c>
      <c r="C77" s="131">
        <v>9.7600000000000006E-2</v>
      </c>
      <c r="D77" s="131">
        <v>9.7699999999999995E-2</v>
      </c>
      <c r="E77" s="131">
        <v>9.7000000000000003E-2</v>
      </c>
      <c r="F77" s="131">
        <v>9.7299999999999998E-2</v>
      </c>
      <c r="G77" s="131">
        <v>9.7699999999999995E-2</v>
      </c>
      <c r="H77" s="131">
        <v>9.8100000000000007E-2</v>
      </c>
      <c r="I77" s="131">
        <v>9.8699999999999996E-2</v>
      </c>
      <c r="J77" s="131">
        <v>9.9900000000000003E-2</v>
      </c>
      <c r="K77" s="131">
        <v>0.1016</v>
      </c>
      <c r="L77" s="131">
        <v>0.10440000000000001</v>
      </c>
      <c r="M77" s="131">
        <v>0.109</v>
      </c>
      <c r="N77" s="131">
        <v>0.1168</v>
      </c>
      <c r="O77" s="131">
        <v>0.12899999000000001</v>
      </c>
      <c r="P77" s="131">
        <v>0.14749999</v>
      </c>
      <c r="Q77" s="131">
        <v>0.17180000000000001</v>
      </c>
      <c r="R77" s="131">
        <v>0.20069999999999999</v>
      </c>
      <c r="S77" s="131">
        <v>0.23419999999999999</v>
      </c>
      <c r="T77" s="131">
        <v>0.27529999999999999</v>
      </c>
      <c r="U77" s="131">
        <v>0.32780000999999998</v>
      </c>
      <c r="V77" s="131">
        <v>0.38170000999999998</v>
      </c>
      <c r="W77" s="131">
        <v>0.43889999000000002</v>
      </c>
      <c r="X77" s="131">
        <v>0.49099999999999999</v>
      </c>
      <c r="Y77" s="131">
        <v>0.53769999999999996</v>
      </c>
      <c r="Z77" s="131">
        <v>0.56230002999999995</v>
      </c>
      <c r="AA77" s="131">
        <v>0.58380001999999998</v>
      </c>
      <c r="AB77" s="131">
        <v>0.60079998000000001</v>
      </c>
      <c r="AC77" s="131">
        <v>0.61430001000000001</v>
      </c>
      <c r="AD77" s="131">
        <v>0.62650001</v>
      </c>
      <c r="AE77" s="131">
        <v>0.64179998999999999</v>
      </c>
      <c r="AF77" s="131">
        <v>0.65839999999999999</v>
      </c>
      <c r="AG77" s="131">
        <v>0.67290002000000004</v>
      </c>
    </row>
    <row r="78" spans="1:33" x14ac:dyDescent="0.2">
      <c r="A78" s="136" t="s">
        <v>81</v>
      </c>
      <c r="B78" s="131">
        <v>9.8299999999999998E-2</v>
      </c>
      <c r="C78" s="131">
        <v>9.8199999999999996E-2</v>
      </c>
      <c r="D78" s="131">
        <v>9.8000000000000004E-2</v>
      </c>
      <c r="E78" s="131">
        <v>9.7900000000000001E-2</v>
      </c>
      <c r="F78" s="131">
        <v>9.8100000000000007E-2</v>
      </c>
      <c r="G78" s="131">
        <v>9.8599999999999993E-2</v>
      </c>
      <c r="H78" s="131">
        <v>9.9000000000000005E-2</v>
      </c>
      <c r="I78" s="131">
        <v>9.98E-2</v>
      </c>
      <c r="J78" s="131">
        <v>0.10100000000000001</v>
      </c>
      <c r="K78" s="131">
        <v>0.1027</v>
      </c>
      <c r="L78" s="131">
        <v>0.1056</v>
      </c>
      <c r="M78" s="131">
        <v>0.1105</v>
      </c>
      <c r="N78" s="131">
        <v>0.1188</v>
      </c>
      <c r="O78" s="131">
        <v>0.1313</v>
      </c>
      <c r="P78" s="131">
        <v>0.15040000000000001</v>
      </c>
      <c r="Q78" s="131">
        <v>0.1759</v>
      </c>
      <c r="R78" s="131">
        <v>0.2049</v>
      </c>
      <c r="S78" s="131">
        <v>0.23960000000000001</v>
      </c>
      <c r="T78" s="131">
        <v>0.28259999000000002</v>
      </c>
      <c r="U78" s="131">
        <v>0.33600000000000002</v>
      </c>
      <c r="V78" s="131">
        <v>0.39039998999999997</v>
      </c>
      <c r="W78" s="131">
        <v>0.44819998999999999</v>
      </c>
      <c r="X78" s="131">
        <v>0.49869998999999998</v>
      </c>
      <c r="Y78" s="131">
        <v>0.54470003</v>
      </c>
      <c r="Z78" s="131">
        <v>0.56529998999999997</v>
      </c>
      <c r="AA78" s="131">
        <v>0.58459996999999997</v>
      </c>
      <c r="AB78" s="131">
        <v>0.60219997000000003</v>
      </c>
      <c r="AC78" s="131">
        <v>0.61440002999999999</v>
      </c>
      <c r="AD78" s="131">
        <v>0.62699996999999996</v>
      </c>
      <c r="AE78" s="131">
        <v>0.64209998000000001</v>
      </c>
      <c r="AF78" s="131">
        <v>0.65839999999999999</v>
      </c>
      <c r="AG78" s="131">
        <v>0.67100000000000004</v>
      </c>
    </row>
    <row r="79" spans="1:33" x14ac:dyDescent="0.2">
      <c r="A79" s="136" t="s">
        <v>82</v>
      </c>
      <c r="B79" s="131">
        <v>9.7799999999999998E-2</v>
      </c>
      <c r="C79" s="131">
        <v>9.7900000000000001E-2</v>
      </c>
      <c r="D79" s="131">
        <v>9.7900000000000001E-2</v>
      </c>
      <c r="E79" s="131">
        <v>9.7699999999999995E-2</v>
      </c>
      <c r="F79" s="131">
        <v>9.8199999999999996E-2</v>
      </c>
      <c r="G79" s="131">
        <v>9.8699999999999996E-2</v>
      </c>
      <c r="H79" s="131">
        <v>9.9000000000000005E-2</v>
      </c>
      <c r="I79" s="131">
        <v>9.98E-2</v>
      </c>
      <c r="J79" s="131">
        <v>0.1013</v>
      </c>
      <c r="K79" s="131">
        <v>0.10340000000000001</v>
      </c>
      <c r="L79" s="131">
        <v>0.1067</v>
      </c>
      <c r="M79" s="131">
        <v>0.1125</v>
      </c>
      <c r="N79" s="131">
        <v>0.12189999999999999</v>
      </c>
      <c r="O79" s="131">
        <v>0.1366</v>
      </c>
      <c r="P79" s="131">
        <v>0.15690000000000001</v>
      </c>
      <c r="Q79" s="131">
        <v>0.18189999000000001</v>
      </c>
      <c r="R79" s="131">
        <v>0.21089999000000001</v>
      </c>
      <c r="S79" s="131">
        <v>0.2457</v>
      </c>
      <c r="T79" s="131">
        <v>0.28989999999999999</v>
      </c>
      <c r="U79" s="131">
        <v>0.33899998999999997</v>
      </c>
      <c r="V79" s="131">
        <v>0.39120000999999999</v>
      </c>
      <c r="W79" s="131">
        <v>0.43659999999999999</v>
      </c>
      <c r="X79" s="131">
        <v>0.47889999</v>
      </c>
      <c r="Y79" s="131">
        <v>0.51130003000000002</v>
      </c>
      <c r="Z79" s="131">
        <v>0.52439999999999998</v>
      </c>
      <c r="AA79" s="131">
        <v>0.53600000999999997</v>
      </c>
      <c r="AB79" s="131">
        <v>0.54339999000000005</v>
      </c>
      <c r="AC79" s="131">
        <v>0.54799998000000005</v>
      </c>
      <c r="AD79" s="131">
        <v>0.55459999999999998</v>
      </c>
      <c r="AE79" s="131">
        <v>0.56370001999999997</v>
      </c>
      <c r="AF79" s="131">
        <v>0.57450002</v>
      </c>
      <c r="AG79" s="131">
        <v>0.58710002999999999</v>
      </c>
    </row>
    <row r="80" spans="1:33" x14ac:dyDescent="0.2">
      <c r="A80" s="136" t="s">
        <v>83</v>
      </c>
      <c r="B80" s="131">
        <v>9.8199999999999996E-2</v>
      </c>
      <c r="C80" s="131">
        <v>9.8599999999999993E-2</v>
      </c>
      <c r="D80" s="131">
        <v>9.9299999999999999E-2</v>
      </c>
      <c r="E80" s="131">
        <v>9.9099999999999994E-2</v>
      </c>
      <c r="F80" s="131">
        <v>9.9299999999999999E-2</v>
      </c>
      <c r="G80" s="131">
        <v>9.8599999999999993E-2</v>
      </c>
      <c r="H80" s="131">
        <v>9.9900000000000003E-2</v>
      </c>
      <c r="I80" s="131">
        <v>0.1011</v>
      </c>
      <c r="J80" s="131">
        <v>0.1031</v>
      </c>
      <c r="K80" s="131">
        <v>0.10349999999999999</v>
      </c>
      <c r="L80" s="131">
        <v>0.1076</v>
      </c>
      <c r="M80" s="131">
        <v>0.113</v>
      </c>
      <c r="N80" s="131">
        <v>0.1229</v>
      </c>
      <c r="O80" s="131">
        <v>0.13750000000000001</v>
      </c>
      <c r="P80" s="131">
        <v>0.15840000000000001</v>
      </c>
      <c r="Q80" s="131">
        <v>0.18379999999999999</v>
      </c>
      <c r="R80" s="131">
        <v>0.21379999999999999</v>
      </c>
      <c r="S80" s="131">
        <v>0.24990000000000001</v>
      </c>
      <c r="T80" s="131">
        <v>0.29570001000000001</v>
      </c>
      <c r="U80" s="131">
        <v>0.34429999999999999</v>
      </c>
      <c r="V80" s="131">
        <v>0.39700001000000001</v>
      </c>
      <c r="W80" s="131">
        <v>0.43859999999999999</v>
      </c>
      <c r="X80" s="131">
        <v>0.47929999000000001</v>
      </c>
      <c r="Y80" s="131">
        <v>0.505</v>
      </c>
      <c r="Z80" s="131">
        <v>0.51630001999999997</v>
      </c>
      <c r="AA80" s="131">
        <v>0.52749997000000004</v>
      </c>
      <c r="AB80" s="131">
        <v>0.53390002000000003</v>
      </c>
      <c r="AC80" s="131">
        <v>0.53869997999999997</v>
      </c>
      <c r="AD80" s="131">
        <v>0.54460001000000002</v>
      </c>
      <c r="AE80" s="131">
        <v>0.55339998000000001</v>
      </c>
      <c r="AF80" s="131">
        <v>0.56510000999999999</v>
      </c>
      <c r="AG80" s="131">
        <v>0.57870001000000004</v>
      </c>
    </row>
    <row r="81" spans="1:33" x14ac:dyDescent="0.2">
      <c r="A81" s="136" t="s">
        <v>84</v>
      </c>
      <c r="B81" s="131">
        <v>9.7500000000000003E-2</v>
      </c>
      <c r="C81" s="131">
        <v>9.7500000000000003E-2</v>
      </c>
      <c r="D81" s="131">
        <v>9.74E-2</v>
      </c>
      <c r="E81" s="131">
        <v>9.74E-2</v>
      </c>
      <c r="F81" s="131">
        <v>9.7900000000000001E-2</v>
      </c>
      <c r="G81" s="131">
        <v>9.8400000000000001E-2</v>
      </c>
      <c r="H81" s="131">
        <v>9.8699999999999996E-2</v>
      </c>
      <c r="I81" s="131">
        <v>9.9599999999999994E-2</v>
      </c>
      <c r="J81" s="131">
        <v>0.1007</v>
      </c>
      <c r="K81" s="131">
        <v>0.10349999999999999</v>
      </c>
      <c r="L81" s="131">
        <v>0.1067</v>
      </c>
      <c r="M81" s="131">
        <v>0.1134</v>
      </c>
      <c r="N81" s="131">
        <v>0.1232</v>
      </c>
      <c r="O81" s="131">
        <v>0.13869999</v>
      </c>
      <c r="P81" s="131">
        <v>0.15939999999999999</v>
      </c>
      <c r="Q81" s="131">
        <v>0.18390000000000001</v>
      </c>
      <c r="R81" s="131">
        <v>0.214</v>
      </c>
      <c r="S81" s="131">
        <v>0.25080001000000002</v>
      </c>
      <c r="T81" s="131">
        <v>0.29640000999999999</v>
      </c>
      <c r="U81" s="131">
        <v>0.34650001000000002</v>
      </c>
      <c r="V81" s="131">
        <v>0.39770000999999999</v>
      </c>
      <c r="W81" s="131">
        <v>0.43939999000000002</v>
      </c>
      <c r="X81" s="131">
        <v>0.47909998999999998</v>
      </c>
      <c r="Y81" s="131">
        <v>0.49880001000000002</v>
      </c>
      <c r="Z81" s="131">
        <v>0.51109998999999995</v>
      </c>
      <c r="AA81" s="131">
        <v>0.52049999999999996</v>
      </c>
      <c r="AB81" s="131">
        <v>0.52530003000000003</v>
      </c>
      <c r="AC81" s="131">
        <v>0.52899998000000004</v>
      </c>
      <c r="AD81" s="131">
        <v>0.53579997999999995</v>
      </c>
      <c r="AE81" s="131">
        <v>0.54449999000000004</v>
      </c>
      <c r="AF81" s="131">
        <v>0.55489999000000001</v>
      </c>
      <c r="AG81" s="131">
        <v>0.56919998000000005</v>
      </c>
    </row>
    <row r="82" spans="1:33" x14ac:dyDescent="0.2">
      <c r="A82" s="136" t="s">
        <v>85</v>
      </c>
      <c r="B82" s="131">
        <v>9.7600000000000006E-2</v>
      </c>
      <c r="C82" s="131">
        <v>9.7699999999999995E-2</v>
      </c>
      <c r="D82" s="131">
        <v>9.7699999999999995E-2</v>
      </c>
      <c r="E82" s="131">
        <v>9.7600000000000006E-2</v>
      </c>
      <c r="F82" s="131">
        <v>9.7900000000000001E-2</v>
      </c>
      <c r="G82" s="131">
        <v>9.8500000000000004E-2</v>
      </c>
      <c r="H82" s="131">
        <v>9.9000000000000005E-2</v>
      </c>
      <c r="I82" s="131">
        <v>0.10009999999999999</v>
      </c>
      <c r="J82" s="131">
        <v>0.1018</v>
      </c>
      <c r="K82" s="131">
        <v>0.10440000000000001</v>
      </c>
      <c r="L82" s="131">
        <v>0.1087</v>
      </c>
      <c r="M82" s="131">
        <v>0.11600000000000001</v>
      </c>
      <c r="N82" s="131">
        <v>0.1275</v>
      </c>
      <c r="O82" s="131">
        <v>0.14530000000000001</v>
      </c>
      <c r="P82" s="131">
        <v>0.16949998999999999</v>
      </c>
      <c r="Q82" s="131">
        <v>0.19789999999999999</v>
      </c>
      <c r="R82" s="131">
        <v>0.23109999000000001</v>
      </c>
      <c r="S82" s="131">
        <v>0.2712</v>
      </c>
      <c r="T82" s="131">
        <v>0.31889999000000002</v>
      </c>
      <c r="U82" s="131">
        <v>0.36799999999999999</v>
      </c>
      <c r="V82" s="131">
        <v>0.41800000999999998</v>
      </c>
      <c r="W82" s="131">
        <v>0.45939999999999998</v>
      </c>
      <c r="X82" s="131">
        <v>0.49759998999999999</v>
      </c>
      <c r="Y82" s="131">
        <v>0.51779997</v>
      </c>
      <c r="Z82" s="131">
        <v>0.53350001999999996</v>
      </c>
      <c r="AA82" s="131">
        <v>0.54640001000000005</v>
      </c>
      <c r="AB82" s="131">
        <v>0.55620002999999996</v>
      </c>
      <c r="AC82" s="131">
        <v>0.56550001999999999</v>
      </c>
      <c r="AD82" s="131">
        <v>0.57639998000000003</v>
      </c>
      <c r="AE82" s="131">
        <v>0.58920002000000005</v>
      </c>
      <c r="AF82" s="131">
        <v>0.60110003000000001</v>
      </c>
      <c r="AG82" s="131">
        <v>0.61150002000000003</v>
      </c>
    </row>
    <row r="83" spans="1:33" x14ac:dyDescent="0.2">
      <c r="A83" s="136" t="s">
        <v>86</v>
      </c>
      <c r="B83" s="131">
        <v>9.7699999999999995E-2</v>
      </c>
      <c r="C83" s="131">
        <v>9.7799999999999998E-2</v>
      </c>
      <c r="D83" s="131">
        <v>9.8000000000000004E-2</v>
      </c>
      <c r="E83" s="131">
        <v>9.8000000000000004E-2</v>
      </c>
      <c r="F83" s="131">
        <v>9.8400000000000001E-2</v>
      </c>
      <c r="G83" s="131">
        <v>9.8699999999999996E-2</v>
      </c>
      <c r="H83" s="131">
        <v>9.9699999999999997E-2</v>
      </c>
      <c r="I83" s="131">
        <v>0.1003</v>
      </c>
      <c r="J83" s="131">
        <v>0.10249999999999999</v>
      </c>
      <c r="K83" s="131">
        <v>0.1048</v>
      </c>
      <c r="L83" s="131">
        <v>0.10879999999999999</v>
      </c>
      <c r="M83" s="131">
        <v>0.1162</v>
      </c>
      <c r="N83" s="131">
        <v>0.12710001000000001</v>
      </c>
      <c r="O83" s="131">
        <v>0.14470000999999999</v>
      </c>
      <c r="P83" s="131">
        <v>0.16900000000000001</v>
      </c>
      <c r="Q83" s="131">
        <v>0.19689999999999999</v>
      </c>
      <c r="R83" s="131">
        <v>0.22900000000000001</v>
      </c>
      <c r="S83" s="131">
        <v>0.26980000999999998</v>
      </c>
      <c r="T83" s="131">
        <v>0.31650001</v>
      </c>
      <c r="U83" s="131">
        <v>0.36509999999999998</v>
      </c>
      <c r="V83" s="131">
        <v>0.41389999</v>
      </c>
      <c r="W83" s="131">
        <v>0.45419999999999999</v>
      </c>
      <c r="X83" s="131">
        <v>0.49299999999999999</v>
      </c>
      <c r="Y83" s="131">
        <v>0.51130003000000002</v>
      </c>
      <c r="Z83" s="131">
        <v>0.52789998000000005</v>
      </c>
      <c r="AA83" s="131">
        <v>0.54140001999999998</v>
      </c>
      <c r="AB83" s="131">
        <v>0.55180001000000001</v>
      </c>
      <c r="AC83" s="131">
        <v>0.56029998999999997</v>
      </c>
      <c r="AD83" s="131">
        <v>0.57330000000000003</v>
      </c>
      <c r="AE83" s="131">
        <v>0.58509999999999995</v>
      </c>
      <c r="AF83" s="131">
        <v>0.59740000999999998</v>
      </c>
      <c r="AG83" s="131">
        <v>0.60750002000000003</v>
      </c>
    </row>
    <row r="84" spans="1:33" x14ac:dyDescent="0.2">
      <c r="A84" s="136" t="s">
        <v>87</v>
      </c>
      <c r="B84" s="131">
        <v>9.8299999999999998E-2</v>
      </c>
      <c r="C84" s="131">
        <v>9.8199999999999996E-2</v>
      </c>
      <c r="D84" s="131">
        <v>9.8100000000000007E-2</v>
      </c>
      <c r="E84" s="131">
        <v>9.7799999999999998E-2</v>
      </c>
      <c r="F84" s="131">
        <v>9.8299999999999998E-2</v>
      </c>
      <c r="G84" s="131">
        <v>9.9000000000000005E-2</v>
      </c>
      <c r="H84" s="131">
        <v>9.9500000000000005E-2</v>
      </c>
      <c r="I84" s="131">
        <v>0.10059999999999999</v>
      </c>
      <c r="J84" s="131">
        <v>0.1022</v>
      </c>
      <c r="K84" s="131">
        <v>0.10539999999999999</v>
      </c>
      <c r="L84" s="131">
        <v>0.1091</v>
      </c>
      <c r="M84" s="131">
        <v>0.1166</v>
      </c>
      <c r="N84" s="131">
        <v>0.12859999999999999</v>
      </c>
      <c r="O84" s="131">
        <v>0.14610000000000001</v>
      </c>
      <c r="P84" s="131">
        <v>0.1701</v>
      </c>
      <c r="Q84" s="131">
        <v>0.19769998999999999</v>
      </c>
      <c r="R84" s="131">
        <v>0.23089999999999999</v>
      </c>
      <c r="S84" s="131">
        <v>0.2712</v>
      </c>
      <c r="T84" s="131">
        <v>0.31830001000000002</v>
      </c>
      <c r="U84" s="131">
        <v>0.36820000000000003</v>
      </c>
      <c r="V84" s="131">
        <v>0.4163</v>
      </c>
      <c r="W84" s="131">
        <v>0.45730000999999998</v>
      </c>
      <c r="X84" s="131">
        <v>0.49779999000000003</v>
      </c>
      <c r="Y84" s="131">
        <v>0.51789998999999998</v>
      </c>
      <c r="Z84" s="131">
        <v>0.53420000999999995</v>
      </c>
      <c r="AA84" s="131">
        <v>0.54860001999999997</v>
      </c>
      <c r="AB84" s="131">
        <v>0.55949998000000001</v>
      </c>
      <c r="AC84" s="131">
        <v>0.56889999000000002</v>
      </c>
      <c r="AD84" s="131">
        <v>0.58039998999999998</v>
      </c>
      <c r="AE84" s="131">
        <v>0.59289997999999999</v>
      </c>
      <c r="AF84" s="131">
        <v>0.60549998000000005</v>
      </c>
      <c r="AG84" s="131">
        <v>0.61589998000000001</v>
      </c>
    </row>
    <row r="85" spans="1:33" x14ac:dyDescent="0.2">
      <c r="A85" s="136" t="s">
        <v>88</v>
      </c>
      <c r="B85" s="131">
        <v>9.6699999999999994E-2</v>
      </c>
      <c r="C85" s="131">
        <v>9.7000000000000003E-2</v>
      </c>
      <c r="D85" s="131">
        <v>9.69E-2</v>
      </c>
      <c r="E85" s="131">
        <v>9.6699999999999994E-2</v>
      </c>
      <c r="F85" s="131">
        <v>9.7199999999999995E-2</v>
      </c>
      <c r="G85" s="131">
        <v>9.74E-2</v>
      </c>
      <c r="H85" s="131">
        <v>9.8000000000000004E-2</v>
      </c>
      <c r="I85" s="131">
        <v>9.9000000000000005E-2</v>
      </c>
      <c r="J85" s="131">
        <v>0.10050000000000001</v>
      </c>
      <c r="K85" s="131">
        <v>0.1028</v>
      </c>
      <c r="L85" s="131">
        <v>0.1069</v>
      </c>
      <c r="M85" s="131">
        <v>0.11360000000000001</v>
      </c>
      <c r="N85" s="131">
        <v>0.12429999999999999</v>
      </c>
      <c r="O85" s="131">
        <v>0.14099999999999999</v>
      </c>
      <c r="P85" s="131">
        <v>0.16539999999999999</v>
      </c>
      <c r="Q85" s="131">
        <v>0.19419998999999999</v>
      </c>
      <c r="R85" s="131">
        <v>0.2291</v>
      </c>
      <c r="S85" s="131">
        <v>0.27219999</v>
      </c>
      <c r="T85" s="131">
        <v>0.32159999</v>
      </c>
      <c r="U85" s="131">
        <v>0.37380001000000002</v>
      </c>
      <c r="V85" s="131">
        <v>0.42259999999999998</v>
      </c>
      <c r="W85" s="131">
        <v>0.46779999</v>
      </c>
      <c r="X85" s="131">
        <v>0.50510001000000004</v>
      </c>
      <c r="Y85" s="131">
        <v>0.52170002000000004</v>
      </c>
      <c r="Z85" s="131">
        <v>0.54070001999999995</v>
      </c>
      <c r="AA85" s="131">
        <v>0.55290002000000005</v>
      </c>
      <c r="AB85" s="131">
        <v>0.56559998</v>
      </c>
      <c r="AC85" s="131">
        <v>0.57999997999999997</v>
      </c>
      <c r="AD85" s="131">
        <v>0.59549998999999998</v>
      </c>
      <c r="AE85" s="131">
        <v>0.61170000000000002</v>
      </c>
      <c r="AF85" s="131">
        <v>0.625</v>
      </c>
      <c r="AG85" s="131">
        <v>0.63770002000000003</v>
      </c>
    </row>
    <row r="86" spans="1:33" x14ac:dyDescent="0.2">
      <c r="A86" s="136" t="s">
        <v>89</v>
      </c>
      <c r="B86" s="131">
        <v>9.4E-2</v>
      </c>
      <c r="C86" s="131">
        <v>9.3700000000000006E-2</v>
      </c>
      <c r="D86" s="131">
        <v>9.35E-2</v>
      </c>
      <c r="E86" s="131">
        <v>9.3299999999999994E-2</v>
      </c>
      <c r="F86" s="131">
        <v>9.3399999999999997E-2</v>
      </c>
      <c r="G86" s="131">
        <v>9.35E-2</v>
      </c>
      <c r="H86" s="131">
        <v>9.3399999999999997E-2</v>
      </c>
      <c r="I86" s="131">
        <v>9.3299999999999994E-2</v>
      </c>
      <c r="J86" s="131">
        <v>9.3399999999999997E-2</v>
      </c>
      <c r="K86" s="131">
        <v>9.35E-2</v>
      </c>
      <c r="L86" s="131">
        <v>9.3399999999999997E-2</v>
      </c>
      <c r="M86" s="131">
        <v>9.3899999999999997E-2</v>
      </c>
      <c r="N86" s="131">
        <v>9.3299999999999994E-2</v>
      </c>
      <c r="O86" s="131">
        <v>9.3200000000000005E-2</v>
      </c>
      <c r="P86" s="131">
        <v>9.3399999999999997E-2</v>
      </c>
      <c r="Q86" s="131">
        <v>9.3600000000000003E-2</v>
      </c>
      <c r="R86" s="131">
        <v>9.3799999999999994E-2</v>
      </c>
      <c r="S86" s="131">
        <v>9.3799999999999994E-2</v>
      </c>
      <c r="T86" s="131">
        <v>9.3799999999999994E-2</v>
      </c>
      <c r="U86" s="131">
        <v>9.4E-2</v>
      </c>
      <c r="V86" s="131">
        <v>9.3799999999999994E-2</v>
      </c>
      <c r="W86" s="131">
        <v>9.3899999999999997E-2</v>
      </c>
      <c r="X86" s="131">
        <v>9.4E-2</v>
      </c>
      <c r="Y86" s="131">
        <v>9.4E-2</v>
      </c>
      <c r="Z86" s="131">
        <v>9.4E-2</v>
      </c>
      <c r="AA86" s="131">
        <v>9.4E-2</v>
      </c>
      <c r="AB86" s="131">
        <v>9.4E-2</v>
      </c>
      <c r="AC86" s="131">
        <v>9.3899999999999997E-2</v>
      </c>
      <c r="AD86" s="131">
        <v>9.3799999999999994E-2</v>
      </c>
      <c r="AE86" s="131">
        <v>9.3899999999999997E-2</v>
      </c>
      <c r="AF86" s="131">
        <v>9.4299999999999995E-2</v>
      </c>
      <c r="AG86" s="131">
        <v>9.4E-2</v>
      </c>
    </row>
    <row r="87" spans="1:33" x14ac:dyDescent="0.2">
      <c r="A87" s="136" t="s">
        <v>90</v>
      </c>
      <c r="B87" s="131">
        <v>9.35E-2</v>
      </c>
      <c r="C87" s="131">
        <v>9.3600000000000003E-2</v>
      </c>
      <c r="D87" s="131">
        <v>9.35E-2</v>
      </c>
      <c r="E87" s="131">
        <v>9.3399999999999997E-2</v>
      </c>
      <c r="F87" s="131">
        <v>9.3299999999999994E-2</v>
      </c>
      <c r="G87" s="131">
        <v>9.3299999999999994E-2</v>
      </c>
      <c r="H87" s="131">
        <v>9.3299999999999994E-2</v>
      </c>
      <c r="I87" s="131">
        <v>9.3299999999999994E-2</v>
      </c>
      <c r="J87" s="131">
        <v>9.3399999999999997E-2</v>
      </c>
      <c r="K87" s="131">
        <v>9.3299999999999994E-2</v>
      </c>
      <c r="L87" s="131">
        <v>9.3200000000000005E-2</v>
      </c>
      <c r="M87" s="131">
        <v>9.2999999999999999E-2</v>
      </c>
      <c r="N87" s="131">
        <v>9.2999999999999999E-2</v>
      </c>
      <c r="O87" s="131">
        <v>9.2999999999999999E-2</v>
      </c>
      <c r="P87" s="131">
        <v>9.3200000000000005E-2</v>
      </c>
      <c r="Q87" s="131">
        <v>9.3200000000000005E-2</v>
      </c>
      <c r="R87" s="131">
        <v>9.3299999999999994E-2</v>
      </c>
      <c r="S87" s="131">
        <v>9.3399999999999997E-2</v>
      </c>
      <c r="T87" s="131">
        <v>9.3299999999999994E-2</v>
      </c>
      <c r="U87" s="131">
        <v>9.3299999999999994E-2</v>
      </c>
      <c r="V87" s="131">
        <v>9.3299999999999994E-2</v>
      </c>
      <c r="W87" s="131">
        <v>9.3399999999999997E-2</v>
      </c>
      <c r="X87" s="131">
        <v>9.3399999999999997E-2</v>
      </c>
      <c r="Y87" s="131">
        <v>9.3399999999999997E-2</v>
      </c>
      <c r="Z87" s="131">
        <v>9.3299999999999994E-2</v>
      </c>
      <c r="AA87" s="131">
        <v>9.3299999999999994E-2</v>
      </c>
      <c r="AB87" s="131">
        <v>9.3299999999999994E-2</v>
      </c>
      <c r="AC87" s="131">
        <v>9.3299999999999994E-2</v>
      </c>
      <c r="AD87" s="131">
        <v>9.3200000000000005E-2</v>
      </c>
      <c r="AE87" s="131">
        <v>9.3100000000000002E-2</v>
      </c>
      <c r="AF87" s="131">
        <v>9.3200000000000005E-2</v>
      </c>
      <c r="AG87" s="131">
        <v>9.3299999999999994E-2</v>
      </c>
    </row>
    <row r="88" spans="1:33" x14ac:dyDescent="0.2">
      <c r="A88" s="136" t="s">
        <v>91</v>
      </c>
      <c r="B88" s="131">
        <v>9.6799999999999997E-2</v>
      </c>
      <c r="C88" s="131">
        <v>9.7500000000000003E-2</v>
      </c>
      <c r="D88" s="131">
        <v>9.7100000000000006E-2</v>
      </c>
      <c r="E88" s="131">
        <v>9.7100000000000006E-2</v>
      </c>
      <c r="F88" s="131">
        <v>9.74E-2</v>
      </c>
      <c r="G88" s="131">
        <v>9.7699999999999995E-2</v>
      </c>
      <c r="H88" s="131">
        <v>9.8500000000000004E-2</v>
      </c>
      <c r="I88" s="131">
        <v>9.9500000000000005E-2</v>
      </c>
      <c r="J88" s="131">
        <v>0.10100000000000001</v>
      </c>
      <c r="K88" s="131">
        <v>0.10349999999999999</v>
      </c>
      <c r="L88" s="131">
        <v>0.1077</v>
      </c>
      <c r="M88" s="131">
        <v>0.1148</v>
      </c>
      <c r="N88" s="131">
        <v>0.12620001</v>
      </c>
      <c r="O88" s="131">
        <v>0.14390000999999999</v>
      </c>
      <c r="P88" s="131">
        <v>0.16880000000000001</v>
      </c>
      <c r="Q88" s="131">
        <v>0.1983</v>
      </c>
      <c r="R88" s="131">
        <v>0.2331</v>
      </c>
      <c r="S88" s="131">
        <v>0.27450001000000002</v>
      </c>
      <c r="T88" s="131">
        <v>0.32229998999999998</v>
      </c>
      <c r="U88" s="131">
        <v>0.37149999</v>
      </c>
      <c r="V88" s="131">
        <v>0.41819999000000002</v>
      </c>
      <c r="W88" s="131">
        <v>0.46139999999999998</v>
      </c>
      <c r="X88" s="131">
        <v>0.50230001999999996</v>
      </c>
      <c r="Y88" s="131">
        <v>0.51560002999999999</v>
      </c>
      <c r="Z88" s="131">
        <v>0.53479999</v>
      </c>
      <c r="AA88" s="131">
        <v>0.54979997999999997</v>
      </c>
      <c r="AB88" s="131">
        <v>0.56069999999999998</v>
      </c>
      <c r="AC88" s="131">
        <v>0.57300001</v>
      </c>
      <c r="AD88" s="131">
        <v>0.58780003000000003</v>
      </c>
      <c r="AE88" s="131">
        <v>0.60450000000000004</v>
      </c>
      <c r="AF88" s="131">
        <v>0.62099998999999995</v>
      </c>
      <c r="AG88" s="131">
        <v>0.63249999000000001</v>
      </c>
    </row>
    <row r="89" spans="1:33" x14ac:dyDescent="0.2">
      <c r="A89" s="136" t="s">
        <v>92</v>
      </c>
      <c r="B89" s="131">
        <v>9.7199999999999995E-2</v>
      </c>
      <c r="C89" s="131">
        <v>9.7299999999999998E-2</v>
      </c>
      <c r="D89" s="131">
        <v>9.74E-2</v>
      </c>
      <c r="E89" s="131">
        <v>9.74E-2</v>
      </c>
      <c r="F89" s="131">
        <v>9.7799999999999998E-2</v>
      </c>
      <c r="G89" s="131">
        <v>9.8100000000000007E-2</v>
      </c>
      <c r="H89" s="131">
        <v>9.8799999999999999E-2</v>
      </c>
      <c r="I89" s="131">
        <v>9.98E-2</v>
      </c>
      <c r="J89" s="131">
        <v>0.1014</v>
      </c>
      <c r="K89" s="131">
        <v>0.10390000000000001</v>
      </c>
      <c r="L89" s="131">
        <v>0.1082</v>
      </c>
      <c r="M89" s="131">
        <v>0.11550000000000001</v>
      </c>
      <c r="N89" s="131">
        <v>0.1268</v>
      </c>
      <c r="O89" s="131">
        <v>0.14460000000000001</v>
      </c>
      <c r="P89" s="131">
        <v>0.16980000000000001</v>
      </c>
      <c r="Q89" s="131">
        <v>0.19939999</v>
      </c>
      <c r="R89" s="131">
        <v>0.23469999</v>
      </c>
      <c r="S89" s="131">
        <v>0.27630000999999998</v>
      </c>
      <c r="T89" s="131">
        <v>0.3251</v>
      </c>
      <c r="U89" s="131">
        <v>0.37360000999999998</v>
      </c>
      <c r="V89" s="131">
        <v>0.42089999</v>
      </c>
      <c r="W89" s="131">
        <v>0.46460000000000001</v>
      </c>
      <c r="X89" s="131">
        <v>0.50590002999999995</v>
      </c>
      <c r="Y89" s="131">
        <v>0.52060002000000005</v>
      </c>
      <c r="Z89" s="131">
        <v>0.53839999000000005</v>
      </c>
      <c r="AA89" s="131">
        <v>0.55320000999999996</v>
      </c>
      <c r="AB89" s="131">
        <v>0.56569999000000004</v>
      </c>
      <c r="AC89" s="131">
        <v>0.57859998999999995</v>
      </c>
      <c r="AD89" s="131">
        <v>0.59299999000000003</v>
      </c>
      <c r="AE89" s="131">
        <v>0.60799998</v>
      </c>
      <c r="AF89" s="131">
        <v>0.62360000999999998</v>
      </c>
      <c r="AG89" s="131">
        <v>0.63520001999999998</v>
      </c>
    </row>
    <row r="90" spans="1:33" x14ac:dyDescent="0.2">
      <c r="A90" s="136" t="s">
        <v>93</v>
      </c>
      <c r="B90" s="131">
        <v>9.7199999999999995E-2</v>
      </c>
      <c r="C90" s="131">
        <v>9.7199999999999995E-2</v>
      </c>
      <c r="D90" s="131">
        <v>9.7299999999999998E-2</v>
      </c>
      <c r="E90" s="131">
        <v>9.7199999999999995E-2</v>
      </c>
      <c r="F90" s="131">
        <v>9.7500000000000003E-2</v>
      </c>
      <c r="G90" s="131">
        <v>9.7900000000000001E-2</v>
      </c>
      <c r="H90" s="131">
        <v>9.8599999999999993E-2</v>
      </c>
      <c r="I90" s="131">
        <v>9.9699999999999997E-2</v>
      </c>
      <c r="J90" s="131">
        <v>0.1013</v>
      </c>
      <c r="K90" s="131">
        <v>0.1045</v>
      </c>
      <c r="L90" s="131">
        <v>0.10780000000000001</v>
      </c>
      <c r="M90" s="131">
        <v>0.11509999999999999</v>
      </c>
      <c r="N90" s="131">
        <v>0.12630000999999999</v>
      </c>
      <c r="O90" s="131">
        <v>0.14419999999999999</v>
      </c>
      <c r="P90" s="131">
        <v>0.16919999999999999</v>
      </c>
      <c r="Q90" s="131">
        <v>0.19869999999999999</v>
      </c>
      <c r="R90" s="131">
        <v>0.2344</v>
      </c>
      <c r="S90" s="131">
        <v>0.27649998999999997</v>
      </c>
      <c r="T90" s="131">
        <v>0.32530000999999997</v>
      </c>
      <c r="U90" s="131">
        <v>0.37450000999999999</v>
      </c>
      <c r="V90" s="131">
        <v>0.42219999000000002</v>
      </c>
      <c r="W90" s="131">
        <v>0.46619999000000001</v>
      </c>
      <c r="X90" s="131">
        <v>0.50770002999999997</v>
      </c>
      <c r="Y90" s="131">
        <v>0.52310002</v>
      </c>
      <c r="Z90" s="131">
        <v>0.54030001000000005</v>
      </c>
      <c r="AA90" s="131">
        <v>0.55479997000000003</v>
      </c>
      <c r="AB90" s="131">
        <v>0.56720000999999998</v>
      </c>
      <c r="AC90" s="131">
        <v>0.57980001000000003</v>
      </c>
      <c r="AD90" s="131">
        <v>0.59469998000000002</v>
      </c>
      <c r="AE90" s="131">
        <v>0.61019999000000003</v>
      </c>
      <c r="AF90" s="131">
        <v>0.62580000999999996</v>
      </c>
      <c r="AG90" s="131">
        <v>0.63929999000000004</v>
      </c>
    </row>
    <row r="91" spans="1:33" x14ac:dyDescent="0.2">
      <c r="A91" s="136" t="s">
        <v>94</v>
      </c>
      <c r="B91" s="131">
        <v>9.7000000000000003E-2</v>
      </c>
      <c r="C91" s="131">
        <v>9.7100000000000006E-2</v>
      </c>
      <c r="D91" s="131">
        <v>9.7100000000000006E-2</v>
      </c>
      <c r="E91" s="131">
        <v>9.7000000000000003E-2</v>
      </c>
      <c r="F91" s="131">
        <v>9.7199999999999995E-2</v>
      </c>
      <c r="G91" s="131">
        <v>9.7600000000000006E-2</v>
      </c>
      <c r="H91" s="131">
        <v>9.8500000000000004E-2</v>
      </c>
      <c r="I91" s="131">
        <v>9.9400000000000002E-2</v>
      </c>
      <c r="J91" s="131">
        <v>0.10059999999999999</v>
      </c>
      <c r="K91" s="131">
        <v>0.1027</v>
      </c>
      <c r="L91" s="131">
        <v>0.1061</v>
      </c>
      <c r="M91" s="131">
        <v>0.11219999999999999</v>
      </c>
      <c r="N91" s="131">
        <v>0.12189999999999999</v>
      </c>
      <c r="O91" s="131">
        <v>0.13689999</v>
      </c>
      <c r="P91" s="131">
        <v>0.1595</v>
      </c>
      <c r="Q91" s="131">
        <v>0.18790001000000001</v>
      </c>
      <c r="R91" s="131">
        <v>0.22130000999999999</v>
      </c>
      <c r="S91" s="131">
        <v>0.26100001</v>
      </c>
      <c r="T91" s="131">
        <v>0.30730000000000002</v>
      </c>
      <c r="U91" s="131">
        <v>0.35460001000000002</v>
      </c>
      <c r="V91" s="131">
        <v>0.40389999999999998</v>
      </c>
      <c r="W91" s="131">
        <v>0.44650000000000001</v>
      </c>
      <c r="X91" s="131">
        <v>0.48849999999999999</v>
      </c>
      <c r="Y91" s="131">
        <v>0.51039999999999996</v>
      </c>
      <c r="Z91" s="131">
        <v>0.52859997999999997</v>
      </c>
      <c r="AA91" s="131">
        <v>0.54409998999999998</v>
      </c>
      <c r="AB91" s="131">
        <v>0.55779999000000002</v>
      </c>
      <c r="AC91" s="131">
        <v>0.56849998000000002</v>
      </c>
      <c r="AD91" s="131">
        <v>0.58200001999999995</v>
      </c>
      <c r="AE91" s="131">
        <v>0.59759998000000003</v>
      </c>
      <c r="AF91" s="131">
        <v>0.61240000000000006</v>
      </c>
      <c r="AG91" s="131">
        <v>0.62429999999999997</v>
      </c>
    </row>
    <row r="92" spans="1:33" x14ac:dyDescent="0.2">
      <c r="A92" s="136" t="s">
        <v>95</v>
      </c>
      <c r="B92" s="131">
        <v>9.7299999999999998E-2</v>
      </c>
      <c r="C92" s="131">
        <v>9.69E-2</v>
      </c>
      <c r="D92" s="131">
        <v>9.7000000000000003E-2</v>
      </c>
      <c r="E92" s="131">
        <v>9.7199999999999995E-2</v>
      </c>
      <c r="F92" s="131">
        <v>9.7500000000000003E-2</v>
      </c>
      <c r="G92" s="131">
        <v>9.7600000000000006E-2</v>
      </c>
      <c r="H92" s="131">
        <v>9.8500000000000004E-2</v>
      </c>
      <c r="I92" s="131">
        <v>9.9099999999999994E-2</v>
      </c>
      <c r="J92" s="131">
        <v>0.10050000000000001</v>
      </c>
      <c r="K92" s="131">
        <v>0.1026</v>
      </c>
      <c r="L92" s="131">
        <v>0.10630000000000001</v>
      </c>
      <c r="M92" s="131">
        <v>0.11269999999999999</v>
      </c>
      <c r="N92" s="131">
        <v>0.1227</v>
      </c>
      <c r="O92" s="131">
        <v>0.13900000000000001</v>
      </c>
      <c r="P92" s="131">
        <v>0.16249999000000001</v>
      </c>
      <c r="Q92" s="131">
        <v>0.19230000999999999</v>
      </c>
      <c r="R92" s="131">
        <v>0.22589998999999999</v>
      </c>
      <c r="S92" s="131">
        <v>0.26750001000000001</v>
      </c>
      <c r="T92" s="131">
        <v>0.31479998999999997</v>
      </c>
      <c r="U92" s="131">
        <v>0.36359998999999998</v>
      </c>
      <c r="V92" s="131">
        <v>0.41110000000000002</v>
      </c>
      <c r="W92" s="131">
        <v>0.45529999999999998</v>
      </c>
      <c r="X92" s="131">
        <v>0.49640000000000001</v>
      </c>
      <c r="Y92" s="131">
        <v>0.51400000000000001</v>
      </c>
      <c r="Z92" s="131">
        <v>0.53070002999999999</v>
      </c>
      <c r="AA92" s="131">
        <v>0.54779999999999995</v>
      </c>
      <c r="AB92" s="131">
        <v>0.55959999999999999</v>
      </c>
      <c r="AC92" s="131">
        <v>0.57179999000000004</v>
      </c>
      <c r="AD92" s="131">
        <v>0.58670001999999999</v>
      </c>
      <c r="AE92" s="131">
        <v>0.60250002000000003</v>
      </c>
      <c r="AF92" s="131">
        <v>0.61529999999999996</v>
      </c>
      <c r="AG92" s="131">
        <v>0.62840003</v>
      </c>
    </row>
    <row r="93" spans="1:33" x14ac:dyDescent="0.2">
      <c r="A93" s="136" t="s">
        <v>96</v>
      </c>
      <c r="B93" s="131">
        <v>9.6600000000000005E-2</v>
      </c>
      <c r="C93" s="131">
        <v>9.69E-2</v>
      </c>
      <c r="D93" s="131">
        <v>9.7699999999999995E-2</v>
      </c>
      <c r="E93" s="131">
        <v>9.69E-2</v>
      </c>
      <c r="F93" s="131">
        <v>9.7199999999999995E-2</v>
      </c>
      <c r="G93" s="131">
        <v>9.7699999999999995E-2</v>
      </c>
      <c r="H93" s="131">
        <v>9.8100000000000007E-2</v>
      </c>
      <c r="I93" s="131">
        <v>9.9199999999999997E-2</v>
      </c>
      <c r="J93" s="131">
        <v>0.1008</v>
      </c>
      <c r="K93" s="131">
        <v>0.10290000000000001</v>
      </c>
      <c r="L93" s="131">
        <v>0.10680000000000001</v>
      </c>
      <c r="M93" s="131">
        <v>0.1137</v>
      </c>
      <c r="N93" s="131">
        <v>0.1242</v>
      </c>
      <c r="O93" s="131">
        <v>0.14120000999999999</v>
      </c>
      <c r="P93" s="131">
        <v>0.1661</v>
      </c>
      <c r="Q93" s="131">
        <v>0.19550000000000001</v>
      </c>
      <c r="R93" s="131">
        <v>0.23089999999999999</v>
      </c>
      <c r="S93" s="131">
        <v>0.27360001</v>
      </c>
      <c r="T93" s="131">
        <v>0.32150000000000001</v>
      </c>
      <c r="U93" s="131">
        <v>0.3705</v>
      </c>
      <c r="V93" s="131">
        <v>0.41789999999999999</v>
      </c>
      <c r="W93" s="131">
        <v>0.46100000000000002</v>
      </c>
      <c r="X93" s="131">
        <v>0.50089996999999997</v>
      </c>
      <c r="Y93" s="131">
        <v>0.51310003000000004</v>
      </c>
      <c r="Z93" s="131">
        <v>0.52990000999999998</v>
      </c>
      <c r="AA93" s="131">
        <v>0.54379999999999995</v>
      </c>
      <c r="AB93" s="131">
        <v>0.55680001000000001</v>
      </c>
      <c r="AC93" s="131">
        <v>0.56959998999999994</v>
      </c>
      <c r="AD93" s="131">
        <v>0.58539998999999998</v>
      </c>
      <c r="AE93" s="131">
        <v>0.60100001000000003</v>
      </c>
      <c r="AF93" s="131">
        <v>0.61240000000000006</v>
      </c>
      <c r="AG93" s="131">
        <v>0.62529999000000003</v>
      </c>
    </row>
    <row r="94" spans="1:33" x14ac:dyDescent="0.2">
      <c r="A94" s="136" t="s">
        <v>97</v>
      </c>
      <c r="B94" s="131">
        <v>9.7799999999999998E-2</v>
      </c>
      <c r="C94" s="131">
        <v>9.8799999999999999E-2</v>
      </c>
      <c r="D94" s="131">
        <v>9.8799999999999999E-2</v>
      </c>
      <c r="E94" s="131">
        <v>9.8799999999999999E-2</v>
      </c>
      <c r="F94" s="131">
        <v>9.9000000000000005E-2</v>
      </c>
      <c r="G94" s="131">
        <v>9.9299999999999999E-2</v>
      </c>
      <c r="H94" s="131">
        <v>0.10009999999999999</v>
      </c>
      <c r="I94" s="131">
        <v>0.1009</v>
      </c>
      <c r="J94" s="131">
        <v>0.1031</v>
      </c>
      <c r="K94" s="131">
        <v>0.1047</v>
      </c>
      <c r="L94" s="131">
        <v>0.1087</v>
      </c>
      <c r="M94" s="131">
        <v>0.1152</v>
      </c>
      <c r="N94" s="131">
        <v>0.1258</v>
      </c>
      <c r="O94" s="131">
        <v>0.14210001</v>
      </c>
      <c r="P94" s="131">
        <v>0.16569999999999999</v>
      </c>
      <c r="Q94" s="131">
        <v>0.19450000000000001</v>
      </c>
      <c r="R94" s="131">
        <v>0.2291</v>
      </c>
      <c r="S94" s="131">
        <v>0.27110001</v>
      </c>
      <c r="T94" s="131">
        <v>0.32170000999999998</v>
      </c>
      <c r="U94" s="131">
        <v>0.373</v>
      </c>
      <c r="V94" s="131">
        <v>0.42609998999999998</v>
      </c>
      <c r="W94" s="131">
        <v>0.47150001000000002</v>
      </c>
      <c r="X94" s="131">
        <v>0.51470000000000005</v>
      </c>
      <c r="Y94" s="131">
        <v>0.53259999000000002</v>
      </c>
      <c r="Z94" s="131">
        <v>0.55169999999999997</v>
      </c>
      <c r="AA94" s="131">
        <v>0.56590003</v>
      </c>
      <c r="AB94" s="131">
        <v>0.57840002000000001</v>
      </c>
      <c r="AC94" s="131">
        <v>0.59130000999999999</v>
      </c>
      <c r="AD94" s="131">
        <v>0.60799998</v>
      </c>
      <c r="AE94" s="131">
        <v>0.62489998000000002</v>
      </c>
      <c r="AF94" s="131">
        <v>0.63620001000000004</v>
      </c>
      <c r="AG94" s="131">
        <v>0.64880002000000003</v>
      </c>
    </row>
    <row r="95" spans="1:33" x14ac:dyDescent="0.2">
      <c r="A95" s="136" t="s">
        <v>98</v>
      </c>
      <c r="B95" s="131">
        <v>9.7900000000000001E-2</v>
      </c>
      <c r="C95" s="131">
        <v>9.8000000000000004E-2</v>
      </c>
      <c r="D95" s="131">
        <v>9.8000000000000004E-2</v>
      </c>
      <c r="E95" s="131">
        <v>9.7799999999999998E-2</v>
      </c>
      <c r="F95" s="131">
        <v>9.8100000000000007E-2</v>
      </c>
      <c r="G95" s="131">
        <v>9.8500000000000004E-2</v>
      </c>
      <c r="H95" s="131">
        <v>9.9199999999999997E-2</v>
      </c>
      <c r="I95" s="131">
        <v>0.1</v>
      </c>
      <c r="J95" s="131">
        <v>0.1013</v>
      </c>
      <c r="K95" s="131">
        <v>0.1036</v>
      </c>
      <c r="L95" s="131">
        <v>0.1074</v>
      </c>
      <c r="M95" s="131">
        <v>0.11459999999999999</v>
      </c>
      <c r="N95" s="131">
        <v>0.1246</v>
      </c>
      <c r="O95" s="131">
        <v>0.1409</v>
      </c>
      <c r="P95" s="131">
        <v>0.1646</v>
      </c>
      <c r="Q95" s="131">
        <v>0.19320001000000001</v>
      </c>
      <c r="R95" s="131">
        <v>0.22720000000000001</v>
      </c>
      <c r="S95" s="131">
        <v>0.26939999999999997</v>
      </c>
      <c r="T95" s="131">
        <v>0.31889999000000002</v>
      </c>
      <c r="U95" s="131">
        <v>0.37020001000000002</v>
      </c>
      <c r="V95" s="131">
        <v>0.42280000000000001</v>
      </c>
      <c r="W95" s="131">
        <v>0.46880000999999999</v>
      </c>
      <c r="X95" s="131">
        <v>0.51230001000000003</v>
      </c>
      <c r="Y95" s="131">
        <v>0.52969997999999996</v>
      </c>
      <c r="Z95" s="131">
        <v>0.54930000999999995</v>
      </c>
      <c r="AA95" s="131">
        <v>0.56230002999999995</v>
      </c>
      <c r="AB95" s="131">
        <v>0.57620000999999998</v>
      </c>
      <c r="AC95" s="131">
        <v>0.58850002000000001</v>
      </c>
      <c r="AD95" s="131">
        <v>0.60519999000000002</v>
      </c>
      <c r="AE95" s="131">
        <v>0.62080002000000001</v>
      </c>
      <c r="AF95" s="131">
        <v>0.63410001999999999</v>
      </c>
      <c r="AG95" s="131">
        <v>0.64539999000000003</v>
      </c>
    </row>
    <row r="96" spans="1:33" x14ac:dyDescent="0.2">
      <c r="A96" s="136" t="s">
        <v>99</v>
      </c>
      <c r="B96" s="131">
        <v>9.74E-2</v>
      </c>
      <c r="C96" s="131">
        <v>9.74E-2</v>
      </c>
      <c r="D96" s="131">
        <v>9.74E-2</v>
      </c>
      <c r="E96" s="131">
        <v>9.7299999999999998E-2</v>
      </c>
      <c r="F96" s="131">
        <v>9.7500000000000003E-2</v>
      </c>
      <c r="G96" s="131">
        <v>9.7900000000000001E-2</v>
      </c>
      <c r="H96" s="131">
        <v>9.8799999999999999E-2</v>
      </c>
      <c r="I96" s="131">
        <v>9.9400000000000002E-2</v>
      </c>
      <c r="J96" s="131">
        <v>0.10059999999999999</v>
      </c>
      <c r="K96" s="131">
        <v>0.1028</v>
      </c>
      <c r="L96" s="131">
        <v>0.10639999999999999</v>
      </c>
      <c r="M96" s="131">
        <v>0.1124</v>
      </c>
      <c r="N96" s="131">
        <v>0.1222</v>
      </c>
      <c r="O96" s="131">
        <v>0.13719999999999999</v>
      </c>
      <c r="P96" s="131">
        <v>0.15959999999999999</v>
      </c>
      <c r="Q96" s="131">
        <v>0.1875</v>
      </c>
      <c r="R96" s="131">
        <v>0.2203</v>
      </c>
      <c r="S96" s="131">
        <v>0.26079999999999998</v>
      </c>
      <c r="T96" s="131">
        <v>0.30899999</v>
      </c>
      <c r="U96" s="131">
        <v>0.35870001000000001</v>
      </c>
      <c r="V96" s="131">
        <v>0.41029999</v>
      </c>
      <c r="W96" s="131">
        <v>0.45429998999999999</v>
      </c>
      <c r="X96" s="131">
        <v>0.49739999000000001</v>
      </c>
      <c r="Y96" s="131">
        <v>0.51550001000000001</v>
      </c>
      <c r="Z96" s="131">
        <v>0.53460001999999995</v>
      </c>
      <c r="AA96" s="131">
        <v>0.54890000999999999</v>
      </c>
      <c r="AB96" s="131">
        <v>0.56160003000000003</v>
      </c>
      <c r="AC96" s="131">
        <v>0.57489997000000004</v>
      </c>
      <c r="AD96" s="131">
        <v>0.58899999000000003</v>
      </c>
      <c r="AE96" s="131">
        <v>0.60650002999999997</v>
      </c>
      <c r="AF96" s="131">
        <v>0.61909997000000005</v>
      </c>
      <c r="AG96" s="131">
        <v>0.63200003000000005</v>
      </c>
    </row>
    <row r="97" spans="1:33" x14ac:dyDescent="0.2">
      <c r="A97" s="136" t="s">
        <v>100</v>
      </c>
      <c r="B97" s="131">
        <v>9.7600000000000006E-2</v>
      </c>
      <c r="C97" s="131">
        <v>9.8000000000000004E-2</v>
      </c>
      <c r="D97" s="131">
        <v>9.7799999999999998E-2</v>
      </c>
      <c r="E97" s="131">
        <v>9.7500000000000003E-2</v>
      </c>
      <c r="F97" s="131">
        <v>9.8299999999999998E-2</v>
      </c>
      <c r="G97" s="131">
        <v>9.8400000000000001E-2</v>
      </c>
      <c r="H97" s="131">
        <v>9.9000000000000005E-2</v>
      </c>
      <c r="I97" s="131">
        <v>0.10009999999999999</v>
      </c>
      <c r="J97" s="131">
        <v>0.1017</v>
      </c>
      <c r="K97" s="131">
        <v>0.1042</v>
      </c>
      <c r="L97" s="131">
        <v>0.1082</v>
      </c>
      <c r="M97" s="131">
        <v>0.1152</v>
      </c>
      <c r="N97" s="131">
        <v>0.12630000999999999</v>
      </c>
      <c r="O97" s="131">
        <v>0.14380001000000001</v>
      </c>
      <c r="P97" s="131">
        <v>0.16859999000000001</v>
      </c>
      <c r="Q97" s="131">
        <v>0.19859999</v>
      </c>
      <c r="R97" s="131">
        <v>0.2341</v>
      </c>
      <c r="S97" s="131">
        <v>0.27829999</v>
      </c>
      <c r="T97" s="131">
        <v>0.32900000000000001</v>
      </c>
      <c r="U97" s="131">
        <v>0.38060000999999999</v>
      </c>
      <c r="V97" s="131">
        <v>0.43079999000000002</v>
      </c>
      <c r="W97" s="131">
        <v>0.47549998999999998</v>
      </c>
      <c r="X97" s="131">
        <v>0.51219999999999999</v>
      </c>
      <c r="Y97" s="131">
        <v>0.52960001999999995</v>
      </c>
      <c r="Z97" s="131">
        <v>0.54650003000000003</v>
      </c>
      <c r="AA97" s="131">
        <v>0.56010002000000003</v>
      </c>
      <c r="AB97" s="131">
        <v>0.57239996999999998</v>
      </c>
      <c r="AC97" s="131">
        <v>0.58609997999999996</v>
      </c>
      <c r="AD97" s="131">
        <v>0.60170000999999995</v>
      </c>
      <c r="AE97" s="131">
        <v>0.62019997999999998</v>
      </c>
      <c r="AF97" s="131">
        <v>0.63249999000000001</v>
      </c>
      <c r="AG97" s="131">
        <v>0.64459997000000002</v>
      </c>
    </row>
    <row r="98" spans="1:33" x14ac:dyDescent="0.2">
      <c r="A98" s="136" t="s">
        <v>101</v>
      </c>
      <c r="B98" s="131">
        <v>9.4799999999999995E-2</v>
      </c>
      <c r="C98" s="131">
        <v>9.5100000000000004E-2</v>
      </c>
      <c r="D98" s="131">
        <v>9.4700000000000006E-2</v>
      </c>
      <c r="E98" s="131">
        <v>9.4600000000000004E-2</v>
      </c>
      <c r="F98" s="131">
        <v>9.4399999999999998E-2</v>
      </c>
      <c r="G98" s="131">
        <v>9.4100000000000003E-2</v>
      </c>
      <c r="H98" s="131">
        <v>9.4299999999999995E-2</v>
      </c>
      <c r="I98" s="131">
        <v>9.4299999999999995E-2</v>
      </c>
      <c r="J98" s="131">
        <v>9.4100000000000003E-2</v>
      </c>
      <c r="K98" s="131">
        <v>9.4100000000000003E-2</v>
      </c>
      <c r="L98" s="131">
        <v>9.4E-2</v>
      </c>
      <c r="M98" s="131">
        <v>9.3700000000000006E-2</v>
      </c>
      <c r="N98" s="131">
        <v>9.3700000000000006E-2</v>
      </c>
      <c r="O98" s="131">
        <v>9.3700000000000006E-2</v>
      </c>
      <c r="P98" s="131">
        <v>9.4100000000000003E-2</v>
      </c>
      <c r="Q98" s="131">
        <v>9.4100000000000003E-2</v>
      </c>
      <c r="R98" s="131">
        <v>9.4200000000000006E-2</v>
      </c>
      <c r="S98" s="131">
        <v>9.4399999999999998E-2</v>
      </c>
      <c r="T98" s="131">
        <v>9.4200000000000006E-2</v>
      </c>
      <c r="U98" s="131">
        <v>9.4500000000000001E-2</v>
      </c>
      <c r="V98" s="131">
        <v>9.4299999999999995E-2</v>
      </c>
      <c r="W98" s="131">
        <v>9.4500000000000001E-2</v>
      </c>
      <c r="X98" s="131">
        <v>9.4399999999999998E-2</v>
      </c>
      <c r="Y98" s="131">
        <v>9.4500000000000001E-2</v>
      </c>
      <c r="Z98" s="131">
        <v>9.4600000000000004E-2</v>
      </c>
      <c r="AA98" s="131">
        <v>9.4399999999999998E-2</v>
      </c>
      <c r="AB98" s="131">
        <v>9.4399999999999998E-2</v>
      </c>
      <c r="AC98" s="131">
        <v>9.4399999999999998E-2</v>
      </c>
      <c r="AD98" s="131">
        <v>9.4200000000000006E-2</v>
      </c>
      <c r="AE98" s="131">
        <v>9.4100000000000003E-2</v>
      </c>
      <c r="AF98" s="131">
        <v>9.4200000000000006E-2</v>
      </c>
      <c r="AG98" s="131">
        <v>9.4500000000000001E-2</v>
      </c>
    </row>
    <row r="99" spans="1:33" x14ac:dyDescent="0.2">
      <c r="A99" s="136" t="s">
        <v>102</v>
      </c>
      <c r="B99" s="131">
        <v>9.3799999999999994E-2</v>
      </c>
      <c r="C99" s="131">
        <v>9.3799999999999994E-2</v>
      </c>
      <c r="D99" s="131">
        <v>9.3700000000000006E-2</v>
      </c>
      <c r="E99" s="131">
        <v>9.35E-2</v>
      </c>
      <c r="F99" s="131">
        <v>9.35E-2</v>
      </c>
      <c r="G99" s="131">
        <v>9.3399999999999997E-2</v>
      </c>
      <c r="H99" s="131">
        <v>9.3399999999999997E-2</v>
      </c>
      <c r="I99" s="131">
        <v>9.3299999999999994E-2</v>
      </c>
      <c r="J99" s="131">
        <v>9.3299999999999994E-2</v>
      </c>
      <c r="K99" s="131">
        <v>9.3299999999999994E-2</v>
      </c>
      <c r="L99" s="131">
        <v>9.3200000000000005E-2</v>
      </c>
      <c r="M99" s="131">
        <v>9.2999999999999999E-2</v>
      </c>
      <c r="N99" s="131">
        <v>9.2999999999999999E-2</v>
      </c>
      <c r="O99" s="131">
        <v>9.2899999999999996E-2</v>
      </c>
      <c r="P99" s="131">
        <v>9.3200000000000005E-2</v>
      </c>
      <c r="Q99" s="131">
        <v>9.3200000000000005E-2</v>
      </c>
      <c r="R99" s="131">
        <v>9.3299999999999994E-2</v>
      </c>
      <c r="S99" s="131">
        <v>9.3200000000000005E-2</v>
      </c>
      <c r="T99" s="131">
        <v>9.3200000000000005E-2</v>
      </c>
      <c r="U99" s="131">
        <v>9.3299999999999994E-2</v>
      </c>
      <c r="V99" s="131">
        <v>9.3200000000000005E-2</v>
      </c>
      <c r="W99" s="131">
        <v>9.3299999999999994E-2</v>
      </c>
      <c r="X99" s="131">
        <v>9.3299999999999994E-2</v>
      </c>
      <c r="Y99" s="131">
        <v>9.3399999999999997E-2</v>
      </c>
      <c r="Z99" s="131">
        <v>9.3299999999999994E-2</v>
      </c>
      <c r="AA99" s="131">
        <v>9.3299999999999994E-2</v>
      </c>
      <c r="AB99" s="131">
        <v>9.3299999999999994E-2</v>
      </c>
      <c r="AC99" s="131">
        <v>9.2999999999999999E-2</v>
      </c>
      <c r="AD99" s="131">
        <v>9.3100000000000002E-2</v>
      </c>
      <c r="AE99" s="131">
        <v>9.3600000000000003E-2</v>
      </c>
      <c r="AF99" s="131">
        <v>9.2999999999999999E-2</v>
      </c>
      <c r="AG99" s="131">
        <v>9.3299999999999994E-2</v>
      </c>
    </row>
    <row r="100" spans="1:33" x14ac:dyDescent="0.2">
      <c r="A100" s="136" t="s">
        <v>103</v>
      </c>
      <c r="B100" s="131">
        <v>9.7199999999999995E-2</v>
      </c>
      <c r="C100" s="131">
        <v>9.7299999999999998E-2</v>
      </c>
      <c r="D100" s="131">
        <v>9.7100000000000006E-2</v>
      </c>
      <c r="E100" s="131">
        <v>9.7100000000000006E-2</v>
      </c>
      <c r="F100" s="131">
        <v>9.74E-2</v>
      </c>
      <c r="G100" s="131">
        <v>9.7900000000000001E-2</v>
      </c>
      <c r="H100" s="131">
        <v>9.8900000000000002E-2</v>
      </c>
      <c r="I100" s="131">
        <v>0.1002</v>
      </c>
      <c r="J100" s="131">
        <v>0.1024</v>
      </c>
      <c r="K100" s="131">
        <v>0.1056</v>
      </c>
      <c r="L100" s="131">
        <v>0.1114</v>
      </c>
      <c r="M100" s="131">
        <v>0.1202</v>
      </c>
      <c r="N100" s="131">
        <v>0.1348</v>
      </c>
      <c r="O100" s="131">
        <v>0.15379999999999999</v>
      </c>
      <c r="P100" s="131">
        <v>0.17849999999999999</v>
      </c>
      <c r="Q100" s="131">
        <v>0.20499999999999999</v>
      </c>
      <c r="R100" s="131">
        <v>0.23639999</v>
      </c>
      <c r="S100" s="131">
        <v>0.27309999000000001</v>
      </c>
      <c r="T100" s="131">
        <v>0.31169998999999998</v>
      </c>
      <c r="U100" s="131">
        <v>0.35260001000000002</v>
      </c>
      <c r="V100" s="131">
        <v>0.39899999000000003</v>
      </c>
      <c r="W100" s="131">
        <v>0.4461</v>
      </c>
      <c r="X100" s="131">
        <v>0.49259998999999999</v>
      </c>
      <c r="Y100" s="131">
        <v>0.52899998000000004</v>
      </c>
      <c r="Z100" s="131">
        <v>0.55459999999999998</v>
      </c>
      <c r="AA100" s="131">
        <v>0.56770003000000002</v>
      </c>
      <c r="AB100" s="131">
        <v>0.58359998000000002</v>
      </c>
      <c r="AC100" s="131">
        <v>0.59579998000000001</v>
      </c>
      <c r="AD100" s="131">
        <v>0.60650002999999997</v>
      </c>
      <c r="AE100" s="131">
        <v>0.61979996999999998</v>
      </c>
      <c r="AF100" s="131">
        <v>0.63410001999999999</v>
      </c>
      <c r="AG100" s="131">
        <v>0.64939999999999998</v>
      </c>
    </row>
    <row r="101" spans="1:33" x14ac:dyDescent="0.2">
      <c r="A101" s="136" t="s">
        <v>104</v>
      </c>
      <c r="B101" s="131">
        <v>9.7199999999999995E-2</v>
      </c>
      <c r="C101" s="131">
        <v>9.7500000000000003E-2</v>
      </c>
      <c r="D101" s="131">
        <v>9.7199999999999995E-2</v>
      </c>
      <c r="E101" s="131">
        <v>9.7199999999999995E-2</v>
      </c>
      <c r="F101" s="131">
        <v>9.7699999999999995E-2</v>
      </c>
      <c r="G101" s="131">
        <v>9.8299999999999998E-2</v>
      </c>
      <c r="H101" s="131">
        <v>9.9400000000000002E-2</v>
      </c>
      <c r="I101" s="131">
        <v>0.10100000000000001</v>
      </c>
      <c r="J101" s="131">
        <v>0.1032</v>
      </c>
      <c r="K101" s="131">
        <v>0.10680000000000001</v>
      </c>
      <c r="L101" s="131">
        <v>0.11310000000000001</v>
      </c>
      <c r="M101" s="131">
        <v>0.1234</v>
      </c>
      <c r="N101" s="131">
        <v>0.1381</v>
      </c>
      <c r="O101" s="131">
        <v>0.15820000000000001</v>
      </c>
      <c r="P101" s="131">
        <v>0.1837</v>
      </c>
      <c r="Q101" s="131">
        <v>0.21160001000000001</v>
      </c>
      <c r="R101" s="131">
        <v>0.2447</v>
      </c>
      <c r="S101" s="131">
        <v>0.28279999</v>
      </c>
      <c r="T101" s="131">
        <v>0.32329999999999998</v>
      </c>
      <c r="U101" s="131">
        <v>0.36669998999999998</v>
      </c>
      <c r="V101" s="131">
        <v>0.41299998999999998</v>
      </c>
      <c r="W101" s="131">
        <v>0.46139999999999998</v>
      </c>
      <c r="X101" s="131">
        <v>0.50800002</v>
      </c>
      <c r="Y101" s="131">
        <v>0.54549998</v>
      </c>
      <c r="Z101" s="131">
        <v>0.57059996999999996</v>
      </c>
      <c r="AA101" s="131">
        <v>0.58810001999999995</v>
      </c>
      <c r="AB101" s="131">
        <v>0.60170000999999995</v>
      </c>
      <c r="AC101" s="131">
        <v>0.61390001000000005</v>
      </c>
      <c r="AD101" s="131">
        <v>0.625</v>
      </c>
      <c r="AE101" s="131">
        <v>0.63840001999999996</v>
      </c>
      <c r="AF101" s="131">
        <v>0.65280002000000004</v>
      </c>
      <c r="AG101" s="131">
        <v>0.66920000000000002</v>
      </c>
    </row>
    <row r="102" spans="1:33" x14ac:dyDescent="0.2">
      <c r="A102" s="136" t="s">
        <v>105</v>
      </c>
      <c r="B102" s="131">
        <v>9.8100000000000007E-2</v>
      </c>
      <c r="C102" s="131">
        <v>9.8400000000000001E-2</v>
      </c>
      <c r="D102" s="131">
        <v>9.8400000000000001E-2</v>
      </c>
      <c r="E102" s="131">
        <v>9.8400000000000001E-2</v>
      </c>
      <c r="F102" s="131">
        <v>9.8699999999999996E-2</v>
      </c>
      <c r="G102" s="131">
        <v>9.9500000000000005E-2</v>
      </c>
      <c r="H102" s="131">
        <v>0.1002</v>
      </c>
      <c r="I102" s="131">
        <v>0.1018</v>
      </c>
      <c r="J102" s="131">
        <v>0.10390000000000001</v>
      </c>
      <c r="K102" s="131">
        <v>0.1075</v>
      </c>
      <c r="L102" s="131">
        <v>0.1137</v>
      </c>
      <c r="M102" s="131">
        <v>0.1232</v>
      </c>
      <c r="N102" s="131">
        <v>0.13789999</v>
      </c>
      <c r="O102" s="131">
        <v>0.15800001</v>
      </c>
      <c r="P102" s="131">
        <v>0.18310000000000001</v>
      </c>
      <c r="Q102" s="131">
        <v>0.2112</v>
      </c>
      <c r="R102" s="131">
        <v>0.24349999</v>
      </c>
      <c r="S102" s="131">
        <v>0.28110000000000002</v>
      </c>
      <c r="T102" s="131">
        <v>0.32170000999999998</v>
      </c>
      <c r="U102" s="131">
        <v>0.36449999</v>
      </c>
      <c r="V102" s="131">
        <v>0.41159999000000003</v>
      </c>
      <c r="W102" s="131">
        <v>0.46149999000000003</v>
      </c>
      <c r="X102" s="131">
        <v>0.50800002</v>
      </c>
      <c r="Y102" s="131">
        <v>0.54699998999999999</v>
      </c>
      <c r="Z102" s="131">
        <v>0.57469999999999999</v>
      </c>
      <c r="AA102" s="131">
        <v>0.58890003000000002</v>
      </c>
      <c r="AB102" s="131">
        <v>0.60610001999999996</v>
      </c>
      <c r="AC102" s="131">
        <v>0.61669998999999998</v>
      </c>
      <c r="AD102" s="131">
        <v>0.62870002000000003</v>
      </c>
      <c r="AE102" s="131">
        <v>0.64190000000000003</v>
      </c>
      <c r="AF102" s="131">
        <v>0.65600002000000002</v>
      </c>
      <c r="AG102" s="131">
        <v>0.67220002000000001</v>
      </c>
    </row>
    <row r="103" spans="1:33" x14ac:dyDescent="0.2">
      <c r="A103" s="136" t="s">
        <v>106</v>
      </c>
      <c r="B103" s="131">
        <v>0.10100000000000001</v>
      </c>
      <c r="C103" s="131">
        <v>0.1031</v>
      </c>
      <c r="D103" s="131">
        <v>0.10100000000000001</v>
      </c>
      <c r="E103" s="131">
        <v>0.1009</v>
      </c>
      <c r="F103" s="131">
        <v>0.1021</v>
      </c>
      <c r="G103" s="131">
        <v>0.1032</v>
      </c>
      <c r="H103" s="131">
        <v>0.10539999999999999</v>
      </c>
      <c r="I103" s="131">
        <v>0.109</v>
      </c>
      <c r="J103" s="131">
        <v>0.1148</v>
      </c>
      <c r="K103" s="131">
        <v>0.12280000000000001</v>
      </c>
      <c r="L103" s="131">
        <v>0.13569999999999999</v>
      </c>
      <c r="M103" s="131">
        <v>0.15340000000000001</v>
      </c>
      <c r="N103" s="131">
        <v>0.17610000000000001</v>
      </c>
      <c r="O103" s="131">
        <v>0.20100001000000001</v>
      </c>
      <c r="P103" s="131">
        <v>0.22950000000000001</v>
      </c>
      <c r="Q103" s="131">
        <v>0.26359999000000001</v>
      </c>
      <c r="R103" s="131">
        <v>0.30170000000000002</v>
      </c>
      <c r="S103" s="131">
        <v>0.34240000999999998</v>
      </c>
      <c r="T103" s="131">
        <v>0.38540000000000002</v>
      </c>
      <c r="U103" s="131">
        <v>0.43059998999999999</v>
      </c>
      <c r="V103" s="131">
        <v>0.47279999</v>
      </c>
      <c r="W103" s="131">
        <v>0.51039999999999996</v>
      </c>
      <c r="X103" s="131">
        <v>0.53829998000000001</v>
      </c>
      <c r="Y103" s="131">
        <v>0.55159997999999999</v>
      </c>
      <c r="Z103" s="131">
        <v>0.56300002000000005</v>
      </c>
      <c r="AA103" s="131">
        <v>0.57480001000000003</v>
      </c>
      <c r="AB103" s="131">
        <v>0.58700001000000002</v>
      </c>
      <c r="AC103" s="131">
        <v>0.59979998999999995</v>
      </c>
      <c r="AD103" s="131">
        <v>0.61419999999999997</v>
      </c>
      <c r="AE103" s="131">
        <v>0.62919997999999999</v>
      </c>
      <c r="AF103" s="131">
        <v>0.63849997999999997</v>
      </c>
      <c r="AG103" s="131">
        <v>0.64579998999999999</v>
      </c>
    </row>
    <row r="104" spans="1:33" x14ac:dyDescent="0.2">
      <c r="A104" s="136" t="s">
        <v>107</v>
      </c>
      <c r="B104" s="131">
        <v>0.1002</v>
      </c>
      <c r="C104" s="131">
        <v>0.10050000000000001</v>
      </c>
      <c r="D104" s="131">
        <v>0.1004</v>
      </c>
      <c r="E104" s="131">
        <v>0.1003</v>
      </c>
      <c r="F104" s="131">
        <v>0.1012</v>
      </c>
      <c r="G104" s="131">
        <v>0.1024</v>
      </c>
      <c r="H104" s="131">
        <v>0.1048</v>
      </c>
      <c r="I104" s="131">
        <v>0.1081</v>
      </c>
      <c r="J104" s="131">
        <v>0.1144</v>
      </c>
      <c r="K104" s="131">
        <v>0.12239999999999999</v>
      </c>
      <c r="L104" s="131">
        <v>0.13590000999999999</v>
      </c>
      <c r="M104" s="131">
        <v>0.15360001000000001</v>
      </c>
      <c r="N104" s="131">
        <v>0.17659999000000001</v>
      </c>
      <c r="O104" s="131">
        <v>0.20119999</v>
      </c>
      <c r="P104" s="131">
        <v>0.23130000000000001</v>
      </c>
      <c r="Q104" s="131">
        <v>0.26609999000000001</v>
      </c>
      <c r="R104" s="131">
        <v>0.30450000999999999</v>
      </c>
      <c r="S104" s="131">
        <v>0.34610000000000002</v>
      </c>
      <c r="T104" s="131">
        <v>0.38999999000000002</v>
      </c>
      <c r="U104" s="131">
        <v>0.43480000000000002</v>
      </c>
      <c r="V104" s="131">
        <v>0.47549998999999998</v>
      </c>
      <c r="W104" s="131">
        <v>0.51259999999999994</v>
      </c>
      <c r="X104" s="131">
        <v>0.53579997999999995</v>
      </c>
      <c r="Y104" s="131">
        <v>0.54990000000000006</v>
      </c>
      <c r="Z104" s="131">
        <v>0.56059998</v>
      </c>
      <c r="AA104" s="131">
        <v>0.57139998999999997</v>
      </c>
      <c r="AB104" s="131">
        <v>0.58399999000000002</v>
      </c>
      <c r="AC104" s="131">
        <v>0.59660000000000002</v>
      </c>
      <c r="AD104" s="131">
        <v>0.61129999000000002</v>
      </c>
      <c r="AE104" s="131">
        <v>0.62470000999999997</v>
      </c>
      <c r="AF104" s="131">
        <v>0.63330001000000002</v>
      </c>
      <c r="AG104" s="131">
        <v>0.64080000000000004</v>
      </c>
    </row>
    <row r="105" spans="1:33" x14ac:dyDescent="0.2">
      <c r="A105" s="136" t="s">
        <v>108</v>
      </c>
      <c r="B105" s="131">
        <v>0.1</v>
      </c>
      <c r="C105" s="131">
        <v>0.10050000000000001</v>
      </c>
      <c r="D105" s="131">
        <v>0.10050000000000001</v>
      </c>
      <c r="E105" s="131">
        <v>0.1004</v>
      </c>
      <c r="F105" s="131">
        <v>0.10150000000000001</v>
      </c>
      <c r="G105" s="131">
        <v>0.1028</v>
      </c>
      <c r="H105" s="131">
        <v>0.10489999999999999</v>
      </c>
      <c r="I105" s="131">
        <v>0.1091</v>
      </c>
      <c r="J105" s="131">
        <v>0.11459999999999999</v>
      </c>
      <c r="K105" s="131">
        <v>0.123</v>
      </c>
      <c r="L105" s="131">
        <v>0.1366</v>
      </c>
      <c r="M105" s="131">
        <v>0.15409999999999999</v>
      </c>
      <c r="N105" s="131">
        <v>0.17810000000000001</v>
      </c>
      <c r="O105" s="131">
        <v>0.20180000000000001</v>
      </c>
      <c r="P105" s="131">
        <v>0.23190000999999999</v>
      </c>
      <c r="Q105" s="131">
        <v>0.26579999999999998</v>
      </c>
      <c r="R105" s="131">
        <v>0.30410000999999998</v>
      </c>
      <c r="S105" s="131">
        <v>0.34599998999999998</v>
      </c>
      <c r="T105" s="131">
        <v>0.38940001000000002</v>
      </c>
      <c r="U105" s="131">
        <v>0.43569999999999998</v>
      </c>
      <c r="V105" s="131">
        <v>0.47479999000000001</v>
      </c>
      <c r="W105" s="131">
        <v>0.50959997999999995</v>
      </c>
      <c r="X105" s="131">
        <v>0.52899998000000004</v>
      </c>
      <c r="Y105" s="131">
        <v>0.54200000000000004</v>
      </c>
      <c r="Z105" s="131">
        <v>0.55309998999999999</v>
      </c>
      <c r="AA105" s="131">
        <v>0.56320000000000003</v>
      </c>
      <c r="AB105" s="131">
        <v>0.57590001999999996</v>
      </c>
      <c r="AC105" s="131">
        <v>0.58899999000000003</v>
      </c>
      <c r="AD105" s="131">
        <v>0.60170000999999995</v>
      </c>
      <c r="AE105" s="131">
        <v>0.61479998000000002</v>
      </c>
      <c r="AF105" s="131">
        <v>0.62330001999999995</v>
      </c>
      <c r="AG105" s="131">
        <v>0.63150001</v>
      </c>
    </row>
    <row r="106" spans="1:33" x14ac:dyDescent="0.2">
      <c r="A106" s="136" t="s">
        <v>109</v>
      </c>
      <c r="B106" s="131">
        <v>9.8799999999999999E-2</v>
      </c>
      <c r="C106" s="131">
        <v>9.9000000000000005E-2</v>
      </c>
      <c r="D106" s="131">
        <v>9.8900000000000002E-2</v>
      </c>
      <c r="E106" s="131">
        <v>9.8799999999999999E-2</v>
      </c>
      <c r="F106" s="131">
        <v>9.9400000000000002E-2</v>
      </c>
      <c r="G106" s="131">
        <v>0.1004</v>
      </c>
      <c r="H106" s="131">
        <v>0.1018</v>
      </c>
      <c r="I106" s="131">
        <v>0.1042</v>
      </c>
      <c r="J106" s="131">
        <v>0.1079</v>
      </c>
      <c r="K106" s="131">
        <v>0.114</v>
      </c>
      <c r="L106" s="131">
        <v>0.12379999999999999</v>
      </c>
      <c r="M106" s="131">
        <v>0.13880000000000001</v>
      </c>
      <c r="N106" s="131">
        <v>0.15920000000000001</v>
      </c>
      <c r="O106" s="131">
        <v>0.1837</v>
      </c>
      <c r="P106" s="131">
        <v>0.2102</v>
      </c>
      <c r="Q106" s="131">
        <v>0.24049999999999999</v>
      </c>
      <c r="R106" s="131">
        <v>0.27649998999999997</v>
      </c>
      <c r="S106" s="131">
        <v>0.31420000999999997</v>
      </c>
      <c r="T106" s="131">
        <v>0.35489999999999999</v>
      </c>
      <c r="U106" s="131">
        <v>0.39680000999999998</v>
      </c>
      <c r="V106" s="131">
        <v>0.44080001000000002</v>
      </c>
      <c r="W106" s="131">
        <v>0.48080000000000001</v>
      </c>
      <c r="X106" s="131">
        <v>0.51829999999999998</v>
      </c>
      <c r="Y106" s="131">
        <v>0.54379999999999995</v>
      </c>
      <c r="Z106" s="131">
        <v>0.55599999</v>
      </c>
      <c r="AA106" s="131">
        <v>0.56730002000000002</v>
      </c>
      <c r="AB106" s="131">
        <v>0.57770001999999998</v>
      </c>
      <c r="AC106" s="131">
        <v>0.58920002000000005</v>
      </c>
      <c r="AD106" s="131">
        <v>0.60350000999999998</v>
      </c>
      <c r="AE106" s="131">
        <v>0.61760002000000003</v>
      </c>
      <c r="AF106" s="131">
        <v>0.63160002000000004</v>
      </c>
      <c r="AG106" s="131">
        <v>0.64410000999999995</v>
      </c>
    </row>
    <row r="107" spans="1:33" x14ac:dyDescent="0.2">
      <c r="A107" s="136" t="s">
        <v>110</v>
      </c>
      <c r="B107" s="131">
        <v>9.8900000000000002E-2</v>
      </c>
      <c r="C107" s="131">
        <v>9.9000000000000005E-2</v>
      </c>
      <c r="D107" s="131">
        <v>9.9299999999999999E-2</v>
      </c>
      <c r="E107" s="131">
        <v>9.9400000000000002E-2</v>
      </c>
      <c r="F107" s="131">
        <v>9.9699999999999997E-2</v>
      </c>
      <c r="G107" s="131">
        <v>0.10050000000000001</v>
      </c>
      <c r="H107" s="131">
        <v>0.1021</v>
      </c>
      <c r="I107" s="131">
        <v>0.10440000000000001</v>
      </c>
      <c r="J107" s="131">
        <v>0.10829999999999999</v>
      </c>
      <c r="K107" s="131">
        <v>0.1143</v>
      </c>
      <c r="L107" s="131">
        <v>0.1244</v>
      </c>
      <c r="M107" s="131">
        <v>0.13980000000000001</v>
      </c>
      <c r="N107" s="131">
        <v>0.16039999999999999</v>
      </c>
      <c r="O107" s="131">
        <v>0.18490000000000001</v>
      </c>
      <c r="P107" s="131">
        <v>0.21199999999999999</v>
      </c>
      <c r="Q107" s="131">
        <v>0.24250000999999999</v>
      </c>
      <c r="R107" s="131">
        <v>0.2782</v>
      </c>
      <c r="S107" s="131">
        <v>0.31659999</v>
      </c>
      <c r="T107" s="131">
        <v>0.35679999000000001</v>
      </c>
      <c r="U107" s="131">
        <v>0.39939999999999998</v>
      </c>
      <c r="V107" s="131">
        <v>0.44429999999999997</v>
      </c>
      <c r="W107" s="131">
        <v>0.48269999000000002</v>
      </c>
      <c r="X107" s="131">
        <v>0.51920003000000003</v>
      </c>
      <c r="Y107" s="131">
        <v>0.54070001999999995</v>
      </c>
      <c r="Z107" s="131">
        <v>0.55449998</v>
      </c>
      <c r="AA107" s="131">
        <v>0.56679999999999997</v>
      </c>
      <c r="AB107" s="131">
        <v>0.57700001999999995</v>
      </c>
      <c r="AC107" s="131">
        <v>0.58969998000000001</v>
      </c>
      <c r="AD107" s="131">
        <v>0.60210001000000002</v>
      </c>
      <c r="AE107" s="131">
        <v>0.61669998999999998</v>
      </c>
      <c r="AF107" s="131">
        <v>0.63020003000000002</v>
      </c>
      <c r="AG107" s="131">
        <v>0.64289998999999998</v>
      </c>
    </row>
    <row r="108" spans="1:33" x14ac:dyDescent="0.2">
      <c r="A108" s="136" t="s">
        <v>111</v>
      </c>
      <c r="B108" s="131">
        <v>9.8699999999999996E-2</v>
      </c>
      <c r="C108" s="131">
        <v>9.8599999999999993E-2</v>
      </c>
      <c r="D108" s="131">
        <v>9.8500000000000004E-2</v>
      </c>
      <c r="E108" s="131">
        <v>9.8400000000000001E-2</v>
      </c>
      <c r="F108" s="131">
        <v>9.9000000000000005E-2</v>
      </c>
      <c r="G108" s="131">
        <v>9.9699999999999997E-2</v>
      </c>
      <c r="H108" s="131">
        <v>0.1012</v>
      </c>
      <c r="I108" s="131">
        <v>0.10340000000000001</v>
      </c>
      <c r="J108" s="131">
        <v>0.107</v>
      </c>
      <c r="K108" s="131">
        <v>0.11260000000000001</v>
      </c>
      <c r="L108" s="131">
        <v>0.122</v>
      </c>
      <c r="M108" s="131">
        <v>0.1366</v>
      </c>
      <c r="N108" s="131">
        <v>0.15629999</v>
      </c>
      <c r="O108" s="131">
        <v>0.18009998999999999</v>
      </c>
      <c r="P108" s="131">
        <v>0.20630001000000001</v>
      </c>
      <c r="Q108" s="131">
        <v>0.23599999999999999</v>
      </c>
      <c r="R108" s="131">
        <v>0.27020000999999999</v>
      </c>
      <c r="S108" s="131">
        <v>0.3075</v>
      </c>
      <c r="T108" s="131">
        <v>0.34689998999999999</v>
      </c>
      <c r="U108" s="131">
        <v>0.3881</v>
      </c>
      <c r="V108" s="131">
        <v>0.43140000000000001</v>
      </c>
      <c r="W108" s="131">
        <v>0.47040000999999998</v>
      </c>
      <c r="X108" s="131">
        <v>0.50690000999999996</v>
      </c>
      <c r="Y108" s="131">
        <v>0.53060001000000001</v>
      </c>
      <c r="Z108" s="131">
        <v>0.54299998000000005</v>
      </c>
      <c r="AA108" s="131">
        <v>0.55400002000000004</v>
      </c>
      <c r="AB108" s="131">
        <v>0.56430000000000002</v>
      </c>
      <c r="AC108" s="131">
        <v>0.57679999000000004</v>
      </c>
      <c r="AD108" s="131">
        <v>0.58909999999999996</v>
      </c>
      <c r="AE108" s="131">
        <v>0.60360002999999995</v>
      </c>
      <c r="AF108" s="131">
        <v>0.61799996999999995</v>
      </c>
      <c r="AG108" s="131">
        <v>0.63239997999999997</v>
      </c>
    </row>
    <row r="109" spans="1:33" x14ac:dyDescent="0.2">
      <c r="A109" s="136" t="s">
        <v>112</v>
      </c>
      <c r="B109" s="131">
        <v>9.6600000000000005E-2</v>
      </c>
      <c r="C109" s="131">
        <v>9.69E-2</v>
      </c>
      <c r="D109" s="131">
        <v>9.6600000000000005E-2</v>
      </c>
      <c r="E109" s="131">
        <v>9.64E-2</v>
      </c>
      <c r="F109" s="131">
        <v>9.69E-2</v>
      </c>
      <c r="G109" s="131">
        <v>9.7600000000000006E-2</v>
      </c>
      <c r="H109" s="131">
        <v>9.8799999999999999E-2</v>
      </c>
      <c r="I109" s="131">
        <v>0.10059999999999999</v>
      </c>
      <c r="J109" s="131">
        <v>0.1037</v>
      </c>
      <c r="K109" s="131">
        <v>0.10829999999999999</v>
      </c>
      <c r="L109" s="131">
        <v>0.11650000000000001</v>
      </c>
      <c r="M109" s="131">
        <v>0.12970001</v>
      </c>
      <c r="N109" s="131">
        <v>0.1487</v>
      </c>
      <c r="O109" s="131">
        <v>0.1736</v>
      </c>
      <c r="P109" s="131">
        <v>0.2026</v>
      </c>
      <c r="Q109" s="131">
        <v>0.23649998999999999</v>
      </c>
      <c r="R109" s="131">
        <v>0.27599998999999997</v>
      </c>
      <c r="S109" s="131">
        <v>0.31729998999999998</v>
      </c>
      <c r="T109" s="131">
        <v>0.3624</v>
      </c>
      <c r="U109" s="131">
        <v>0.4093</v>
      </c>
      <c r="V109" s="131">
        <v>0.45550001000000001</v>
      </c>
      <c r="W109" s="131">
        <v>0.49360000999999998</v>
      </c>
      <c r="X109" s="131">
        <v>0.52810000999999995</v>
      </c>
      <c r="Y109" s="131">
        <v>0.54290002999999998</v>
      </c>
      <c r="Z109" s="131">
        <v>0.55909997</v>
      </c>
      <c r="AA109" s="131">
        <v>0.57160001999999999</v>
      </c>
      <c r="AB109" s="131">
        <v>0.58569998000000001</v>
      </c>
      <c r="AC109" s="131">
        <v>0.60039997000000001</v>
      </c>
      <c r="AD109" s="131">
        <v>0.61659998000000005</v>
      </c>
      <c r="AE109" s="131">
        <v>0.63340001999999995</v>
      </c>
      <c r="AF109" s="131">
        <v>0.64380002000000003</v>
      </c>
      <c r="AG109" s="131">
        <v>0.65439999000000004</v>
      </c>
    </row>
    <row r="110" spans="1:33" x14ac:dyDescent="0.2">
      <c r="A110" s="136" t="s">
        <v>113</v>
      </c>
      <c r="B110" s="131">
        <v>9.4200000000000006E-2</v>
      </c>
      <c r="C110" s="131">
        <v>9.3899999999999997E-2</v>
      </c>
      <c r="D110" s="131">
        <v>9.3799999999999994E-2</v>
      </c>
      <c r="E110" s="131">
        <v>9.3600000000000003E-2</v>
      </c>
      <c r="F110" s="131">
        <v>9.35E-2</v>
      </c>
      <c r="G110" s="131">
        <v>9.3200000000000005E-2</v>
      </c>
      <c r="H110" s="131">
        <v>9.3299999999999994E-2</v>
      </c>
      <c r="I110" s="131">
        <v>9.3200000000000005E-2</v>
      </c>
      <c r="J110" s="131">
        <v>9.3200000000000005E-2</v>
      </c>
      <c r="K110" s="131">
        <v>9.3100000000000002E-2</v>
      </c>
      <c r="L110" s="131">
        <v>9.2899999999999996E-2</v>
      </c>
      <c r="M110" s="131">
        <v>9.2799999999999994E-2</v>
      </c>
      <c r="N110" s="131">
        <v>9.2700000000000005E-2</v>
      </c>
      <c r="O110" s="131">
        <v>9.2600000000000002E-2</v>
      </c>
      <c r="P110" s="131">
        <v>9.2999999999999999E-2</v>
      </c>
      <c r="Q110" s="131">
        <v>9.2999999999999999E-2</v>
      </c>
      <c r="R110" s="131">
        <v>9.3200000000000005E-2</v>
      </c>
      <c r="S110" s="131">
        <v>9.3299999999999994E-2</v>
      </c>
      <c r="T110" s="131">
        <v>9.3299999999999994E-2</v>
      </c>
      <c r="U110" s="131">
        <v>9.3399999999999997E-2</v>
      </c>
      <c r="V110" s="131">
        <v>9.3299999999999994E-2</v>
      </c>
      <c r="W110" s="131">
        <v>9.3399999999999997E-2</v>
      </c>
      <c r="X110" s="131">
        <v>9.3399999999999997E-2</v>
      </c>
      <c r="Y110" s="131">
        <v>9.35E-2</v>
      </c>
      <c r="Z110" s="131">
        <v>9.3399999999999997E-2</v>
      </c>
      <c r="AA110" s="131">
        <v>9.3399999999999997E-2</v>
      </c>
      <c r="AB110" s="131">
        <v>9.3299999999999994E-2</v>
      </c>
      <c r="AC110" s="131">
        <v>9.3200000000000005E-2</v>
      </c>
      <c r="AD110" s="131">
        <v>9.3200000000000005E-2</v>
      </c>
      <c r="AE110" s="131">
        <v>9.3100000000000002E-2</v>
      </c>
      <c r="AF110" s="131">
        <v>9.3200000000000005E-2</v>
      </c>
      <c r="AG110" s="131">
        <v>9.3399999999999997E-2</v>
      </c>
    </row>
    <row r="111" spans="1:33" x14ac:dyDescent="0.2">
      <c r="A111" s="136" t="s">
        <v>114</v>
      </c>
      <c r="B111" s="131">
        <v>9.3799999999999994E-2</v>
      </c>
      <c r="C111" s="131">
        <v>9.3899999999999997E-2</v>
      </c>
      <c r="D111" s="131">
        <v>9.3799999999999994E-2</v>
      </c>
      <c r="E111" s="131">
        <v>9.3700000000000006E-2</v>
      </c>
      <c r="F111" s="131">
        <v>9.3600000000000003E-2</v>
      </c>
      <c r="G111" s="131">
        <v>9.35E-2</v>
      </c>
      <c r="H111" s="131">
        <v>9.3600000000000003E-2</v>
      </c>
      <c r="I111" s="131">
        <v>9.3600000000000003E-2</v>
      </c>
      <c r="J111" s="131">
        <v>9.3399999999999997E-2</v>
      </c>
      <c r="K111" s="131">
        <v>9.3299999999999994E-2</v>
      </c>
      <c r="L111" s="131">
        <v>9.3600000000000003E-2</v>
      </c>
      <c r="M111" s="131">
        <v>9.3299999999999994E-2</v>
      </c>
      <c r="N111" s="131">
        <v>9.3299999999999994E-2</v>
      </c>
      <c r="O111" s="131">
        <v>9.3299999999999994E-2</v>
      </c>
      <c r="P111" s="131">
        <v>9.3600000000000003E-2</v>
      </c>
      <c r="Q111" s="131">
        <v>9.3700000000000006E-2</v>
      </c>
      <c r="R111" s="131">
        <v>9.3700000000000006E-2</v>
      </c>
      <c r="S111" s="131">
        <v>9.35E-2</v>
      </c>
      <c r="T111" s="131">
        <v>9.3799999999999994E-2</v>
      </c>
      <c r="U111" s="131">
        <v>9.3299999999999994E-2</v>
      </c>
      <c r="V111" s="131">
        <v>9.3799999999999994E-2</v>
      </c>
      <c r="W111" s="131">
        <v>9.3799999999999994E-2</v>
      </c>
      <c r="X111" s="131">
        <v>9.3700000000000006E-2</v>
      </c>
      <c r="Y111" s="131">
        <v>9.3700000000000006E-2</v>
      </c>
      <c r="Z111" s="131">
        <v>9.3700000000000006E-2</v>
      </c>
      <c r="AA111" s="131">
        <v>9.3600000000000003E-2</v>
      </c>
      <c r="AB111" s="131">
        <v>9.3700000000000006E-2</v>
      </c>
      <c r="AC111" s="131">
        <v>9.35E-2</v>
      </c>
      <c r="AD111" s="131">
        <v>9.3399999999999997E-2</v>
      </c>
      <c r="AE111" s="131">
        <v>9.3200000000000005E-2</v>
      </c>
      <c r="AF111" s="131">
        <v>9.35E-2</v>
      </c>
      <c r="AG111" s="131">
        <v>9.4299999999999995E-2</v>
      </c>
    </row>
    <row r="112" spans="1:33" x14ac:dyDescent="0.2">
      <c r="A112" s="136" t="s">
        <v>115</v>
      </c>
      <c r="B112" s="131">
        <v>9.7199999999999995E-2</v>
      </c>
      <c r="C112" s="131">
        <v>9.7299999999999998E-2</v>
      </c>
      <c r="D112" s="131">
        <v>9.7199999999999995E-2</v>
      </c>
      <c r="E112" s="131">
        <v>9.7100000000000006E-2</v>
      </c>
      <c r="F112" s="131">
        <v>9.7699999999999995E-2</v>
      </c>
      <c r="G112" s="131">
        <v>9.8400000000000001E-2</v>
      </c>
      <c r="H112" s="131">
        <v>9.98E-2</v>
      </c>
      <c r="I112" s="131">
        <v>0.1019</v>
      </c>
      <c r="J112" s="131">
        <v>0.1052</v>
      </c>
      <c r="K112" s="131">
        <v>0.11070000000000001</v>
      </c>
      <c r="L112" s="131">
        <v>0.11990000000000001</v>
      </c>
      <c r="M112" s="131">
        <v>0.13410000999999999</v>
      </c>
      <c r="N112" s="131">
        <v>0.1542</v>
      </c>
      <c r="O112" s="131">
        <v>0.1802</v>
      </c>
      <c r="P112" s="131">
        <v>0.2079</v>
      </c>
      <c r="Q112" s="131">
        <v>0.2392</v>
      </c>
      <c r="R112" s="131">
        <v>0.27520000999999999</v>
      </c>
      <c r="S112" s="131">
        <v>0.31259998999999999</v>
      </c>
      <c r="T112" s="131">
        <v>0.35270000000000001</v>
      </c>
      <c r="U112" s="131">
        <v>0.39529999999999998</v>
      </c>
      <c r="V112" s="131">
        <v>0.43730000000000002</v>
      </c>
      <c r="W112" s="131">
        <v>0.47330000999999999</v>
      </c>
      <c r="X112" s="131">
        <v>0.50849997999999996</v>
      </c>
      <c r="Y112" s="131">
        <v>0.52890002999999997</v>
      </c>
      <c r="Z112" s="131">
        <v>0.54350001000000003</v>
      </c>
      <c r="AA112" s="131">
        <v>0.55690002000000005</v>
      </c>
      <c r="AB112" s="131">
        <v>0.57050002</v>
      </c>
      <c r="AC112" s="131">
        <v>0.58340000999999997</v>
      </c>
      <c r="AD112" s="131">
        <v>0.5988</v>
      </c>
      <c r="AE112" s="131">
        <v>0.61510003000000002</v>
      </c>
      <c r="AF112" s="131">
        <v>0.62959999</v>
      </c>
      <c r="AG112" s="131">
        <v>0.64060002999999999</v>
      </c>
    </row>
    <row r="113" spans="1:33" x14ac:dyDescent="0.2">
      <c r="A113" s="136" t="s">
        <v>116</v>
      </c>
      <c r="B113" s="131">
        <v>9.7500000000000003E-2</v>
      </c>
      <c r="C113" s="131">
        <v>9.8699999999999996E-2</v>
      </c>
      <c r="D113" s="131">
        <v>9.8799999999999999E-2</v>
      </c>
      <c r="E113" s="131">
        <v>9.8799999999999999E-2</v>
      </c>
      <c r="F113" s="131">
        <v>9.9299999999999999E-2</v>
      </c>
      <c r="G113" s="131">
        <v>0.1</v>
      </c>
      <c r="H113" s="131">
        <v>0.1014</v>
      </c>
      <c r="I113" s="131">
        <v>0.104</v>
      </c>
      <c r="J113" s="131">
        <v>0.10680000000000001</v>
      </c>
      <c r="K113" s="131">
        <v>0.11219999999999999</v>
      </c>
      <c r="L113" s="131">
        <v>0.12130000000000001</v>
      </c>
      <c r="M113" s="131">
        <v>0.13569999999999999</v>
      </c>
      <c r="N113" s="131">
        <v>0.15620001</v>
      </c>
      <c r="O113" s="131">
        <v>0.18189999000000001</v>
      </c>
      <c r="P113" s="131">
        <v>0.21029999999999999</v>
      </c>
      <c r="Q113" s="131">
        <v>0.24169999</v>
      </c>
      <c r="R113" s="131">
        <v>0.27770001</v>
      </c>
      <c r="S113" s="131">
        <v>0.31590000000000001</v>
      </c>
      <c r="T113" s="131">
        <v>0.35640000999999999</v>
      </c>
      <c r="U113" s="131">
        <v>0.39889999999999998</v>
      </c>
      <c r="V113" s="131">
        <v>0.44100001</v>
      </c>
      <c r="W113" s="131">
        <v>0.47639999</v>
      </c>
      <c r="X113" s="131">
        <v>0.51230001000000003</v>
      </c>
      <c r="Y113" s="131">
        <v>0.53159999999999996</v>
      </c>
      <c r="Z113" s="131">
        <v>0.54699998999999999</v>
      </c>
      <c r="AA113" s="131">
        <v>0.56059998</v>
      </c>
      <c r="AB113" s="131">
        <v>0.57270001999999998</v>
      </c>
      <c r="AC113" s="131">
        <v>0.58689999999999998</v>
      </c>
      <c r="AD113" s="131">
        <v>0.60290003000000003</v>
      </c>
      <c r="AE113" s="131">
        <v>0.61870002999999996</v>
      </c>
      <c r="AF113" s="131">
        <v>0.63349997999999996</v>
      </c>
      <c r="AG113" s="131">
        <v>0.64359999000000001</v>
      </c>
    </row>
    <row r="114" spans="1:33" x14ac:dyDescent="0.2">
      <c r="A114" s="136" t="s">
        <v>117</v>
      </c>
      <c r="B114" s="131">
        <v>9.8400000000000001E-2</v>
      </c>
      <c r="C114" s="131">
        <v>9.8599999999999993E-2</v>
      </c>
      <c r="D114" s="131">
        <v>9.8599999999999993E-2</v>
      </c>
      <c r="E114" s="131">
        <v>9.8699999999999996E-2</v>
      </c>
      <c r="F114" s="131">
        <v>9.9000000000000005E-2</v>
      </c>
      <c r="G114" s="131">
        <v>9.9699999999999997E-2</v>
      </c>
      <c r="H114" s="131">
        <v>0.1012</v>
      </c>
      <c r="I114" s="131">
        <v>0.1033</v>
      </c>
      <c r="J114" s="131">
        <v>0.1066</v>
      </c>
      <c r="K114" s="131">
        <v>0.1118</v>
      </c>
      <c r="L114" s="131">
        <v>0.1207</v>
      </c>
      <c r="M114" s="131">
        <v>0.13550000000000001</v>
      </c>
      <c r="N114" s="131">
        <v>0.156</v>
      </c>
      <c r="O114" s="131">
        <v>0.18160000000000001</v>
      </c>
      <c r="P114" s="131">
        <v>0.20999999</v>
      </c>
      <c r="Q114" s="131">
        <v>0.24169999</v>
      </c>
      <c r="R114" s="131">
        <v>0.27770001</v>
      </c>
      <c r="S114" s="131">
        <v>0.31630000000000003</v>
      </c>
      <c r="T114" s="131">
        <v>0.35710001000000002</v>
      </c>
      <c r="U114" s="131">
        <v>0.40020000999999999</v>
      </c>
      <c r="V114" s="131">
        <v>0.44170000999999998</v>
      </c>
      <c r="W114" s="131">
        <v>0.47749998999999999</v>
      </c>
      <c r="X114" s="131">
        <v>0.51259999999999994</v>
      </c>
      <c r="Y114" s="131">
        <v>0.53179997000000001</v>
      </c>
      <c r="Z114" s="131">
        <v>0.54629998999999996</v>
      </c>
      <c r="AA114" s="131">
        <v>0.55949998000000001</v>
      </c>
      <c r="AB114" s="131">
        <v>0.57230002000000002</v>
      </c>
      <c r="AC114" s="131">
        <v>0.58590001000000003</v>
      </c>
      <c r="AD114" s="131">
        <v>0.60210001000000002</v>
      </c>
      <c r="AE114" s="131">
        <v>0.61819999999999997</v>
      </c>
      <c r="AF114" s="131">
        <v>0.63300002</v>
      </c>
      <c r="AG114" s="131">
        <v>0.64219999000000005</v>
      </c>
    </row>
    <row r="115" spans="1:33" x14ac:dyDescent="0.2">
      <c r="A115" s="136" t="s">
        <v>118</v>
      </c>
      <c r="B115" s="131">
        <v>9.7299999999999998E-2</v>
      </c>
      <c r="C115" s="131">
        <v>9.7500000000000003E-2</v>
      </c>
      <c r="D115" s="131">
        <v>9.74E-2</v>
      </c>
      <c r="E115" s="131">
        <v>9.7500000000000003E-2</v>
      </c>
      <c r="F115" s="131">
        <v>9.7900000000000001E-2</v>
      </c>
      <c r="G115" s="131">
        <v>9.8599999999999993E-2</v>
      </c>
      <c r="H115" s="131">
        <v>9.9599999999999994E-2</v>
      </c>
      <c r="I115" s="131">
        <v>0.10150000000000001</v>
      </c>
      <c r="J115" s="131">
        <v>0.10440000000000001</v>
      </c>
      <c r="K115" s="131">
        <v>0.109</v>
      </c>
      <c r="L115" s="131">
        <v>0.1171</v>
      </c>
      <c r="M115" s="131">
        <v>0.12989998999999999</v>
      </c>
      <c r="N115" s="131">
        <v>0.14910001000000001</v>
      </c>
      <c r="O115" s="131">
        <v>0.17380001</v>
      </c>
      <c r="P115" s="131">
        <v>0.20190000999999999</v>
      </c>
      <c r="Q115" s="131">
        <v>0.23250000000000001</v>
      </c>
      <c r="R115" s="131">
        <v>0.26800001000000001</v>
      </c>
      <c r="S115" s="131">
        <v>0.30659999999999998</v>
      </c>
      <c r="T115" s="131">
        <v>0.34760001000000001</v>
      </c>
      <c r="U115" s="131">
        <v>0.38980000999999997</v>
      </c>
      <c r="V115" s="131">
        <v>0.4325</v>
      </c>
      <c r="W115" s="131">
        <v>0.47060001000000001</v>
      </c>
      <c r="X115" s="131">
        <v>0.50559997999999995</v>
      </c>
      <c r="Y115" s="131">
        <v>0.53320003000000005</v>
      </c>
      <c r="Z115" s="131">
        <v>0.54629998999999996</v>
      </c>
      <c r="AA115" s="131">
        <v>0.56129998000000003</v>
      </c>
      <c r="AB115" s="131">
        <v>0.57209997999999995</v>
      </c>
      <c r="AC115" s="131">
        <v>0.58550000000000002</v>
      </c>
      <c r="AD115" s="131">
        <v>0.60039997000000001</v>
      </c>
      <c r="AE115" s="131">
        <v>0.61529999999999996</v>
      </c>
      <c r="AF115" s="131">
        <v>0.63129997000000004</v>
      </c>
      <c r="AG115" s="131">
        <v>0.64310001999999999</v>
      </c>
    </row>
    <row r="116" spans="1:33" x14ac:dyDescent="0.2">
      <c r="A116" s="136" t="s">
        <v>119</v>
      </c>
      <c r="B116" s="131">
        <v>9.7000000000000003E-2</v>
      </c>
      <c r="C116" s="131">
        <v>9.7000000000000003E-2</v>
      </c>
      <c r="D116" s="131">
        <v>9.7799999999999998E-2</v>
      </c>
      <c r="E116" s="131">
        <v>9.7799999999999998E-2</v>
      </c>
      <c r="F116" s="131">
        <v>9.8199999999999996E-2</v>
      </c>
      <c r="G116" s="131">
        <v>9.8699999999999996E-2</v>
      </c>
      <c r="H116" s="131">
        <v>9.9900000000000003E-2</v>
      </c>
      <c r="I116" s="131">
        <v>0.10199999999999999</v>
      </c>
      <c r="J116" s="131">
        <v>0.1047</v>
      </c>
      <c r="K116" s="131">
        <v>0.10929999999999999</v>
      </c>
      <c r="L116" s="131">
        <v>0.1172</v>
      </c>
      <c r="M116" s="131">
        <v>0.13060000999999999</v>
      </c>
      <c r="N116" s="131">
        <v>0.15009998999999999</v>
      </c>
      <c r="O116" s="131">
        <v>0.1749</v>
      </c>
      <c r="P116" s="131">
        <v>0.20290000999999999</v>
      </c>
      <c r="Q116" s="131">
        <v>0.2341</v>
      </c>
      <c r="R116" s="131">
        <v>0.27010000000000001</v>
      </c>
      <c r="S116" s="131">
        <v>0.30819999999999997</v>
      </c>
      <c r="T116" s="131">
        <v>0.34940000999999998</v>
      </c>
      <c r="U116" s="131">
        <v>0.39179998999999999</v>
      </c>
      <c r="V116" s="131">
        <v>0.43459999999999999</v>
      </c>
      <c r="W116" s="131">
        <v>0.47139998999999999</v>
      </c>
      <c r="X116" s="131">
        <v>0.50730001999999996</v>
      </c>
      <c r="Y116" s="131">
        <v>0.52890002999999997</v>
      </c>
      <c r="Z116" s="131">
        <v>0.54299998000000005</v>
      </c>
      <c r="AA116" s="131">
        <v>0.55470001999999996</v>
      </c>
      <c r="AB116" s="131">
        <v>0.56760001000000004</v>
      </c>
      <c r="AC116" s="131">
        <v>0.58109999000000001</v>
      </c>
      <c r="AD116" s="131">
        <v>0.59519999999999995</v>
      </c>
      <c r="AE116" s="131">
        <v>0.61159998000000004</v>
      </c>
      <c r="AF116" s="131">
        <v>0.62609999999999999</v>
      </c>
      <c r="AG116" s="131">
        <v>0.63709998000000001</v>
      </c>
    </row>
    <row r="117" spans="1:33" x14ac:dyDescent="0.2">
      <c r="A117" s="136" t="s">
        <v>120</v>
      </c>
      <c r="B117" s="131">
        <v>9.5899999999999999E-2</v>
      </c>
      <c r="C117" s="131">
        <v>9.6000000000000002E-2</v>
      </c>
      <c r="D117" s="131">
        <v>9.5899999999999999E-2</v>
      </c>
      <c r="E117" s="131">
        <v>9.5899999999999999E-2</v>
      </c>
      <c r="F117" s="131">
        <v>9.6299999999999997E-2</v>
      </c>
      <c r="G117" s="131">
        <v>9.6799999999999997E-2</v>
      </c>
      <c r="H117" s="131">
        <v>9.8000000000000004E-2</v>
      </c>
      <c r="I117" s="131">
        <v>9.9400000000000002E-2</v>
      </c>
      <c r="J117" s="131">
        <v>0.10199999999999999</v>
      </c>
      <c r="K117" s="131">
        <v>0.1061</v>
      </c>
      <c r="L117" s="131">
        <v>0.11360000000000001</v>
      </c>
      <c r="M117" s="131">
        <v>0.12620001</v>
      </c>
      <c r="N117" s="131">
        <v>0.14300001000000001</v>
      </c>
      <c r="O117" s="131">
        <v>0.16680001</v>
      </c>
      <c r="P117" s="131">
        <v>0.1946</v>
      </c>
      <c r="Q117" s="131">
        <v>0.22370000000000001</v>
      </c>
      <c r="R117" s="131">
        <v>0.25830001000000002</v>
      </c>
      <c r="S117" s="131">
        <v>0.29530001</v>
      </c>
      <c r="T117" s="131">
        <v>0.33510000000000001</v>
      </c>
      <c r="U117" s="131">
        <v>0.37580001000000002</v>
      </c>
      <c r="V117" s="131">
        <v>0.41319999000000002</v>
      </c>
      <c r="W117" s="131">
        <v>0.44829999999999998</v>
      </c>
      <c r="X117" s="131">
        <v>0.48010001000000002</v>
      </c>
      <c r="Y117" s="131">
        <v>0.49239999000000001</v>
      </c>
      <c r="Z117" s="131">
        <v>0.50410001999999998</v>
      </c>
      <c r="AA117" s="131">
        <v>0.51730001000000003</v>
      </c>
      <c r="AB117" s="131">
        <v>0.52990000999999998</v>
      </c>
      <c r="AC117" s="131">
        <v>0.54420000000000002</v>
      </c>
      <c r="AD117" s="131">
        <v>0.56059998</v>
      </c>
      <c r="AE117" s="131">
        <v>0.57650000000000001</v>
      </c>
      <c r="AF117" s="131">
        <v>0.58939998999999998</v>
      </c>
      <c r="AG117" s="131">
        <v>0.60019999999999996</v>
      </c>
    </row>
    <row r="118" spans="1:33" x14ac:dyDescent="0.2">
      <c r="A118" s="136" t="s">
        <v>121</v>
      </c>
      <c r="B118" s="131">
        <v>9.7799999999999998E-2</v>
      </c>
      <c r="C118" s="131">
        <v>9.7900000000000001E-2</v>
      </c>
      <c r="D118" s="131">
        <v>9.7600000000000006E-2</v>
      </c>
      <c r="E118" s="131">
        <v>9.7600000000000006E-2</v>
      </c>
      <c r="F118" s="131">
        <v>9.8100000000000007E-2</v>
      </c>
      <c r="G118" s="131">
        <v>9.8599999999999993E-2</v>
      </c>
      <c r="H118" s="131">
        <v>0.1</v>
      </c>
      <c r="I118" s="131">
        <v>0.1018</v>
      </c>
      <c r="J118" s="131">
        <v>0.1047</v>
      </c>
      <c r="K118" s="131">
        <v>0.1094</v>
      </c>
      <c r="L118" s="131">
        <v>0.11749999999999999</v>
      </c>
      <c r="M118" s="131">
        <v>0.13039999999999999</v>
      </c>
      <c r="N118" s="131">
        <v>0.14879999999999999</v>
      </c>
      <c r="O118" s="131">
        <v>0.1734</v>
      </c>
      <c r="P118" s="131">
        <v>0.20190000999999999</v>
      </c>
      <c r="Q118" s="131">
        <v>0.23540000999999999</v>
      </c>
      <c r="R118" s="131">
        <v>0.27500001000000002</v>
      </c>
      <c r="S118" s="131">
        <v>0.31670000999999998</v>
      </c>
      <c r="T118" s="131">
        <v>0.36230001000000001</v>
      </c>
      <c r="U118" s="131">
        <v>0.41020000000000001</v>
      </c>
      <c r="V118" s="131">
        <v>0.45730000999999998</v>
      </c>
      <c r="W118" s="131">
        <v>0.49700000999999999</v>
      </c>
      <c r="X118" s="131">
        <v>0.53469997999999996</v>
      </c>
      <c r="Y118" s="131">
        <v>0.54960001000000003</v>
      </c>
      <c r="Z118" s="131">
        <v>0.56699997000000002</v>
      </c>
      <c r="AA118" s="131">
        <v>0.58060001999999999</v>
      </c>
      <c r="AB118" s="131">
        <v>0.59200001000000002</v>
      </c>
      <c r="AC118" s="131">
        <v>0.60610001999999996</v>
      </c>
      <c r="AD118" s="131">
        <v>0.62360000999999998</v>
      </c>
      <c r="AE118" s="131">
        <v>0.6401</v>
      </c>
      <c r="AF118" s="131">
        <v>0.65229999999999999</v>
      </c>
      <c r="AG118" s="131">
        <v>0.66269999999999996</v>
      </c>
    </row>
    <row r="119" spans="1:33" x14ac:dyDescent="0.2">
      <c r="A119" s="136" t="s">
        <v>122</v>
      </c>
      <c r="B119" s="131">
        <v>9.7900000000000001E-2</v>
      </c>
      <c r="C119" s="131">
        <v>9.8000000000000004E-2</v>
      </c>
      <c r="D119" s="131">
        <v>9.7900000000000001E-2</v>
      </c>
      <c r="E119" s="131">
        <v>9.7699999999999995E-2</v>
      </c>
      <c r="F119" s="131">
        <v>9.8299999999999998E-2</v>
      </c>
      <c r="G119" s="131">
        <v>9.8900000000000002E-2</v>
      </c>
      <c r="H119" s="131">
        <v>0.1003</v>
      </c>
      <c r="I119" s="131">
        <v>0.1021</v>
      </c>
      <c r="J119" s="131">
        <v>0.1053</v>
      </c>
      <c r="K119" s="131">
        <v>0.1103</v>
      </c>
      <c r="L119" s="131">
        <v>0.1186</v>
      </c>
      <c r="M119" s="131">
        <v>0.13189999999999999</v>
      </c>
      <c r="N119" s="131">
        <v>0.15140000000000001</v>
      </c>
      <c r="O119" s="131">
        <v>0.17630000000000001</v>
      </c>
      <c r="P119" s="131">
        <v>0.2059</v>
      </c>
      <c r="Q119" s="131">
        <v>0.23909999000000001</v>
      </c>
      <c r="R119" s="131">
        <v>0.27880000999999999</v>
      </c>
      <c r="S119" s="131">
        <v>0.32170000999999998</v>
      </c>
      <c r="T119" s="131">
        <v>0.36759998999999999</v>
      </c>
      <c r="U119" s="131">
        <v>0.41539999999999999</v>
      </c>
      <c r="V119" s="131">
        <v>0.4612</v>
      </c>
      <c r="W119" s="131">
        <v>0.50150001</v>
      </c>
      <c r="X119" s="131">
        <v>0.53689998000000005</v>
      </c>
      <c r="Y119" s="131">
        <v>0.54979997999999997</v>
      </c>
      <c r="Z119" s="131">
        <v>0.56590003</v>
      </c>
      <c r="AA119" s="131">
        <v>0.58139998000000004</v>
      </c>
      <c r="AB119" s="131">
        <v>0.59299999000000003</v>
      </c>
      <c r="AC119" s="131">
        <v>0.60689998000000001</v>
      </c>
      <c r="AD119" s="131">
        <v>0.62459998999999999</v>
      </c>
      <c r="AE119" s="131">
        <v>0.64020001999999998</v>
      </c>
      <c r="AF119" s="131">
        <v>0.65109998000000002</v>
      </c>
      <c r="AG119" s="131">
        <v>0.66079997999999995</v>
      </c>
    </row>
    <row r="120" spans="1:33" x14ac:dyDescent="0.2">
      <c r="A120" s="136" t="s">
        <v>123</v>
      </c>
      <c r="B120" s="131">
        <v>9.7900000000000001E-2</v>
      </c>
      <c r="C120" s="131">
        <v>9.9400000000000002E-2</v>
      </c>
      <c r="D120" s="131">
        <v>9.9000000000000005E-2</v>
      </c>
      <c r="E120" s="131">
        <v>9.8699999999999996E-2</v>
      </c>
      <c r="F120" s="131">
        <v>0.1002</v>
      </c>
      <c r="G120" s="131">
        <v>9.98E-2</v>
      </c>
      <c r="H120" s="131">
        <v>0.10249999999999999</v>
      </c>
      <c r="I120" s="131">
        <v>0.1032</v>
      </c>
      <c r="J120" s="131">
        <v>0.1061</v>
      </c>
      <c r="K120" s="131">
        <v>0.1114</v>
      </c>
      <c r="L120" s="131">
        <v>0.1198</v>
      </c>
      <c r="M120" s="131">
        <v>0.1336</v>
      </c>
      <c r="N120" s="131">
        <v>0.15340000000000001</v>
      </c>
      <c r="O120" s="131">
        <v>0.17820000999999999</v>
      </c>
      <c r="P120" s="131">
        <v>0.20739999000000001</v>
      </c>
      <c r="Q120" s="131">
        <v>0.24169999</v>
      </c>
      <c r="R120" s="131">
        <v>0.28130000999999999</v>
      </c>
      <c r="S120" s="131">
        <v>0.32350001</v>
      </c>
      <c r="T120" s="131">
        <v>0.37</v>
      </c>
      <c r="U120" s="131">
        <v>0.41800000999999998</v>
      </c>
      <c r="V120" s="131">
        <v>0.46550000000000002</v>
      </c>
      <c r="W120" s="131">
        <v>0.50419997999999999</v>
      </c>
      <c r="X120" s="131">
        <v>0.53700000000000003</v>
      </c>
      <c r="Y120" s="131">
        <v>0.54979997999999997</v>
      </c>
      <c r="Z120" s="131">
        <v>0.56709999</v>
      </c>
      <c r="AA120" s="131">
        <v>0.58109999000000001</v>
      </c>
      <c r="AB120" s="131">
        <v>0.59420002000000005</v>
      </c>
      <c r="AC120" s="131">
        <v>0.60799998</v>
      </c>
      <c r="AD120" s="131">
        <v>0.62559998000000006</v>
      </c>
      <c r="AE120" s="131">
        <v>0.64109998999999995</v>
      </c>
      <c r="AF120" s="131">
        <v>0.65109998000000002</v>
      </c>
      <c r="AG120" s="131">
        <v>0.66280001</v>
      </c>
    </row>
    <row r="121" spans="1:33" x14ac:dyDescent="0.2">
      <c r="A121" s="136" t="s">
        <v>124</v>
      </c>
      <c r="B121" s="131">
        <v>9.7500000000000003E-2</v>
      </c>
      <c r="C121" s="131">
        <v>9.7600000000000006E-2</v>
      </c>
      <c r="D121" s="131">
        <v>9.74E-2</v>
      </c>
      <c r="E121" s="131">
        <v>9.74E-2</v>
      </c>
      <c r="F121" s="131">
        <v>9.7799999999999998E-2</v>
      </c>
      <c r="G121" s="131">
        <v>9.8500000000000004E-2</v>
      </c>
      <c r="H121" s="131">
        <v>9.9699999999999997E-2</v>
      </c>
      <c r="I121" s="131">
        <v>0.1018</v>
      </c>
      <c r="J121" s="131">
        <v>0.1048</v>
      </c>
      <c r="K121" s="131">
        <v>0.11</v>
      </c>
      <c r="L121" s="131">
        <v>0.1187</v>
      </c>
      <c r="M121" s="131">
        <v>0.13339999</v>
      </c>
      <c r="N121" s="131">
        <v>0.15270001</v>
      </c>
      <c r="O121" s="131">
        <v>0.17839999000000001</v>
      </c>
      <c r="P121" s="131">
        <v>0.20780000000000001</v>
      </c>
      <c r="Q121" s="131">
        <v>0.2419</v>
      </c>
      <c r="R121" s="131">
        <v>0.28160000000000002</v>
      </c>
      <c r="S121" s="131">
        <v>0.32350001</v>
      </c>
      <c r="T121" s="131">
        <v>0.36820000000000003</v>
      </c>
      <c r="U121" s="131">
        <v>0.41409998999999997</v>
      </c>
      <c r="V121" s="131">
        <v>0.45609999000000001</v>
      </c>
      <c r="W121" s="131">
        <v>0.49439999000000001</v>
      </c>
      <c r="X121" s="131">
        <v>0.52969997999999996</v>
      </c>
      <c r="Y121" s="131">
        <v>0.54500002000000003</v>
      </c>
      <c r="Z121" s="131">
        <v>0.55820000000000003</v>
      </c>
      <c r="AA121" s="131">
        <v>0.57090001999999995</v>
      </c>
      <c r="AB121" s="131">
        <v>0.58490001999999996</v>
      </c>
      <c r="AC121" s="131">
        <v>0.59990001000000004</v>
      </c>
      <c r="AD121" s="131">
        <v>0.61699998</v>
      </c>
      <c r="AE121" s="131">
        <v>0.63290000000000002</v>
      </c>
      <c r="AF121" s="131">
        <v>0.64459997000000002</v>
      </c>
      <c r="AG121" s="131">
        <v>0.65359997999999997</v>
      </c>
    </row>
    <row r="122" spans="1:33" x14ac:dyDescent="0.2">
      <c r="A122" s="136" t="s">
        <v>125</v>
      </c>
      <c r="B122" s="131">
        <v>9.4600000000000004E-2</v>
      </c>
      <c r="C122" s="131">
        <v>9.3799999999999994E-2</v>
      </c>
      <c r="D122" s="131">
        <v>9.3899999999999997E-2</v>
      </c>
      <c r="E122" s="131">
        <v>9.4E-2</v>
      </c>
      <c r="F122" s="131">
        <v>9.4100000000000003E-2</v>
      </c>
      <c r="G122" s="131">
        <v>9.3899999999999997E-2</v>
      </c>
      <c r="H122" s="131">
        <v>9.4E-2</v>
      </c>
      <c r="I122" s="131">
        <v>9.3899999999999997E-2</v>
      </c>
      <c r="J122" s="131">
        <v>9.7000000000000003E-2</v>
      </c>
      <c r="K122" s="131">
        <v>9.3799999999999994E-2</v>
      </c>
      <c r="L122" s="131">
        <v>9.35E-2</v>
      </c>
      <c r="M122" s="131">
        <v>9.3399999999999997E-2</v>
      </c>
      <c r="N122" s="131">
        <v>9.3299999999999994E-2</v>
      </c>
      <c r="O122" s="131">
        <v>9.3200000000000005E-2</v>
      </c>
      <c r="P122" s="131">
        <v>9.4100000000000003E-2</v>
      </c>
      <c r="Q122" s="131">
        <v>9.3700000000000006E-2</v>
      </c>
      <c r="R122" s="131">
        <v>9.3799999999999994E-2</v>
      </c>
      <c r="S122" s="131">
        <v>9.3899999999999997E-2</v>
      </c>
      <c r="T122" s="131">
        <v>9.3899999999999997E-2</v>
      </c>
      <c r="U122" s="131">
        <v>9.3799999999999994E-2</v>
      </c>
      <c r="V122" s="131">
        <v>9.4E-2</v>
      </c>
      <c r="W122" s="131">
        <v>9.4E-2</v>
      </c>
      <c r="X122" s="131">
        <v>9.3799999999999994E-2</v>
      </c>
      <c r="Y122" s="131">
        <v>9.3899999999999997E-2</v>
      </c>
      <c r="Z122" s="131">
        <v>9.3799999999999994E-2</v>
      </c>
      <c r="AA122" s="131">
        <v>9.3799999999999994E-2</v>
      </c>
      <c r="AB122" s="131">
        <v>9.3700000000000006E-2</v>
      </c>
      <c r="AC122" s="131">
        <v>9.3600000000000003E-2</v>
      </c>
      <c r="AD122" s="131">
        <v>9.35E-2</v>
      </c>
      <c r="AE122" s="131">
        <v>9.3399999999999997E-2</v>
      </c>
      <c r="AF122" s="131">
        <v>9.35E-2</v>
      </c>
      <c r="AG122" s="131">
        <v>9.3799999999999994E-2</v>
      </c>
    </row>
    <row r="123" spans="1:33" x14ac:dyDescent="0.2">
      <c r="A123" s="136" t="s">
        <v>126</v>
      </c>
      <c r="B123" s="131">
        <v>9.3600000000000003E-2</v>
      </c>
      <c r="C123" s="131">
        <v>9.3799999999999994E-2</v>
      </c>
      <c r="D123" s="131">
        <v>9.3700000000000006E-2</v>
      </c>
      <c r="E123" s="131">
        <v>9.3600000000000003E-2</v>
      </c>
      <c r="F123" s="131">
        <v>9.3600000000000003E-2</v>
      </c>
      <c r="G123" s="131">
        <v>9.3299999999999994E-2</v>
      </c>
      <c r="H123" s="131">
        <v>9.3600000000000003E-2</v>
      </c>
      <c r="I123" s="131">
        <v>9.35E-2</v>
      </c>
      <c r="J123" s="131">
        <v>9.3399999999999997E-2</v>
      </c>
      <c r="K123" s="131">
        <v>9.3200000000000005E-2</v>
      </c>
      <c r="L123" s="131">
        <v>9.3100000000000002E-2</v>
      </c>
      <c r="M123" s="131">
        <v>9.2799999999999994E-2</v>
      </c>
      <c r="N123" s="131">
        <v>9.2999999999999999E-2</v>
      </c>
      <c r="O123" s="131">
        <v>9.2700000000000005E-2</v>
      </c>
      <c r="P123" s="131">
        <v>9.2999999999999999E-2</v>
      </c>
      <c r="Q123" s="131">
        <v>9.3100000000000002E-2</v>
      </c>
      <c r="R123" s="131">
        <v>9.3299999999999994E-2</v>
      </c>
      <c r="S123" s="131">
        <v>9.3100000000000002E-2</v>
      </c>
      <c r="T123" s="131">
        <v>9.3700000000000006E-2</v>
      </c>
      <c r="U123" s="131">
        <v>9.3200000000000005E-2</v>
      </c>
      <c r="V123" s="131">
        <v>9.3200000000000005E-2</v>
      </c>
      <c r="W123" s="131">
        <v>9.3100000000000002E-2</v>
      </c>
      <c r="X123" s="131">
        <v>9.3100000000000002E-2</v>
      </c>
      <c r="Y123" s="131">
        <v>9.3299999999999994E-2</v>
      </c>
      <c r="Z123" s="131">
        <v>9.3100000000000002E-2</v>
      </c>
      <c r="AA123" s="131">
        <v>9.3100000000000002E-2</v>
      </c>
      <c r="AB123" s="131">
        <v>9.2999999999999999E-2</v>
      </c>
      <c r="AC123" s="131">
        <v>9.2899999999999996E-2</v>
      </c>
      <c r="AD123" s="131">
        <v>9.2799999999999994E-2</v>
      </c>
      <c r="AE123" s="131">
        <v>9.2700000000000005E-2</v>
      </c>
      <c r="AF123" s="131">
        <v>9.2799999999999994E-2</v>
      </c>
      <c r="AG123" s="131">
        <v>9.3100000000000002E-2</v>
      </c>
    </row>
    <row r="124" spans="1:33" x14ac:dyDescent="0.2">
      <c r="A124" s="136" t="s">
        <v>127</v>
      </c>
      <c r="B124" s="131">
        <v>9.3899999999999997E-2</v>
      </c>
      <c r="C124" s="131">
        <v>9.3899999999999997E-2</v>
      </c>
      <c r="D124" s="131">
        <v>9.3899999999999997E-2</v>
      </c>
      <c r="E124" s="131">
        <v>9.3700000000000006E-2</v>
      </c>
      <c r="F124" s="131">
        <v>9.35E-2</v>
      </c>
      <c r="G124" s="131">
        <v>9.3399999999999997E-2</v>
      </c>
      <c r="H124" s="131">
        <v>9.3399999999999997E-2</v>
      </c>
      <c r="I124" s="131">
        <v>9.3399999999999997E-2</v>
      </c>
      <c r="J124" s="131">
        <v>9.3299999999999994E-2</v>
      </c>
      <c r="K124" s="131">
        <v>9.3200000000000005E-2</v>
      </c>
      <c r="L124" s="131">
        <v>9.2999999999999999E-2</v>
      </c>
      <c r="M124" s="131">
        <v>9.2700000000000005E-2</v>
      </c>
      <c r="N124" s="131">
        <v>9.2899999999999996E-2</v>
      </c>
      <c r="O124" s="131">
        <v>9.2700000000000005E-2</v>
      </c>
      <c r="P124" s="131">
        <v>9.2999999999999999E-2</v>
      </c>
      <c r="Q124" s="131">
        <v>9.3100000000000002E-2</v>
      </c>
      <c r="R124" s="131">
        <v>9.3200000000000005E-2</v>
      </c>
      <c r="S124" s="131">
        <v>9.3200000000000005E-2</v>
      </c>
      <c r="T124" s="131">
        <v>9.3200000000000005E-2</v>
      </c>
      <c r="U124" s="131">
        <v>9.3200000000000005E-2</v>
      </c>
      <c r="V124" s="131">
        <v>9.3200000000000005E-2</v>
      </c>
      <c r="W124" s="131">
        <v>9.3200000000000005E-2</v>
      </c>
      <c r="X124" s="131">
        <v>9.3100000000000002E-2</v>
      </c>
      <c r="Y124" s="131">
        <v>9.3399999999999997E-2</v>
      </c>
      <c r="Z124" s="131">
        <v>9.3200000000000005E-2</v>
      </c>
      <c r="AA124" s="131">
        <v>9.3200000000000005E-2</v>
      </c>
      <c r="AB124" s="131">
        <v>9.3200000000000005E-2</v>
      </c>
      <c r="AC124" s="131">
        <v>9.3200000000000005E-2</v>
      </c>
      <c r="AD124" s="131">
        <v>9.2999999999999999E-2</v>
      </c>
      <c r="AE124" s="131">
        <v>9.2999999999999999E-2</v>
      </c>
      <c r="AF124" s="131">
        <v>9.2999999999999999E-2</v>
      </c>
      <c r="AG124" s="131">
        <v>9.3299999999999994E-2</v>
      </c>
    </row>
    <row r="125" spans="1:33" x14ac:dyDescent="0.2">
      <c r="A125" s="136" t="s">
        <v>128</v>
      </c>
      <c r="B125" s="131">
        <v>9.5100000000000004E-2</v>
      </c>
      <c r="C125" s="131">
        <v>9.5000000000000001E-2</v>
      </c>
      <c r="D125" s="131">
        <v>9.5699999999999993E-2</v>
      </c>
      <c r="E125" s="131">
        <v>9.6600000000000005E-2</v>
      </c>
      <c r="F125" s="131">
        <v>9.7100000000000006E-2</v>
      </c>
      <c r="G125" s="131">
        <v>0.10100000000000001</v>
      </c>
      <c r="H125" s="131">
        <v>9.4500000000000001E-2</v>
      </c>
      <c r="I125" s="131">
        <v>9.5399999999999999E-2</v>
      </c>
      <c r="J125" s="131">
        <v>9.6100000000000005E-2</v>
      </c>
      <c r="K125" s="131">
        <v>9.7199999999999995E-2</v>
      </c>
      <c r="L125" s="131">
        <v>9.4600000000000004E-2</v>
      </c>
      <c r="M125" s="131">
        <v>9.7199999999999995E-2</v>
      </c>
      <c r="N125" s="131">
        <v>9.6100000000000005E-2</v>
      </c>
      <c r="O125" s="131">
        <v>9.7000000000000003E-2</v>
      </c>
      <c r="P125" s="131">
        <v>9.5399999999999999E-2</v>
      </c>
      <c r="Q125" s="131">
        <v>9.4899999999999998E-2</v>
      </c>
      <c r="R125" s="131">
        <v>9.4600000000000004E-2</v>
      </c>
      <c r="S125" s="131">
        <v>9.5899999999999999E-2</v>
      </c>
      <c r="T125" s="131">
        <v>9.6600000000000005E-2</v>
      </c>
      <c r="U125" s="131">
        <v>9.4399999999999998E-2</v>
      </c>
      <c r="V125" s="131">
        <v>9.5000000000000001E-2</v>
      </c>
      <c r="W125" s="131">
        <v>9.4100000000000003E-2</v>
      </c>
      <c r="X125" s="131">
        <v>9.4500000000000001E-2</v>
      </c>
      <c r="Y125" s="131">
        <v>9.4700000000000006E-2</v>
      </c>
      <c r="Z125" s="131">
        <v>9.4299999999999995E-2</v>
      </c>
      <c r="AA125" s="131">
        <v>9.4399999999999998E-2</v>
      </c>
      <c r="AB125" s="131">
        <v>9.5100000000000004E-2</v>
      </c>
      <c r="AC125" s="131">
        <v>9.5000000000000001E-2</v>
      </c>
      <c r="AD125" s="131">
        <v>9.4200000000000006E-2</v>
      </c>
      <c r="AE125" s="131">
        <v>9.3899999999999997E-2</v>
      </c>
      <c r="AF125" s="131">
        <v>9.4700000000000006E-2</v>
      </c>
      <c r="AG125" s="131">
        <v>9.4399999999999998E-2</v>
      </c>
    </row>
    <row r="126" spans="1:33" x14ac:dyDescent="0.2">
      <c r="A126" s="136" t="s">
        <v>129</v>
      </c>
      <c r="B126" s="131">
        <v>9.4500000000000001E-2</v>
      </c>
      <c r="C126" s="131">
        <v>9.4399999999999998E-2</v>
      </c>
      <c r="D126" s="131">
        <v>9.4200000000000006E-2</v>
      </c>
      <c r="E126" s="131">
        <v>9.4E-2</v>
      </c>
      <c r="F126" s="131">
        <v>9.3899999999999997E-2</v>
      </c>
      <c r="G126" s="131">
        <v>9.3799999999999994E-2</v>
      </c>
      <c r="H126" s="131">
        <v>9.3799999999999994E-2</v>
      </c>
      <c r="I126" s="131">
        <v>9.3799999999999994E-2</v>
      </c>
      <c r="J126" s="131">
        <v>9.3799999999999994E-2</v>
      </c>
      <c r="K126" s="131">
        <v>9.3700000000000006E-2</v>
      </c>
      <c r="L126" s="131">
        <v>9.3399999999999997E-2</v>
      </c>
      <c r="M126" s="131">
        <v>9.3399999999999997E-2</v>
      </c>
      <c r="N126" s="131">
        <v>9.3399999999999997E-2</v>
      </c>
      <c r="O126" s="131">
        <v>9.3399999999999997E-2</v>
      </c>
      <c r="P126" s="131">
        <v>9.35E-2</v>
      </c>
      <c r="Q126" s="131">
        <v>9.3600000000000003E-2</v>
      </c>
      <c r="R126" s="131">
        <v>9.3600000000000003E-2</v>
      </c>
      <c r="S126" s="131">
        <v>9.3799999999999994E-2</v>
      </c>
      <c r="T126" s="131">
        <v>9.3799999999999994E-2</v>
      </c>
      <c r="U126" s="131">
        <v>9.3799999999999994E-2</v>
      </c>
      <c r="V126" s="131">
        <v>9.3899999999999997E-2</v>
      </c>
      <c r="W126" s="131">
        <v>9.3600000000000003E-2</v>
      </c>
      <c r="X126" s="131">
        <v>9.3700000000000006E-2</v>
      </c>
      <c r="Y126" s="131">
        <v>9.3899999999999997E-2</v>
      </c>
      <c r="Z126" s="131">
        <v>9.3600000000000003E-2</v>
      </c>
      <c r="AA126" s="131">
        <v>9.35E-2</v>
      </c>
      <c r="AB126" s="131">
        <v>9.3700000000000006E-2</v>
      </c>
      <c r="AC126" s="131">
        <v>9.3600000000000003E-2</v>
      </c>
      <c r="AD126" s="131">
        <v>9.35E-2</v>
      </c>
      <c r="AE126" s="131">
        <v>9.3200000000000005E-2</v>
      </c>
      <c r="AF126" s="131">
        <v>9.3399999999999997E-2</v>
      </c>
      <c r="AG126" s="131">
        <v>9.4200000000000006E-2</v>
      </c>
    </row>
    <row r="127" spans="1:33" x14ac:dyDescent="0.2">
      <c r="A127" s="136" t="s">
        <v>130</v>
      </c>
      <c r="B127" s="131">
        <v>9.5299999999999996E-2</v>
      </c>
      <c r="C127" s="131">
        <v>9.5500000000000002E-2</v>
      </c>
      <c r="D127" s="131">
        <v>9.6000000000000002E-2</v>
      </c>
      <c r="E127" s="131">
        <v>9.69E-2</v>
      </c>
      <c r="F127" s="131">
        <v>9.7000000000000003E-2</v>
      </c>
      <c r="G127" s="131">
        <v>9.5699999999999993E-2</v>
      </c>
      <c r="H127" s="131">
        <v>9.4299999999999995E-2</v>
      </c>
      <c r="I127" s="131">
        <v>9.4799999999999995E-2</v>
      </c>
      <c r="J127" s="131">
        <v>9.69E-2</v>
      </c>
      <c r="K127" s="131">
        <v>9.6299999999999997E-2</v>
      </c>
      <c r="L127" s="131">
        <v>9.4700000000000006E-2</v>
      </c>
      <c r="M127" s="131">
        <v>9.5000000000000001E-2</v>
      </c>
      <c r="N127" s="131">
        <v>9.6000000000000002E-2</v>
      </c>
      <c r="O127" s="131">
        <v>9.4700000000000006E-2</v>
      </c>
      <c r="P127" s="131">
        <v>9.4399999999999998E-2</v>
      </c>
      <c r="Q127" s="131">
        <v>9.4600000000000004E-2</v>
      </c>
      <c r="R127" s="131">
        <v>9.4399999999999998E-2</v>
      </c>
      <c r="S127" s="131">
        <v>9.4600000000000004E-2</v>
      </c>
      <c r="T127" s="131">
        <v>9.4899999999999998E-2</v>
      </c>
      <c r="U127" s="131">
        <v>9.4700000000000006E-2</v>
      </c>
      <c r="V127" s="131">
        <v>9.5299999999999996E-2</v>
      </c>
      <c r="W127" s="131">
        <v>9.4299999999999995E-2</v>
      </c>
      <c r="X127" s="131">
        <v>9.4299999999999995E-2</v>
      </c>
      <c r="Y127" s="131">
        <v>9.4600000000000004E-2</v>
      </c>
      <c r="Z127" s="131">
        <v>9.4299999999999995E-2</v>
      </c>
      <c r="AA127" s="131">
        <v>9.4200000000000006E-2</v>
      </c>
      <c r="AB127" s="131">
        <v>9.4299999999999995E-2</v>
      </c>
      <c r="AC127" s="131">
        <v>9.4299999999999995E-2</v>
      </c>
      <c r="AD127" s="131">
        <v>9.4100000000000003E-2</v>
      </c>
      <c r="AE127" s="131">
        <v>9.3700000000000006E-2</v>
      </c>
      <c r="AF127" s="131">
        <v>9.3899999999999997E-2</v>
      </c>
      <c r="AG127" s="131">
        <v>9.4E-2</v>
      </c>
    </row>
    <row r="128" spans="1:33" x14ac:dyDescent="0.2">
      <c r="A128" s="136" t="s">
        <v>131</v>
      </c>
      <c r="B128" s="131">
        <v>9.4600000000000004E-2</v>
      </c>
      <c r="C128" s="131">
        <v>9.4399999999999998E-2</v>
      </c>
      <c r="D128" s="131">
        <v>9.4299999999999995E-2</v>
      </c>
      <c r="E128" s="131">
        <v>9.3899999999999997E-2</v>
      </c>
      <c r="F128" s="131">
        <v>9.3899999999999997E-2</v>
      </c>
      <c r="G128" s="131">
        <v>9.3700000000000006E-2</v>
      </c>
      <c r="H128" s="131">
        <v>9.3600000000000003E-2</v>
      </c>
      <c r="I128" s="131">
        <v>9.3600000000000003E-2</v>
      </c>
      <c r="J128" s="131">
        <v>9.35E-2</v>
      </c>
      <c r="K128" s="131">
        <v>9.3399999999999997E-2</v>
      </c>
      <c r="L128" s="131">
        <v>9.3299999999999994E-2</v>
      </c>
      <c r="M128" s="131">
        <v>9.3200000000000005E-2</v>
      </c>
      <c r="N128" s="131">
        <v>9.3200000000000005E-2</v>
      </c>
      <c r="O128" s="131">
        <v>9.3100000000000002E-2</v>
      </c>
      <c r="P128" s="131">
        <v>9.3399999999999997E-2</v>
      </c>
      <c r="Q128" s="131">
        <v>9.35E-2</v>
      </c>
      <c r="R128" s="131">
        <v>9.3600000000000003E-2</v>
      </c>
      <c r="S128" s="131">
        <v>9.3799999999999994E-2</v>
      </c>
      <c r="T128" s="131">
        <v>9.3700000000000006E-2</v>
      </c>
      <c r="U128" s="131">
        <v>9.3700000000000006E-2</v>
      </c>
      <c r="V128" s="131">
        <v>9.3700000000000006E-2</v>
      </c>
      <c r="W128" s="131">
        <v>9.3799999999999994E-2</v>
      </c>
      <c r="X128" s="131">
        <v>9.3700000000000006E-2</v>
      </c>
      <c r="Y128" s="131">
        <v>9.3899999999999997E-2</v>
      </c>
      <c r="Z128" s="131">
        <v>9.3799999999999994E-2</v>
      </c>
      <c r="AA128" s="131">
        <v>9.3799999999999994E-2</v>
      </c>
      <c r="AB128" s="131">
        <v>9.3700000000000006E-2</v>
      </c>
      <c r="AC128" s="131">
        <v>9.3700000000000006E-2</v>
      </c>
      <c r="AD128" s="131">
        <v>9.3600000000000003E-2</v>
      </c>
      <c r="AE128" s="131">
        <v>9.3600000000000003E-2</v>
      </c>
      <c r="AF128" s="131">
        <v>9.3600000000000003E-2</v>
      </c>
      <c r="AG128" s="131">
        <v>9.3899999999999997E-2</v>
      </c>
    </row>
    <row r="129" spans="1:33" x14ac:dyDescent="0.2">
      <c r="A129" s="136" t="s">
        <v>132</v>
      </c>
      <c r="B129" s="131">
        <v>9.4E-2</v>
      </c>
      <c r="C129" s="131">
        <v>9.4500000000000001E-2</v>
      </c>
      <c r="D129" s="131">
        <v>9.3799999999999994E-2</v>
      </c>
      <c r="E129" s="131">
        <v>9.3600000000000003E-2</v>
      </c>
      <c r="F129" s="131">
        <v>9.35E-2</v>
      </c>
      <c r="G129" s="131">
        <v>9.3299999999999994E-2</v>
      </c>
      <c r="H129" s="131">
        <v>9.3299999999999994E-2</v>
      </c>
      <c r="I129" s="131">
        <v>9.3200000000000005E-2</v>
      </c>
      <c r="J129" s="131">
        <v>9.3200000000000005E-2</v>
      </c>
      <c r="K129" s="131">
        <v>9.3100000000000002E-2</v>
      </c>
      <c r="L129" s="131">
        <v>9.2999999999999999E-2</v>
      </c>
      <c r="M129" s="131">
        <v>9.2899999999999996E-2</v>
      </c>
      <c r="N129" s="131">
        <v>9.2799999999999994E-2</v>
      </c>
      <c r="O129" s="131">
        <v>9.2799999999999994E-2</v>
      </c>
      <c r="P129" s="131">
        <v>9.3100000000000002E-2</v>
      </c>
      <c r="Q129" s="131">
        <v>9.3200000000000005E-2</v>
      </c>
      <c r="R129" s="131">
        <v>9.3899999999999997E-2</v>
      </c>
      <c r="S129" s="131">
        <v>9.3299999999999994E-2</v>
      </c>
      <c r="T129" s="131">
        <v>9.3299999999999994E-2</v>
      </c>
      <c r="U129" s="131">
        <v>9.3200000000000005E-2</v>
      </c>
      <c r="V129" s="131">
        <v>9.3200000000000005E-2</v>
      </c>
      <c r="W129" s="131">
        <v>9.3200000000000005E-2</v>
      </c>
      <c r="X129" s="131">
        <v>9.3200000000000005E-2</v>
      </c>
      <c r="Y129" s="131">
        <v>9.3399999999999997E-2</v>
      </c>
      <c r="Z129" s="131">
        <v>9.3299999999999994E-2</v>
      </c>
      <c r="AA129" s="131">
        <v>9.3200000000000005E-2</v>
      </c>
      <c r="AB129" s="131">
        <v>9.3200000000000005E-2</v>
      </c>
      <c r="AC129" s="131">
        <v>9.3100000000000002E-2</v>
      </c>
      <c r="AD129" s="131">
        <v>9.2999999999999999E-2</v>
      </c>
      <c r="AE129" s="131">
        <v>9.2899999999999996E-2</v>
      </c>
      <c r="AF129" s="131">
        <v>9.3100000000000002E-2</v>
      </c>
      <c r="AG129" s="131">
        <v>9.3299999999999994E-2</v>
      </c>
    </row>
    <row r="130" spans="1:33" x14ac:dyDescent="0.2">
      <c r="A130" s="136" t="s">
        <v>133</v>
      </c>
      <c r="B130" s="131">
        <v>9.3600000000000003E-2</v>
      </c>
      <c r="C130" s="131">
        <v>9.35E-2</v>
      </c>
      <c r="D130" s="131">
        <v>9.3299999999999994E-2</v>
      </c>
      <c r="E130" s="131">
        <v>9.3100000000000002E-2</v>
      </c>
      <c r="F130" s="131">
        <v>9.2899999999999996E-2</v>
      </c>
      <c r="G130" s="131">
        <v>9.3399999999999997E-2</v>
      </c>
      <c r="H130" s="131">
        <v>9.2799999999999994E-2</v>
      </c>
      <c r="I130" s="131">
        <v>9.2799999999999994E-2</v>
      </c>
      <c r="J130" s="131">
        <v>9.2799999999999994E-2</v>
      </c>
      <c r="K130" s="131">
        <v>9.2600000000000002E-2</v>
      </c>
      <c r="L130" s="131">
        <v>9.2499999999999999E-2</v>
      </c>
      <c r="M130" s="131">
        <v>9.2399999999999996E-2</v>
      </c>
      <c r="N130" s="131">
        <v>9.2299999999999993E-2</v>
      </c>
      <c r="O130" s="131">
        <v>9.2299999999999993E-2</v>
      </c>
      <c r="P130" s="131">
        <v>9.2600000000000002E-2</v>
      </c>
      <c r="Q130" s="131">
        <v>9.2600000000000002E-2</v>
      </c>
      <c r="R130" s="131">
        <v>9.2899999999999996E-2</v>
      </c>
      <c r="S130" s="131">
        <v>9.2799999999999994E-2</v>
      </c>
      <c r="T130" s="131">
        <v>9.2799999999999994E-2</v>
      </c>
      <c r="U130" s="131">
        <v>9.2899999999999996E-2</v>
      </c>
      <c r="V130" s="131">
        <v>9.2799999999999994E-2</v>
      </c>
      <c r="W130" s="131">
        <v>9.2899999999999996E-2</v>
      </c>
      <c r="X130" s="131">
        <v>9.2799999999999994E-2</v>
      </c>
      <c r="Y130" s="131">
        <v>9.2899999999999996E-2</v>
      </c>
      <c r="Z130" s="131">
        <v>9.2799999999999994E-2</v>
      </c>
      <c r="AA130" s="131">
        <v>9.2700000000000005E-2</v>
      </c>
      <c r="AB130" s="131">
        <v>9.2799999999999994E-2</v>
      </c>
      <c r="AC130" s="131">
        <v>9.2700000000000005E-2</v>
      </c>
      <c r="AD130" s="131">
        <v>9.2600000000000002E-2</v>
      </c>
      <c r="AE130" s="131">
        <v>9.2499999999999999E-2</v>
      </c>
      <c r="AF130" s="131">
        <v>9.2499999999999999E-2</v>
      </c>
      <c r="AG130" s="131">
        <v>9.2799999999999994E-2</v>
      </c>
    </row>
    <row r="131" spans="1:33" x14ac:dyDescent="0.2">
      <c r="A131" s="136" t="s">
        <v>134</v>
      </c>
      <c r="B131" s="131">
        <v>9.3399999999999997E-2</v>
      </c>
      <c r="C131" s="131">
        <v>9.3399999999999997E-2</v>
      </c>
      <c r="D131" s="131">
        <v>9.3299999999999994E-2</v>
      </c>
      <c r="E131" s="131">
        <v>9.3399999999999997E-2</v>
      </c>
      <c r="F131" s="131">
        <v>9.3200000000000005E-2</v>
      </c>
      <c r="G131" s="131">
        <v>9.3100000000000002E-2</v>
      </c>
      <c r="H131" s="131">
        <v>9.2999999999999999E-2</v>
      </c>
      <c r="I131" s="131">
        <v>9.3100000000000002E-2</v>
      </c>
      <c r="J131" s="131">
        <v>9.3100000000000002E-2</v>
      </c>
      <c r="K131" s="131">
        <v>9.2999999999999999E-2</v>
      </c>
      <c r="L131" s="131">
        <v>9.2899999999999996E-2</v>
      </c>
      <c r="M131" s="131">
        <v>9.2799999999999994E-2</v>
      </c>
      <c r="N131" s="131">
        <v>9.2799999999999994E-2</v>
      </c>
      <c r="O131" s="131">
        <v>9.2799999999999994E-2</v>
      </c>
      <c r="P131" s="131">
        <v>9.2999999999999999E-2</v>
      </c>
      <c r="Q131" s="131">
        <v>9.3200000000000005E-2</v>
      </c>
      <c r="R131" s="131">
        <v>9.3299999999999994E-2</v>
      </c>
      <c r="S131" s="131">
        <v>9.3299999999999994E-2</v>
      </c>
      <c r="T131" s="131">
        <v>9.3299999999999994E-2</v>
      </c>
      <c r="U131" s="131">
        <v>9.3200000000000005E-2</v>
      </c>
      <c r="V131" s="131">
        <v>9.3200000000000005E-2</v>
      </c>
      <c r="W131" s="131">
        <v>9.3299999999999994E-2</v>
      </c>
      <c r="X131" s="131">
        <v>9.3299999999999994E-2</v>
      </c>
      <c r="Y131" s="131">
        <v>9.3399999999999997E-2</v>
      </c>
      <c r="Z131" s="131">
        <v>9.3299999999999994E-2</v>
      </c>
      <c r="AA131" s="131">
        <v>9.3200000000000005E-2</v>
      </c>
      <c r="AB131" s="131">
        <v>9.3200000000000005E-2</v>
      </c>
      <c r="AC131" s="131">
        <v>9.2999999999999999E-2</v>
      </c>
      <c r="AD131" s="131">
        <v>9.3100000000000002E-2</v>
      </c>
      <c r="AE131" s="131">
        <v>9.2899999999999996E-2</v>
      </c>
      <c r="AF131" s="131">
        <v>9.2999999999999999E-2</v>
      </c>
      <c r="AG131" s="131">
        <v>9.3299999999999994E-2</v>
      </c>
    </row>
    <row r="132" spans="1:33" x14ac:dyDescent="0.2">
      <c r="A132" s="136" t="s">
        <v>135</v>
      </c>
      <c r="B132" s="131">
        <v>9.4200000000000006E-2</v>
      </c>
      <c r="C132" s="131">
        <v>9.4299999999999995E-2</v>
      </c>
      <c r="D132" s="131">
        <v>9.4200000000000006E-2</v>
      </c>
      <c r="E132" s="131">
        <v>9.4E-2</v>
      </c>
      <c r="F132" s="131">
        <v>9.3899999999999997E-2</v>
      </c>
      <c r="G132" s="131">
        <v>9.3799999999999994E-2</v>
      </c>
      <c r="H132" s="131">
        <v>9.3700000000000006E-2</v>
      </c>
      <c r="I132" s="131">
        <v>9.3600000000000003E-2</v>
      </c>
      <c r="J132" s="131">
        <v>9.35E-2</v>
      </c>
      <c r="K132" s="131">
        <v>9.35E-2</v>
      </c>
      <c r="L132" s="131">
        <v>9.3899999999999997E-2</v>
      </c>
      <c r="M132" s="131">
        <v>9.3100000000000002E-2</v>
      </c>
      <c r="N132" s="131">
        <v>9.3100000000000002E-2</v>
      </c>
      <c r="O132" s="131">
        <v>9.2999999999999999E-2</v>
      </c>
      <c r="P132" s="131">
        <v>9.3299999999999994E-2</v>
      </c>
      <c r="Q132" s="131">
        <v>9.3399999999999997E-2</v>
      </c>
      <c r="R132" s="131">
        <v>9.3600000000000003E-2</v>
      </c>
      <c r="S132" s="131">
        <v>9.3700000000000006E-2</v>
      </c>
      <c r="T132" s="131">
        <v>9.3700000000000006E-2</v>
      </c>
      <c r="U132" s="131">
        <v>9.3700000000000006E-2</v>
      </c>
      <c r="V132" s="131">
        <v>9.3600000000000003E-2</v>
      </c>
      <c r="W132" s="131">
        <v>9.3700000000000006E-2</v>
      </c>
      <c r="X132" s="131">
        <v>9.3600000000000003E-2</v>
      </c>
      <c r="Y132" s="131">
        <v>9.3700000000000006E-2</v>
      </c>
      <c r="Z132" s="131">
        <v>9.3600000000000003E-2</v>
      </c>
      <c r="AA132" s="131">
        <v>9.3600000000000003E-2</v>
      </c>
      <c r="AB132" s="131">
        <v>9.35E-2</v>
      </c>
      <c r="AC132" s="131">
        <v>9.3399999999999997E-2</v>
      </c>
      <c r="AD132" s="131">
        <v>9.3399999999999997E-2</v>
      </c>
      <c r="AE132" s="131">
        <v>9.3299999999999994E-2</v>
      </c>
      <c r="AF132" s="131">
        <v>9.3299999999999994E-2</v>
      </c>
      <c r="AG132" s="131">
        <v>9.3700000000000006E-2</v>
      </c>
    </row>
    <row r="133" spans="1:33" x14ac:dyDescent="0.2">
      <c r="A133" s="136" t="s">
        <v>136</v>
      </c>
      <c r="B133" s="131">
        <v>9.6000000000000002E-2</v>
      </c>
      <c r="C133" s="131">
        <v>9.5600000000000004E-2</v>
      </c>
      <c r="D133" s="131">
        <v>9.5399999999999999E-2</v>
      </c>
      <c r="E133" s="131">
        <v>9.5299999999999996E-2</v>
      </c>
      <c r="F133" s="131">
        <v>9.5299999999999996E-2</v>
      </c>
      <c r="G133" s="131">
        <v>9.5200000000000007E-2</v>
      </c>
      <c r="H133" s="131">
        <v>9.5100000000000004E-2</v>
      </c>
      <c r="I133" s="131">
        <v>9.5200000000000007E-2</v>
      </c>
      <c r="J133" s="131">
        <v>9.4899999999999998E-2</v>
      </c>
      <c r="K133" s="131">
        <v>9.5000000000000001E-2</v>
      </c>
      <c r="L133" s="131">
        <v>9.5000000000000001E-2</v>
      </c>
      <c r="M133" s="131">
        <v>9.4799999999999995E-2</v>
      </c>
      <c r="N133" s="131">
        <v>9.4799999999999995E-2</v>
      </c>
      <c r="O133" s="131">
        <v>9.4700000000000006E-2</v>
      </c>
      <c r="P133" s="131">
        <v>9.5100000000000004E-2</v>
      </c>
      <c r="Q133" s="131">
        <v>9.5100000000000004E-2</v>
      </c>
      <c r="R133" s="131">
        <v>9.5299999999999996E-2</v>
      </c>
      <c r="S133" s="131">
        <v>9.6100000000000005E-2</v>
      </c>
      <c r="T133" s="131">
        <v>9.5399999999999999E-2</v>
      </c>
      <c r="U133" s="131">
        <v>9.5500000000000002E-2</v>
      </c>
      <c r="V133" s="131">
        <v>9.5399999999999999E-2</v>
      </c>
      <c r="W133" s="131">
        <v>9.5399999999999999E-2</v>
      </c>
      <c r="X133" s="131">
        <v>9.5500000000000002E-2</v>
      </c>
      <c r="Y133" s="131">
        <v>9.5600000000000004E-2</v>
      </c>
      <c r="Z133" s="131">
        <v>9.5399999999999999E-2</v>
      </c>
      <c r="AA133" s="131">
        <v>9.5399999999999999E-2</v>
      </c>
      <c r="AB133" s="131">
        <v>9.5299999999999996E-2</v>
      </c>
      <c r="AC133" s="131">
        <v>9.5200000000000007E-2</v>
      </c>
      <c r="AD133" s="131">
        <v>9.5200000000000007E-2</v>
      </c>
      <c r="AE133" s="131">
        <v>9.5000000000000001E-2</v>
      </c>
      <c r="AF133" s="131">
        <v>9.5200000000000007E-2</v>
      </c>
      <c r="AG133" s="131">
        <v>9.5399999999999999E-2</v>
      </c>
    </row>
    <row r="134" spans="1:33" x14ac:dyDescent="0.2">
      <c r="A134" s="136" t="s">
        <v>137</v>
      </c>
      <c r="B134" s="131">
        <v>9.8599999999999993E-2</v>
      </c>
      <c r="C134" s="131">
        <v>9.74E-2</v>
      </c>
      <c r="D134" s="131">
        <v>9.7299999999999998E-2</v>
      </c>
      <c r="E134" s="131">
        <v>9.69E-2</v>
      </c>
      <c r="F134" s="131">
        <v>9.8900000000000002E-2</v>
      </c>
      <c r="G134" s="131">
        <v>9.7299999999999998E-2</v>
      </c>
      <c r="H134" s="131">
        <v>9.8699999999999996E-2</v>
      </c>
      <c r="I134" s="131">
        <v>9.7600000000000006E-2</v>
      </c>
      <c r="J134" s="131">
        <v>9.7199999999999995E-2</v>
      </c>
      <c r="K134" s="131">
        <v>9.7299999999999998E-2</v>
      </c>
      <c r="L134" s="131">
        <v>9.7299999999999998E-2</v>
      </c>
      <c r="M134" s="131">
        <v>9.69E-2</v>
      </c>
      <c r="N134" s="131">
        <v>9.7299999999999998E-2</v>
      </c>
      <c r="O134" s="131">
        <v>9.6600000000000005E-2</v>
      </c>
      <c r="P134" s="131">
        <v>9.69E-2</v>
      </c>
      <c r="Q134" s="131">
        <v>9.7199999999999995E-2</v>
      </c>
      <c r="R134" s="131">
        <v>9.7600000000000006E-2</v>
      </c>
      <c r="S134" s="131">
        <v>9.74E-2</v>
      </c>
      <c r="T134" s="131">
        <v>9.7799999999999998E-2</v>
      </c>
      <c r="U134" s="131">
        <v>9.7500000000000003E-2</v>
      </c>
      <c r="V134" s="131">
        <v>9.8900000000000002E-2</v>
      </c>
      <c r="W134" s="131">
        <v>9.9099999999999994E-2</v>
      </c>
      <c r="X134" s="131">
        <v>9.8000000000000004E-2</v>
      </c>
      <c r="Y134" s="131">
        <v>9.7799999999999998E-2</v>
      </c>
      <c r="Z134" s="131">
        <v>9.7699999999999995E-2</v>
      </c>
      <c r="AA134" s="131">
        <v>9.7900000000000001E-2</v>
      </c>
      <c r="AB134" s="131">
        <v>9.7199999999999995E-2</v>
      </c>
      <c r="AC134" s="131">
        <v>9.7799999999999998E-2</v>
      </c>
      <c r="AD134" s="131">
        <v>9.74E-2</v>
      </c>
      <c r="AE134" s="131">
        <v>9.7100000000000006E-2</v>
      </c>
      <c r="AF134" s="131">
        <v>9.7199999999999995E-2</v>
      </c>
      <c r="AG134" s="131">
        <v>9.8199999999999996E-2</v>
      </c>
    </row>
    <row r="135" spans="1:33" x14ac:dyDescent="0.2">
      <c r="A135" s="131"/>
      <c r="B135" s="131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  <c r="AA135" s="131"/>
      <c r="AB135" s="131"/>
      <c r="AC135" s="131"/>
      <c r="AD135" s="131"/>
      <c r="AE135" s="131"/>
      <c r="AF135" s="131"/>
      <c r="AG135" s="131"/>
    </row>
    <row r="136" spans="1:33" x14ac:dyDescent="0.2">
      <c r="A136" s="131"/>
      <c r="B136" s="131"/>
      <c r="C136" s="131"/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1"/>
      <c r="O136" s="131"/>
      <c r="P136" s="131"/>
      <c r="Q136" s="131"/>
      <c r="R136" s="131"/>
      <c r="S136" s="131"/>
      <c r="T136" s="131"/>
      <c r="U136" s="131"/>
      <c r="V136" s="131"/>
      <c r="W136" s="131"/>
      <c r="X136" s="131"/>
      <c r="Y136" s="131"/>
      <c r="Z136" s="131"/>
      <c r="AA136" s="131"/>
      <c r="AB136" s="131"/>
      <c r="AC136" s="131"/>
      <c r="AD136" s="131"/>
      <c r="AE136" s="131"/>
      <c r="AF136" s="131"/>
      <c r="AG136" s="131"/>
    </row>
    <row r="137" spans="1:33" x14ac:dyDescent="0.2">
      <c r="A137" s="131"/>
      <c r="B137" s="131"/>
      <c r="C137" s="131"/>
      <c r="D137" s="131"/>
      <c r="E137" s="131"/>
      <c r="F137" s="131"/>
      <c r="G137" s="131"/>
      <c r="H137" s="131"/>
      <c r="I137" s="131"/>
      <c r="J137" s="131"/>
      <c r="K137" s="131"/>
      <c r="L137" s="131"/>
      <c r="M137" s="131"/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131"/>
      <c r="AA137" s="131"/>
      <c r="AB137" s="131"/>
      <c r="AC137" s="131"/>
      <c r="AD137" s="131"/>
      <c r="AE137" s="131"/>
      <c r="AF137" s="131"/>
      <c r="AG137" s="131"/>
    </row>
    <row r="138" spans="1:33" x14ac:dyDescent="0.2">
      <c r="A138" s="131"/>
      <c r="B138" s="131"/>
      <c r="C138" s="131"/>
      <c r="D138" s="131"/>
      <c r="E138" s="131"/>
      <c r="F138" s="131"/>
      <c r="G138" s="131"/>
      <c r="H138" s="131"/>
      <c r="I138" s="131"/>
      <c r="J138" s="131"/>
      <c r="K138" s="131"/>
      <c r="L138" s="131"/>
      <c r="M138" s="131"/>
      <c r="N138" s="131"/>
      <c r="O138" s="131"/>
      <c r="P138" s="131"/>
      <c r="Q138" s="131"/>
      <c r="R138" s="131"/>
      <c r="S138" s="131"/>
      <c r="T138" s="131"/>
      <c r="U138" s="131"/>
      <c r="V138" s="131"/>
      <c r="W138" s="131"/>
      <c r="X138" s="131"/>
      <c r="Y138" s="131"/>
      <c r="Z138" s="131"/>
      <c r="AA138" s="131"/>
      <c r="AB138" s="131"/>
      <c r="AC138" s="131"/>
      <c r="AD138" s="131"/>
      <c r="AE138" s="131"/>
      <c r="AF138" s="131"/>
      <c r="AG138" s="131"/>
    </row>
    <row r="139" spans="1:33" x14ac:dyDescent="0.2">
      <c r="A139" s="131" t="s">
        <v>138</v>
      </c>
      <c r="B139" s="133">
        <v>43223.74559027778</v>
      </c>
      <c r="C139" s="131"/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131"/>
      <c r="AA139" s="131"/>
      <c r="AB139" s="131"/>
      <c r="AC139" s="131"/>
      <c r="AD139" s="131"/>
      <c r="AE139" s="131"/>
      <c r="AF139" s="131"/>
      <c r="AG139" s="131"/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Config</vt:lpstr>
      <vt:lpstr>Data</vt:lpstr>
      <vt:lpstr>calibration_max_size</vt:lpstr>
      <vt:lpstr>calibration_min_size</vt:lpstr>
      <vt:lpstr>calibration_step</vt:lpstr>
      <vt:lpstr>conditions</vt:lpstr>
      <vt:lpstr>data_first_line</vt:lpstr>
      <vt:lpstr>data_last_line</vt:lpstr>
      <vt:lpstr>data_sheet_name</vt:lpstr>
      <vt:lpstr>experimental_plan_definition</vt:lpstr>
      <vt:lpstr>number_of_cycles</vt:lpstr>
      <vt:lpstr>white_border_definition</vt:lpstr>
      <vt:lpstr>white_inner_application</vt:lpstr>
      <vt:lpstr>white_stats</vt:lpstr>
    </vt:vector>
  </TitlesOfParts>
  <Company>Hospices Civils de Lyon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MOUTON, William</dc:creator>
  <cp:lastModifiedBy>Julien</cp:lastModifiedBy>
  <cp:lastPrinted>2018-03-17T15:52:29Z</cp:lastPrinted>
  <dcterms:created xsi:type="dcterms:W3CDTF">2018-02-13T15:43:19Z</dcterms:created>
  <dcterms:modified xsi:type="dcterms:W3CDTF">2018-05-22T15:13:31Z</dcterms:modified>
</cp:coreProperties>
</file>